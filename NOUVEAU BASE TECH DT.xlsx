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ca-filstorsrv\ISOC\PROCESS DT\"/>
    </mc:Choice>
  </mc:AlternateContent>
  <xr:revisionPtr revIDLastSave="0" documentId="13_ncr:1_{11B596AD-8116-4DAB-A4B0-7CB4FA666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SITES ID" sheetId="1" r:id="rId1"/>
    <sheet name="BASE OLT" sheetId="2" r:id="rId2"/>
    <sheet name="Feuil1" sheetId="3" r:id="rId3"/>
  </sheets>
  <externalReferences>
    <externalReference r:id="rId4"/>
    <externalReference r:id="rId5"/>
  </externalReferences>
  <definedNames>
    <definedName name="_xlnm._FilterDatabase" localSheetId="0" hidden="1">'BASE SITES ID'!$A$1:$Z$1215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15" i="1" l="1"/>
  <c r="Q1215" i="1"/>
  <c r="R1215" i="1"/>
  <c r="X93" i="1" l="1"/>
  <c r="X104" i="1"/>
  <c r="X175" i="1"/>
  <c r="X879" i="1"/>
  <c r="X1036" i="1"/>
  <c r="Z85" i="1"/>
  <c r="Z115" i="1"/>
  <c r="Z132" i="1"/>
  <c r="Z145" i="1"/>
  <c r="Z146" i="1"/>
  <c r="Z149" i="1"/>
  <c r="Z163" i="1"/>
  <c r="Z171" i="1"/>
  <c r="Z179" i="1"/>
  <c r="Z190" i="1"/>
  <c r="Z212" i="1"/>
  <c r="Z241" i="1"/>
  <c r="Z250" i="1"/>
  <c r="Z259" i="1"/>
  <c r="Z271" i="1"/>
  <c r="Z274" i="1"/>
  <c r="Z306" i="1"/>
  <c r="Z379" i="1"/>
  <c r="Z466" i="1"/>
  <c r="Z475" i="1"/>
  <c r="Z500" i="1"/>
  <c r="Z517" i="1"/>
  <c r="Z529" i="1"/>
  <c r="Z554" i="1"/>
  <c r="Z684" i="1"/>
  <c r="Z717" i="1"/>
  <c r="Z757" i="1"/>
  <c r="Z765" i="1"/>
  <c r="Z767" i="1"/>
  <c r="Z773" i="1"/>
  <c r="Z798" i="1"/>
  <c r="Z805" i="1"/>
  <c r="Z837" i="1"/>
  <c r="Z916" i="1"/>
  <c r="Z1000" i="1"/>
  <c r="Z1116" i="1"/>
  <c r="Z1125" i="1"/>
  <c r="Z1131" i="1"/>
  <c r="Z1171" i="1"/>
  <c r="Z1175" i="1"/>
  <c r="Z1195" i="1"/>
  <c r="Z1198" i="1"/>
  <c r="Z1204" i="1"/>
  <c r="Z1212" i="1"/>
  <c r="R1204" i="1" l="1"/>
  <c r="R1195" i="1"/>
  <c r="R1189" i="1"/>
  <c r="R1171" i="1"/>
  <c r="R1146" i="1"/>
  <c r="R1145" i="1"/>
  <c r="R1144" i="1"/>
  <c r="R1141" i="1"/>
  <c r="R1140" i="1"/>
  <c r="R1139" i="1"/>
  <c r="R1138" i="1"/>
  <c r="R1137" i="1"/>
  <c r="R1136" i="1"/>
  <c r="R1135" i="1"/>
  <c r="R1134" i="1"/>
  <c r="R805" i="1"/>
  <c r="R767" i="1"/>
  <c r="R669" i="1"/>
  <c r="R652" i="1"/>
  <c r="R517" i="1"/>
  <c r="R509" i="1"/>
  <c r="R508" i="1"/>
  <c r="R507" i="1"/>
  <c r="R506" i="1"/>
  <c r="R502" i="1"/>
  <c r="R493" i="1"/>
  <c r="R466" i="1"/>
  <c r="R465" i="1"/>
  <c r="R413" i="1"/>
  <c r="R412" i="1"/>
  <c r="R411" i="1"/>
  <c r="R382" i="1"/>
  <c r="R381" i="1"/>
  <c r="R336" i="1"/>
  <c r="R306" i="1"/>
  <c r="R247" i="1"/>
  <c r="R212" i="1"/>
  <c r="R163" i="1"/>
  <c r="R114" i="1"/>
  <c r="R82" i="1"/>
  <c r="R1198" i="1"/>
  <c r="R554" i="1"/>
  <c r="R1196" i="1"/>
  <c r="R1084" i="1"/>
  <c r="R717" i="1"/>
  <c r="R505" i="1"/>
  <c r="R271" i="1"/>
  <c r="R218" i="1"/>
  <c r="R132" i="1"/>
  <c r="R81" i="1"/>
  <c r="R1164" i="1"/>
  <c r="R1070" i="1"/>
  <c r="R1067" i="1"/>
  <c r="R1041" i="1"/>
  <c r="R843" i="1"/>
  <c r="R793" i="1"/>
  <c r="R778" i="1"/>
  <c r="R744" i="1"/>
  <c r="R657" i="1"/>
  <c r="R596" i="1"/>
  <c r="R540" i="1"/>
  <c r="R388" i="1"/>
  <c r="R292" i="1"/>
  <c r="R157" i="1"/>
  <c r="R156" i="1"/>
  <c r="R142" i="1"/>
  <c r="R60" i="1"/>
  <c r="R910" i="1"/>
  <c r="R711" i="1"/>
  <c r="R695" i="1"/>
  <c r="R562" i="1"/>
  <c r="R59" i="1"/>
  <c r="R982" i="1"/>
  <c r="R867" i="1"/>
  <c r="R282" i="1"/>
  <c r="R75" i="1"/>
  <c r="R1086" i="1"/>
  <c r="R1080" i="1"/>
  <c r="R1078" i="1"/>
  <c r="R1065" i="1"/>
  <c r="R1033" i="1"/>
  <c r="R1032" i="1"/>
  <c r="R1031" i="1"/>
  <c r="R1029" i="1"/>
  <c r="R1025" i="1"/>
  <c r="R1022" i="1"/>
  <c r="R1018" i="1"/>
  <c r="R1017" i="1"/>
  <c r="R1016" i="1"/>
  <c r="R1014" i="1"/>
  <c r="R999" i="1"/>
  <c r="R981" i="1"/>
  <c r="R979" i="1"/>
  <c r="R969" i="1"/>
  <c r="R855" i="1"/>
  <c r="R844" i="1"/>
  <c r="R827" i="1"/>
  <c r="R792" i="1"/>
  <c r="R746" i="1"/>
  <c r="R743" i="1"/>
  <c r="R742" i="1"/>
  <c r="R696" i="1"/>
  <c r="R679" i="1"/>
  <c r="R678" i="1"/>
  <c r="R635" i="1"/>
  <c r="R549" i="1"/>
  <c r="R484" i="1"/>
  <c r="R355" i="1"/>
  <c r="R348" i="1"/>
  <c r="R342" i="1"/>
  <c r="R339" i="1"/>
  <c r="R297" i="1"/>
  <c r="R295" i="1"/>
  <c r="R204" i="1"/>
  <c r="R202" i="1"/>
  <c r="R155" i="1"/>
  <c r="R140" i="1"/>
  <c r="R139" i="1"/>
  <c r="R125" i="1"/>
  <c r="R72" i="1"/>
  <c r="R42" i="1"/>
  <c r="R41" i="1"/>
  <c r="R1106" i="1"/>
  <c r="R1092" i="1"/>
  <c r="R972" i="1"/>
  <c r="R799" i="1"/>
  <c r="R203" i="1"/>
  <c r="R168" i="1"/>
  <c r="R1034" i="1"/>
  <c r="R783" i="1"/>
  <c r="R704" i="1"/>
  <c r="R646" i="1"/>
  <c r="R630" i="1"/>
  <c r="R599" i="1"/>
  <c r="R1161" i="1"/>
  <c r="R1160" i="1"/>
  <c r="R1118" i="1"/>
  <c r="R1104" i="1"/>
  <c r="R1097" i="1"/>
  <c r="R1087" i="1"/>
  <c r="R1052" i="1"/>
  <c r="R1011" i="1"/>
  <c r="R1007" i="1"/>
  <c r="R980" i="1"/>
  <c r="R909" i="1"/>
  <c r="R908" i="1"/>
  <c r="R907" i="1"/>
  <c r="R906" i="1"/>
  <c r="R905" i="1"/>
  <c r="R903" i="1"/>
  <c r="R902" i="1"/>
  <c r="R777" i="1"/>
  <c r="R774" i="1"/>
  <c r="R763" i="1"/>
  <c r="R749" i="1"/>
  <c r="R571" i="1"/>
  <c r="R548" i="1"/>
  <c r="R545" i="1"/>
  <c r="R531" i="1"/>
  <c r="R474" i="1"/>
  <c r="R471" i="1"/>
  <c r="R444" i="1"/>
  <c r="R419" i="1"/>
  <c r="R266" i="1"/>
  <c r="R265" i="1"/>
  <c r="R131" i="1"/>
  <c r="R84" i="1"/>
  <c r="R15" i="1"/>
  <c r="R14" i="1"/>
  <c r="R1117" i="1"/>
  <c r="R904" i="1"/>
  <c r="R747" i="1"/>
  <c r="R246" i="1"/>
  <c r="R211" i="1"/>
  <c r="R77" i="1"/>
  <c r="R1083" i="1"/>
  <c r="R761" i="1"/>
  <c r="R750" i="1"/>
  <c r="R500" i="1"/>
  <c r="R443" i="1"/>
  <c r="R1174" i="1"/>
  <c r="R1072" i="1"/>
  <c r="R1060" i="1"/>
  <c r="R1046" i="1"/>
  <c r="R970" i="1"/>
  <c r="R949" i="1"/>
  <c r="R889" i="1"/>
  <c r="R886" i="1"/>
  <c r="R878" i="1"/>
  <c r="R875" i="1"/>
  <c r="R865" i="1"/>
  <c r="R862" i="1"/>
  <c r="R861" i="1"/>
  <c r="R852" i="1"/>
  <c r="R835" i="1"/>
  <c r="R832" i="1"/>
  <c r="R703" i="1"/>
  <c r="R694" i="1"/>
  <c r="R686" i="1"/>
  <c r="R600" i="1"/>
  <c r="R598" i="1"/>
  <c r="R588" i="1"/>
  <c r="R503" i="1"/>
  <c r="R499" i="1"/>
  <c r="R482" i="1"/>
  <c r="R429" i="1"/>
  <c r="R344" i="1"/>
  <c r="R152" i="1"/>
  <c r="R1073" i="1"/>
  <c r="R1054" i="1"/>
  <c r="R866" i="1"/>
  <c r="R708" i="1"/>
  <c r="R702" i="1"/>
  <c r="R968" i="1"/>
  <c r="R836" i="1"/>
  <c r="R834" i="1"/>
  <c r="R631" i="1"/>
  <c r="R296" i="1"/>
  <c r="R1071" i="1"/>
  <c r="R440" i="1"/>
  <c r="R1126" i="1"/>
  <c r="R1150" i="1"/>
  <c r="R1147" i="1"/>
  <c r="R1115" i="1"/>
  <c r="R1045" i="1"/>
  <c r="R1042" i="1"/>
  <c r="R1028" i="1"/>
  <c r="R1026" i="1"/>
  <c r="R1009" i="1"/>
  <c r="R997" i="1"/>
  <c r="R942" i="1"/>
  <c r="R926" i="1"/>
  <c r="R914" i="1"/>
  <c r="R913" i="1"/>
  <c r="R892" i="1"/>
  <c r="R848" i="1"/>
  <c r="R841" i="1"/>
  <c r="R819" i="1"/>
  <c r="R817" i="1"/>
  <c r="R804" i="1"/>
  <c r="R794" i="1"/>
  <c r="R790" i="1"/>
  <c r="R672" i="1"/>
  <c r="R671" i="1"/>
  <c r="R670" i="1"/>
  <c r="R567" i="1"/>
  <c r="R566" i="1"/>
  <c r="R550" i="1"/>
  <c r="R527" i="1"/>
  <c r="R520" i="1"/>
  <c r="R519" i="1"/>
  <c r="R518" i="1"/>
  <c r="R460" i="1"/>
  <c r="R455" i="1"/>
  <c r="R414" i="1"/>
  <c r="R362" i="1"/>
  <c r="R330" i="1"/>
  <c r="R317" i="1"/>
  <c r="R316" i="1"/>
  <c r="R311" i="1"/>
  <c r="R310" i="1"/>
  <c r="R309" i="1"/>
  <c r="R307" i="1"/>
  <c r="R299" i="1"/>
  <c r="R298" i="1"/>
  <c r="R134" i="1"/>
  <c r="R133" i="1"/>
  <c r="R129" i="1"/>
  <c r="R66" i="1"/>
  <c r="R18" i="1"/>
  <c r="R16" i="1"/>
  <c r="R4" i="1"/>
  <c r="R3" i="1"/>
  <c r="R510" i="1"/>
  <c r="R1193" i="1"/>
  <c r="R1192" i="1"/>
  <c r="R1191" i="1"/>
  <c r="R1180" i="1"/>
  <c r="R1179" i="1"/>
  <c r="R1177" i="1"/>
  <c r="R1176" i="1"/>
  <c r="R1168" i="1"/>
  <c r="R1167" i="1"/>
  <c r="R1129" i="1"/>
  <c r="R1043" i="1"/>
  <c r="R996" i="1"/>
  <c r="R995" i="1"/>
  <c r="R993" i="1"/>
  <c r="R992" i="1"/>
  <c r="R991" i="1"/>
  <c r="R990" i="1"/>
  <c r="R977" i="1"/>
  <c r="R976" i="1"/>
  <c r="R975" i="1"/>
  <c r="R810" i="1"/>
  <c r="R806" i="1"/>
  <c r="R791" i="1"/>
  <c r="R788" i="1"/>
  <c r="R787" i="1"/>
  <c r="R770" i="1"/>
  <c r="R674" i="1"/>
  <c r="R663" i="1"/>
  <c r="R662" i="1"/>
  <c r="R661" i="1"/>
  <c r="R523" i="1"/>
  <c r="R498" i="1"/>
  <c r="R497" i="1"/>
  <c r="R446" i="1"/>
  <c r="R445" i="1"/>
  <c r="R425" i="1"/>
  <c r="R424" i="1"/>
  <c r="R361" i="1"/>
  <c r="R262" i="1"/>
  <c r="R252" i="1"/>
  <c r="R251" i="1"/>
  <c r="R249" i="1"/>
  <c r="R248" i="1"/>
  <c r="R206" i="1"/>
  <c r="R205" i="1"/>
  <c r="R167" i="1"/>
  <c r="R166" i="1"/>
  <c r="R165" i="1"/>
  <c r="R141" i="1"/>
  <c r="R37" i="1"/>
  <c r="R36" i="1"/>
  <c r="R35" i="1"/>
  <c r="R34" i="1"/>
  <c r="R33" i="1"/>
  <c r="R1199" i="1"/>
  <c r="R1151" i="1"/>
  <c r="R1128" i="1"/>
  <c r="R1127" i="1"/>
  <c r="R974" i="1"/>
  <c r="R973" i="1"/>
  <c r="R660" i="1"/>
  <c r="R1214" i="1"/>
  <c r="R1211" i="1"/>
  <c r="R1203" i="1"/>
  <c r="R1202" i="1"/>
  <c r="R1200" i="1"/>
  <c r="R1148" i="1"/>
  <c r="R1012" i="1"/>
  <c r="R873" i="1"/>
  <c r="R851" i="1"/>
  <c r="R849" i="1"/>
  <c r="R847" i="1"/>
  <c r="R825" i="1"/>
  <c r="R808" i="1"/>
  <c r="R807" i="1"/>
  <c r="R802" i="1"/>
  <c r="R801" i="1"/>
  <c r="R724" i="1"/>
  <c r="R721" i="1"/>
  <c r="R720" i="1"/>
  <c r="R718" i="1"/>
  <c r="R675" i="1"/>
  <c r="R673" i="1"/>
  <c r="R539" i="1"/>
  <c r="R491" i="1"/>
  <c r="R418" i="1"/>
  <c r="R417" i="1"/>
  <c r="R416" i="1"/>
  <c r="R386" i="1"/>
  <c r="R385" i="1"/>
  <c r="R384" i="1"/>
  <c r="R383" i="1"/>
  <c r="R358" i="1"/>
  <c r="R357" i="1"/>
  <c r="R335" i="1"/>
  <c r="R258" i="1"/>
  <c r="R257" i="1"/>
  <c r="R240" i="1"/>
  <c r="R236" i="1"/>
  <c r="R215" i="1"/>
  <c r="R214" i="1"/>
  <c r="R208" i="1"/>
  <c r="R199" i="1"/>
  <c r="R169" i="1"/>
  <c r="R159" i="1"/>
  <c r="R144" i="1"/>
  <c r="R143" i="1"/>
  <c r="R116" i="1"/>
  <c r="R101" i="1"/>
  <c r="R80" i="1"/>
  <c r="R1210" i="1"/>
  <c r="R800" i="1"/>
  <c r="R719" i="1"/>
  <c r="R216" i="1"/>
  <c r="R99" i="1"/>
  <c r="R1001" i="1"/>
  <c r="R901" i="1"/>
  <c r="R900" i="1"/>
  <c r="R850" i="1"/>
  <c r="R387" i="1"/>
  <c r="R151" i="1"/>
  <c r="R1114" i="1"/>
  <c r="R1113" i="1"/>
  <c r="R1110" i="1"/>
  <c r="R1109" i="1"/>
  <c r="R1095" i="1"/>
  <c r="R1094" i="1"/>
  <c r="R1044" i="1"/>
  <c r="R1008" i="1"/>
  <c r="R953" i="1"/>
  <c r="R952" i="1"/>
  <c r="R950" i="1"/>
  <c r="R818" i="1"/>
  <c r="R803" i="1"/>
  <c r="R797" i="1"/>
  <c r="R658" i="1"/>
  <c r="R544" i="1"/>
  <c r="R526" i="1"/>
  <c r="R490" i="1"/>
  <c r="R489" i="1"/>
  <c r="R488" i="1"/>
  <c r="R487" i="1"/>
  <c r="R485" i="1"/>
  <c r="R481" i="1"/>
  <c r="R467" i="1"/>
  <c r="R430" i="1"/>
  <c r="R423" i="1"/>
  <c r="R378" i="1"/>
  <c r="R377" i="1"/>
  <c r="R354" i="1"/>
  <c r="R353" i="1"/>
  <c r="R352" i="1"/>
  <c r="R200" i="1"/>
  <c r="R160" i="1"/>
  <c r="R108" i="1"/>
  <c r="R107" i="1"/>
  <c r="R106" i="1"/>
  <c r="R105" i="1"/>
  <c r="R102" i="1"/>
  <c r="R96" i="1"/>
  <c r="R70" i="1"/>
  <c r="R68" i="1"/>
  <c r="R67" i="1"/>
  <c r="R49" i="1"/>
  <c r="R46" i="1"/>
  <c r="R44" i="1"/>
  <c r="R32" i="1"/>
  <c r="R30" i="1"/>
  <c r="R29" i="1"/>
  <c r="R26" i="1"/>
  <c r="R25" i="1"/>
  <c r="R24" i="1"/>
  <c r="R23" i="1"/>
  <c r="R22" i="1"/>
  <c r="R1209" i="1"/>
  <c r="R1108" i="1"/>
  <c r="R856" i="1"/>
  <c r="R846" i="1"/>
  <c r="R219" i="1"/>
  <c r="R201" i="1"/>
  <c r="R161" i="1"/>
  <c r="R148" i="1"/>
  <c r="R27" i="1"/>
  <c r="R1159" i="1"/>
  <c r="R967" i="1"/>
  <c r="R961" i="1"/>
  <c r="R960" i="1"/>
  <c r="R958" i="1"/>
  <c r="R957" i="1"/>
  <c r="R955" i="1"/>
  <c r="R941" i="1"/>
  <c r="R775" i="1"/>
  <c r="R772" i="1"/>
  <c r="R771" i="1"/>
  <c r="R760" i="1"/>
  <c r="R594" i="1"/>
  <c r="R592" i="1"/>
  <c r="R591" i="1"/>
  <c r="R590" i="1"/>
  <c r="R448" i="1"/>
  <c r="R447" i="1"/>
  <c r="R422" i="1"/>
  <c r="R420" i="1"/>
  <c r="R380" i="1"/>
  <c r="R314" i="1"/>
  <c r="R313" i="1"/>
  <c r="R312" i="1"/>
  <c r="R291" i="1"/>
  <c r="R290" i="1"/>
  <c r="R289" i="1"/>
  <c r="R288" i="1"/>
  <c r="R287" i="1"/>
  <c r="R285" i="1"/>
  <c r="R284" i="1"/>
  <c r="R254" i="1"/>
  <c r="R189" i="1"/>
  <c r="R187" i="1"/>
  <c r="R147" i="1"/>
  <c r="R130" i="1"/>
  <c r="R128" i="1"/>
  <c r="R121" i="1"/>
  <c r="R95" i="1"/>
  <c r="R83" i="1"/>
  <c r="R79" i="1"/>
  <c r="R78" i="1"/>
  <c r="R76" i="1"/>
  <c r="R62" i="1"/>
  <c r="R61" i="1"/>
  <c r="R13" i="1"/>
  <c r="R12" i="1"/>
  <c r="R11" i="1"/>
  <c r="R10" i="1"/>
  <c r="R9" i="1"/>
  <c r="R8" i="1"/>
  <c r="R188" i="1"/>
  <c r="R286" i="1"/>
  <c r="R253" i="1"/>
  <c r="R98" i="1"/>
  <c r="R522" i="1"/>
  <c r="R421" i="1"/>
  <c r="R162" i="1"/>
  <c r="R1206" i="1"/>
  <c r="R1149" i="1"/>
  <c r="R1112" i="1"/>
  <c r="R1027" i="1"/>
  <c r="R963" i="1"/>
  <c r="R912" i="1"/>
  <c r="R822" i="1"/>
  <c r="R816" i="1"/>
  <c r="R815" i="1"/>
  <c r="R814" i="1"/>
  <c r="R665" i="1"/>
  <c r="R664" i="1"/>
  <c r="R643" i="1"/>
  <c r="R642" i="1"/>
  <c r="R641" i="1"/>
  <c r="R640" i="1"/>
  <c r="R639" i="1"/>
  <c r="R638" i="1"/>
  <c r="R637" i="1"/>
  <c r="R636" i="1"/>
  <c r="R570" i="1"/>
  <c r="R560" i="1"/>
  <c r="R559" i="1"/>
  <c r="R557" i="1"/>
  <c r="R556" i="1"/>
  <c r="R555" i="1"/>
  <c r="R528" i="1"/>
  <c r="R496" i="1"/>
  <c r="R494" i="1"/>
  <c r="R461" i="1"/>
  <c r="R431" i="1"/>
  <c r="R367" i="1"/>
  <c r="R366" i="1"/>
  <c r="R365" i="1"/>
  <c r="R360" i="1"/>
  <c r="R356" i="1"/>
  <c r="R245" i="1"/>
  <c r="R244" i="1"/>
  <c r="R242" i="1"/>
  <c r="R237" i="1"/>
  <c r="R109" i="1"/>
  <c r="R55" i="1"/>
  <c r="R54" i="1"/>
  <c r="R53" i="1"/>
  <c r="R52" i="1"/>
  <c r="R51" i="1"/>
  <c r="R45" i="1"/>
  <c r="R43" i="1"/>
  <c r="R31" i="1"/>
  <c r="R359" i="1"/>
  <c r="R243" i="1"/>
  <c r="R911" i="1"/>
  <c r="R569" i="1"/>
  <c r="R363" i="1"/>
  <c r="R437" i="1"/>
  <c r="R436" i="1"/>
  <c r="R435" i="1"/>
  <c r="R434" i="1"/>
  <c r="R433" i="1"/>
  <c r="R432" i="1"/>
  <c r="R255" i="1"/>
  <c r="R1208" i="1"/>
  <c r="R1205" i="1"/>
  <c r="R1190" i="1"/>
  <c r="R1175" i="1"/>
  <c r="R1172" i="1"/>
  <c r="R1169" i="1"/>
  <c r="R1132" i="1"/>
  <c r="R1131" i="1"/>
  <c r="R1130" i="1"/>
  <c r="R1120" i="1"/>
  <c r="R1103" i="1"/>
  <c r="R989" i="1"/>
  <c r="R948" i="1"/>
  <c r="R928" i="1"/>
  <c r="R919" i="1"/>
  <c r="R917" i="1"/>
  <c r="R915" i="1"/>
  <c r="R891" i="1"/>
  <c r="R789" i="1"/>
  <c r="R766" i="1"/>
  <c r="R755" i="1"/>
  <c r="R754" i="1"/>
  <c r="R753" i="1"/>
  <c r="R752" i="1"/>
  <c r="R751" i="1"/>
  <c r="R748" i="1"/>
  <c r="R745" i="1"/>
  <c r="R739" i="1"/>
  <c r="R737" i="1"/>
  <c r="R735" i="1"/>
  <c r="R733" i="1"/>
  <c r="R732" i="1"/>
  <c r="R731" i="1"/>
  <c r="R729" i="1"/>
  <c r="R725" i="1"/>
  <c r="R723" i="1"/>
  <c r="R697" i="1"/>
  <c r="R687" i="1"/>
  <c r="R684" i="1"/>
  <c r="R677" i="1"/>
  <c r="R667" i="1"/>
  <c r="R601" i="1"/>
  <c r="R553" i="1"/>
  <c r="R552" i="1"/>
  <c r="R551" i="1"/>
  <c r="R541" i="1"/>
  <c r="R464" i="1"/>
  <c r="R449" i="1"/>
  <c r="R391" i="1"/>
  <c r="R390" i="1"/>
  <c r="R332" i="1"/>
  <c r="R268" i="1"/>
  <c r="R264" i="1"/>
  <c r="R238" i="1"/>
  <c r="R210" i="1"/>
  <c r="R122" i="1"/>
  <c r="R120" i="1"/>
  <c r="R119" i="1"/>
  <c r="R118" i="1"/>
  <c r="R20" i="1"/>
  <c r="R1133" i="1"/>
  <c r="R796" i="1"/>
  <c r="R738" i="1"/>
  <c r="R730" i="1"/>
  <c r="R468" i="1"/>
  <c r="R389" i="1"/>
  <c r="R124" i="1"/>
  <c r="R698" i="1"/>
  <c r="R256" i="1"/>
  <c r="R176" i="1"/>
  <c r="R175" i="1"/>
  <c r="R158" i="1"/>
  <c r="R127" i="1"/>
  <c r="R123" i="1"/>
  <c r="R21" i="1"/>
  <c r="R1091" i="1"/>
  <c r="R1074" i="1"/>
  <c r="R1037" i="1"/>
  <c r="R1035" i="1"/>
  <c r="R885" i="1"/>
  <c r="R884" i="1"/>
  <c r="R785" i="1"/>
  <c r="R769" i="1"/>
  <c r="R756" i="1"/>
  <c r="R714" i="1"/>
  <c r="R701" i="1"/>
  <c r="R685" i="1"/>
  <c r="R633" i="1"/>
  <c r="R629" i="1"/>
  <c r="R628" i="1"/>
  <c r="R625" i="1"/>
  <c r="R623" i="1"/>
  <c r="R620" i="1"/>
  <c r="R611" i="1"/>
  <c r="R609" i="1"/>
  <c r="R608" i="1"/>
  <c r="R470" i="1"/>
  <c r="R439" i="1"/>
  <c r="R393" i="1"/>
  <c r="R321" i="1"/>
  <c r="R308" i="1"/>
  <c r="R278" i="1"/>
  <c r="R277" i="1"/>
  <c r="R276" i="1"/>
  <c r="R261" i="1"/>
  <c r="R233" i="1"/>
  <c r="R154" i="1"/>
  <c r="R94" i="1"/>
  <c r="R40" i="1"/>
  <c r="R988" i="1"/>
  <c r="R868" i="1"/>
  <c r="R349" i="1"/>
  <c r="R614" i="1"/>
  <c r="R1123" i="1"/>
  <c r="R1122" i="1"/>
  <c r="R1090" i="1"/>
  <c r="R1089" i="1"/>
  <c r="R1077" i="1"/>
  <c r="R1040" i="1"/>
  <c r="R1038" i="1"/>
  <c r="R965" i="1"/>
  <c r="R964" i="1"/>
  <c r="R962" i="1"/>
  <c r="R951" i="1"/>
  <c r="R940" i="1"/>
  <c r="R939" i="1"/>
  <c r="R897" i="1"/>
  <c r="R895" i="1"/>
  <c r="R894" i="1"/>
  <c r="R838" i="1"/>
  <c r="R795" i="1"/>
  <c r="R782" i="1"/>
  <c r="R781" i="1"/>
  <c r="R716" i="1"/>
  <c r="R700" i="1"/>
  <c r="R680" i="1"/>
  <c r="R650" i="1"/>
  <c r="R649" i="1"/>
  <c r="R627" i="1"/>
  <c r="R626" i="1"/>
  <c r="R624" i="1"/>
  <c r="R616" i="1"/>
  <c r="R610" i="1"/>
  <c r="R606" i="1"/>
  <c r="R578" i="1"/>
  <c r="R538" i="1"/>
  <c r="R483" i="1"/>
  <c r="R341" i="1"/>
  <c r="R334" i="1"/>
  <c r="R280" i="1"/>
  <c r="R1181" i="1"/>
  <c r="R1005" i="1"/>
  <c r="R1024" i="1"/>
  <c r="R1004" i="1"/>
  <c r="R966" i="1"/>
  <c r="R651" i="1"/>
  <c r="R647" i="1"/>
  <c r="R621" i="1"/>
  <c r="R618" i="1"/>
  <c r="R1183" i="1"/>
  <c r="R1093" i="1"/>
  <c r="R1055" i="1"/>
  <c r="R945" i="1"/>
  <c r="R888" i="1"/>
  <c r="R883" i="1"/>
  <c r="R880" i="1"/>
  <c r="R860" i="1"/>
  <c r="R858" i="1"/>
  <c r="R779" i="1"/>
  <c r="R759" i="1"/>
  <c r="R712" i="1"/>
  <c r="R604" i="1"/>
  <c r="R603" i="1"/>
  <c r="R587" i="1"/>
  <c r="R542" i="1"/>
  <c r="R232" i="1"/>
  <c r="R126" i="1"/>
  <c r="R19" i="1"/>
  <c r="R893" i="1"/>
  <c r="R415" i="1"/>
  <c r="R929" i="1"/>
  <c r="R602" i="1"/>
  <c r="R561" i="1"/>
  <c r="R1182" i="1"/>
  <c r="R1102" i="1"/>
  <c r="R1079" i="1"/>
  <c r="R1075" i="1"/>
  <c r="R1063" i="1"/>
  <c r="R1039" i="1"/>
  <c r="R985" i="1"/>
  <c r="R935" i="1"/>
  <c r="R882" i="1"/>
  <c r="R872" i="1"/>
  <c r="R871" i="1"/>
  <c r="R842" i="1"/>
  <c r="R762" i="1"/>
  <c r="R740" i="1"/>
  <c r="R713" i="1"/>
  <c r="R706" i="1"/>
  <c r="R693" i="1"/>
  <c r="R691" i="1"/>
  <c r="R683" i="1"/>
  <c r="R668" i="1"/>
  <c r="R655" i="1"/>
  <c r="R595" i="1"/>
  <c r="R589" i="1"/>
  <c r="R584" i="1"/>
  <c r="R580" i="1"/>
  <c r="R579" i="1"/>
  <c r="R572" i="1"/>
  <c r="R495" i="1"/>
  <c r="R442" i="1"/>
  <c r="R428" i="1"/>
  <c r="R346" i="1"/>
  <c r="R343" i="1"/>
  <c r="R324" i="1"/>
  <c r="R305" i="1"/>
  <c r="R304" i="1"/>
  <c r="R303" i="1"/>
  <c r="R302" i="1"/>
  <c r="R301" i="1"/>
  <c r="R294" i="1"/>
  <c r="R281" i="1"/>
  <c r="R71" i="1"/>
  <c r="R986" i="1"/>
  <c r="R978" i="1"/>
  <c r="R890" i="1"/>
  <c r="R831" i="1"/>
  <c r="R653" i="1"/>
  <c r="R441" i="1"/>
  <c r="R325" i="1"/>
  <c r="R293" i="1"/>
  <c r="R692" i="1"/>
  <c r="R1082" i="1"/>
  <c r="R758" i="1"/>
  <c r="R577" i="1"/>
  <c r="R454" i="1"/>
  <c r="R138" i="1"/>
  <c r="R39" i="1"/>
  <c r="R374" i="1"/>
  <c r="R1185" i="1"/>
  <c r="R581" i="1"/>
  <c r="R270" i="1"/>
  <c r="R164" i="1"/>
  <c r="R7" i="1"/>
  <c r="R854" i="1"/>
  <c r="R537" i="1"/>
  <c r="R300" i="1"/>
  <c r="R983" i="1"/>
  <c r="R943" i="1"/>
  <c r="R923" i="1"/>
  <c r="R922" i="1"/>
  <c r="R918" i="1"/>
  <c r="R896" i="1"/>
  <c r="R840" i="1"/>
  <c r="R780" i="1"/>
  <c r="R676" i="1"/>
  <c r="R514" i="1"/>
  <c r="R513" i="1"/>
  <c r="R504" i="1"/>
  <c r="R473" i="1"/>
  <c r="R469" i="1"/>
  <c r="R323" i="1"/>
  <c r="R196" i="1"/>
  <c r="R191" i="1"/>
  <c r="R93" i="1"/>
  <c r="R64" i="1"/>
  <c r="R63" i="1"/>
  <c r="R1064" i="1"/>
  <c r="R575" i="1"/>
  <c r="R476" i="1"/>
  <c r="R195" i="1"/>
  <c r="R193" i="1"/>
  <c r="R927" i="1"/>
  <c r="R477" i="1"/>
  <c r="R198" i="1"/>
  <c r="R192" i="1"/>
  <c r="R1178" i="1"/>
  <c r="R1163" i="1"/>
  <c r="R1100" i="1"/>
  <c r="R1061" i="1"/>
  <c r="R1057" i="1"/>
  <c r="R1056" i="1"/>
  <c r="R944" i="1"/>
  <c r="R879" i="1"/>
  <c r="R877" i="1"/>
  <c r="R863" i="1"/>
  <c r="R828" i="1"/>
  <c r="R812" i="1"/>
  <c r="R707" i="1"/>
  <c r="R699" i="1"/>
  <c r="R515" i="1"/>
  <c r="R492" i="1"/>
  <c r="R408" i="1"/>
  <c r="R407" i="1"/>
  <c r="R405" i="1"/>
  <c r="R402" i="1"/>
  <c r="R400" i="1"/>
  <c r="R398" i="1"/>
  <c r="R397" i="1"/>
  <c r="R396" i="1"/>
  <c r="R394" i="1"/>
  <c r="R376" i="1"/>
  <c r="R375" i="1"/>
  <c r="R373" i="1"/>
  <c r="R371" i="1"/>
  <c r="R370" i="1"/>
  <c r="R368" i="1"/>
  <c r="R345" i="1"/>
  <c r="R337" i="1"/>
  <c r="R322" i="1"/>
  <c r="R320" i="1"/>
  <c r="R319" i="1"/>
  <c r="R269" i="1"/>
  <c r="R403" i="1"/>
  <c r="R1188" i="1"/>
  <c r="R1101" i="1"/>
  <c r="R1059" i="1"/>
  <c r="R987" i="1"/>
  <c r="R984" i="1"/>
  <c r="R954" i="1"/>
  <c r="R947" i="1"/>
  <c r="R920" i="1"/>
  <c r="R864" i="1"/>
  <c r="R859" i="1"/>
  <c r="R829" i="1"/>
  <c r="R826" i="1"/>
  <c r="R741" i="1"/>
  <c r="R340" i="1"/>
  <c r="R1062" i="1"/>
  <c r="R1006" i="1"/>
  <c r="R898" i="1"/>
  <c r="R874" i="1"/>
  <c r="R821" i="1"/>
  <c r="R681" i="1"/>
  <c r="R458" i="1"/>
  <c r="R404" i="1"/>
  <c r="R399" i="1"/>
  <c r="R338" i="1"/>
  <c r="R1088" i="1"/>
  <c r="R946" i="1"/>
  <c r="R881" i="1"/>
  <c r="R784" i="1"/>
  <c r="R347" i="1"/>
  <c r="R283" i="1"/>
  <c r="R1058" i="1"/>
  <c r="R887" i="1"/>
  <c r="R870" i="1"/>
  <c r="R830" i="1"/>
  <c r="R709" i="1"/>
  <c r="R705" i="1"/>
  <c r="R543" i="1"/>
  <c r="R516" i="1"/>
  <c r="R450" i="1"/>
  <c r="R438" i="1"/>
  <c r="R1194" i="1"/>
  <c r="R1184" i="1"/>
  <c r="R1170" i="1"/>
  <c r="R1166" i="1"/>
  <c r="R1162" i="1"/>
  <c r="R1099" i="1"/>
  <c r="R1081" i="1"/>
  <c r="R1076" i="1"/>
  <c r="R1051" i="1"/>
  <c r="R938" i="1"/>
  <c r="R937" i="1"/>
  <c r="R936" i="1"/>
  <c r="R899" i="1"/>
  <c r="R857" i="1"/>
  <c r="R853" i="1"/>
  <c r="R845" i="1"/>
  <c r="R690" i="1"/>
  <c r="R634" i="1"/>
  <c r="R563" i="1"/>
  <c r="R459" i="1"/>
  <c r="R426" i="1"/>
  <c r="R333" i="1"/>
  <c r="R329" i="1"/>
  <c r="R328" i="1"/>
  <c r="R327" i="1"/>
  <c r="R217" i="1"/>
  <c r="R786" i="1"/>
  <c r="R110" i="1"/>
  <c r="R1187" i="1"/>
  <c r="R456" i="1"/>
  <c r="R73" i="1"/>
  <c r="R1158" i="1"/>
  <c r="R1152" i="1"/>
  <c r="R925" i="1"/>
  <c r="R689" i="1"/>
  <c r="R688" i="1"/>
  <c r="R597" i="1"/>
  <c r="R583" i="1"/>
  <c r="R512" i="1"/>
  <c r="R472" i="1"/>
  <c r="R462" i="1"/>
  <c r="R452" i="1"/>
  <c r="R350" i="1"/>
  <c r="R315" i="1"/>
  <c r="R272" i="1"/>
  <c r="R153" i="1"/>
  <c r="R137" i="1"/>
  <c r="R65" i="1"/>
  <c r="R47" i="1"/>
  <c r="R1207" i="1"/>
  <c r="R998" i="1"/>
  <c r="R924" i="1"/>
  <c r="R833" i="1"/>
  <c r="R764" i="1"/>
  <c r="R659" i="1"/>
  <c r="R648" i="1"/>
  <c r="R574" i="1"/>
  <c r="R451" i="1"/>
  <c r="R392" i="1"/>
  <c r="R275" i="1"/>
  <c r="R1124" i="1"/>
  <c r="R273" i="1"/>
  <c r="R1107" i="1"/>
  <c r="R1096" i="1"/>
  <c r="R934" i="1"/>
  <c r="R933" i="1"/>
  <c r="R930" i="1"/>
  <c r="R921" i="1"/>
  <c r="R823" i="1"/>
  <c r="R813" i="1"/>
  <c r="R682" i="1"/>
  <c r="R645" i="1"/>
  <c r="R632" i="1"/>
  <c r="R586" i="1"/>
  <c r="R582" i="1"/>
  <c r="R576" i="1"/>
  <c r="R565" i="1"/>
  <c r="R564" i="1"/>
  <c r="R536" i="1"/>
  <c r="R534" i="1"/>
  <c r="R532" i="1"/>
  <c r="R501" i="1"/>
  <c r="R410" i="1"/>
  <c r="R409" i="1"/>
  <c r="R331" i="1"/>
  <c r="R267" i="1"/>
  <c r="R234" i="1"/>
  <c r="R231" i="1"/>
  <c r="R228" i="1"/>
  <c r="R227" i="1"/>
  <c r="R224" i="1"/>
  <c r="R221" i="1"/>
  <c r="R213" i="1"/>
  <c r="R177" i="1"/>
  <c r="R174" i="1"/>
  <c r="R173" i="1"/>
  <c r="R172" i="1"/>
  <c r="R135" i="1"/>
  <c r="R117" i="1"/>
  <c r="R113" i="1"/>
  <c r="R92" i="1"/>
  <c r="R91" i="1"/>
  <c r="R90" i="1"/>
  <c r="R89" i="1"/>
  <c r="R88" i="1"/>
  <c r="R86" i="1"/>
  <c r="R6" i="1"/>
  <c r="R260" i="1"/>
  <c r="R150" i="1"/>
  <c r="R876" i="1"/>
  <c r="R230" i="1"/>
  <c r="R48" i="1"/>
  <c r="R1212" i="1"/>
  <c r="R1173" i="1"/>
  <c r="R1157" i="1"/>
  <c r="R1156" i="1"/>
  <c r="R1155" i="1"/>
  <c r="R1154" i="1"/>
  <c r="R1153" i="1"/>
  <c r="R1125" i="1"/>
  <c r="R1121" i="1"/>
  <c r="R1116" i="1"/>
  <c r="R1049" i="1"/>
  <c r="R1047" i="1"/>
  <c r="R1003" i="1"/>
  <c r="R1000" i="1"/>
  <c r="R916" i="1"/>
  <c r="R837" i="1"/>
  <c r="R798" i="1"/>
  <c r="R765" i="1"/>
  <c r="R757" i="1"/>
  <c r="R547" i="1"/>
  <c r="R546" i="1"/>
  <c r="R535" i="1"/>
  <c r="R530" i="1"/>
  <c r="R475" i="1"/>
  <c r="R463" i="1"/>
  <c r="R379" i="1"/>
  <c r="R190" i="1"/>
  <c r="R184" i="1"/>
  <c r="R183" i="1"/>
  <c r="R182" i="1"/>
  <c r="R179" i="1"/>
  <c r="R171" i="1"/>
  <c r="R170" i="1"/>
  <c r="R149" i="1"/>
  <c r="R146" i="1"/>
  <c r="R145" i="1"/>
  <c r="R115" i="1"/>
  <c r="R103" i="1"/>
  <c r="R57" i="1"/>
  <c r="R56" i="1"/>
  <c r="R5" i="1"/>
  <c r="R773" i="1"/>
  <c r="R1048" i="1"/>
  <c r="R1002" i="1"/>
  <c r="R715" i="1"/>
  <c r="R529" i="1"/>
  <c r="R274" i="1"/>
  <c r="R259" i="1"/>
  <c r="R250" i="1"/>
  <c r="R241" i="1"/>
  <c r="R186" i="1"/>
  <c r="R185" i="1"/>
  <c r="R181" i="1"/>
  <c r="R112" i="1"/>
  <c r="R85" i="1"/>
  <c r="Q85" i="1"/>
  <c r="Q112" i="1"/>
  <c r="Q181" i="1"/>
  <c r="Q185" i="1"/>
  <c r="Q186" i="1"/>
  <c r="Q241" i="1"/>
  <c r="Q250" i="1"/>
  <c r="Q259" i="1"/>
  <c r="Q274" i="1"/>
  <c r="Q529" i="1"/>
  <c r="Q715" i="1"/>
  <c r="Q1002" i="1"/>
  <c r="Q1048" i="1"/>
  <c r="Q773" i="1"/>
  <c r="Q5" i="1"/>
  <c r="Q56" i="1"/>
  <c r="Q57" i="1"/>
  <c r="Q103" i="1"/>
  <c r="Q115" i="1"/>
  <c r="Q145" i="1"/>
  <c r="Q146" i="1"/>
  <c r="Q149" i="1"/>
  <c r="Q170" i="1"/>
  <c r="Q171" i="1"/>
  <c r="Q179" i="1"/>
  <c r="Q182" i="1"/>
  <c r="Q183" i="1"/>
  <c r="Q184" i="1"/>
  <c r="Q190" i="1"/>
  <c r="Q379" i="1"/>
  <c r="Q463" i="1"/>
  <c r="Q475" i="1"/>
  <c r="Q530" i="1"/>
  <c r="Q535" i="1"/>
  <c r="Q546" i="1"/>
  <c r="Q547" i="1"/>
  <c r="Q757" i="1"/>
  <c r="Q765" i="1"/>
  <c r="Q798" i="1"/>
  <c r="Q837" i="1"/>
  <c r="Q916" i="1"/>
  <c r="Q1000" i="1"/>
  <c r="Q1003" i="1"/>
  <c r="Q1047" i="1"/>
  <c r="Q1049" i="1"/>
  <c r="Q1116" i="1"/>
  <c r="Q1121" i="1"/>
  <c r="Q1125" i="1"/>
  <c r="Q1153" i="1"/>
  <c r="Q1154" i="1"/>
  <c r="Q1155" i="1"/>
  <c r="Q1156" i="1"/>
  <c r="Q1157" i="1"/>
  <c r="Q1173" i="1"/>
  <c r="Q1212" i="1"/>
  <c r="Q48" i="1"/>
  <c r="Q230" i="1"/>
  <c r="Q876" i="1"/>
  <c r="Q150" i="1"/>
  <c r="Q260" i="1"/>
  <c r="Q6" i="1"/>
  <c r="Q86" i="1"/>
  <c r="Q88" i="1"/>
  <c r="Q89" i="1"/>
  <c r="Q90" i="1"/>
  <c r="Q91" i="1"/>
  <c r="Q92" i="1"/>
  <c r="Q113" i="1"/>
  <c r="Q117" i="1"/>
  <c r="Q135" i="1"/>
  <c r="Q172" i="1"/>
  <c r="Q173" i="1"/>
  <c r="Q174" i="1"/>
  <c r="Q177" i="1"/>
  <c r="Q213" i="1"/>
  <c r="Q221" i="1"/>
  <c r="Q224" i="1"/>
  <c r="Q227" i="1"/>
  <c r="Q228" i="1"/>
  <c r="Q231" i="1"/>
  <c r="Q234" i="1"/>
  <c r="Q267" i="1"/>
  <c r="Q331" i="1"/>
  <c r="Q409" i="1"/>
  <c r="Q410" i="1"/>
  <c r="Q501" i="1"/>
  <c r="Q532" i="1"/>
  <c r="Q534" i="1"/>
  <c r="Q536" i="1"/>
  <c r="Q564" i="1"/>
  <c r="Q565" i="1"/>
  <c r="Q576" i="1"/>
  <c r="Q582" i="1"/>
  <c r="Q586" i="1"/>
  <c r="Q632" i="1"/>
  <c r="Q645" i="1"/>
  <c r="Q682" i="1"/>
  <c r="Q813" i="1"/>
  <c r="Q823" i="1"/>
  <c r="Q921" i="1"/>
  <c r="Q930" i="1"/>
  <c r="Q933" i="1"/>
  <c r="Q934" i="1"/>
  <c r="Q1096" i="1"/>
  <c r="Q1107" i="1"/>
  <c r="Q273" i="1"/>
  <c r="Q1124" i="1"/>
  <c r="Q275" i="1"/>
  <c r="Q392" i="1"/>
  <c r="Q451" i="1"/>
  <c r="Q574" i="1"/>
  <c r="Q648" i="1"/>
  <c r="Q659" i="1"/>
  <c r="Q764" i="1"/>
  <c r="Q833" i="1"/>
  <c r="Q924" i="1"/>
  <c r="Q998" i="1"/>
  <c r="Q1207" i="1"/>
  <c r="Q47" i="1"/>
  <c r="Q65" i="1"/>
  <c r="Q137" i="1"/>
  <c r="Q153" i="1"/>
  <c r="Q272" i="1"/>
  <c r="Q315" i="1"/>
  <c r="Q350" i="1"/>
  <c r="Q452" i="1"/>
  <c r="Q462" i="1"/>
  <c r="Q472" i="1"/>
  <c r="Q512" i="1"/>
  <c r="Q583" i="1"/>
  <c r="Q597" i="1"/>
  <c r="Q688" i="1"/>
  <c r="Q689" i="1"/>
  <c r="Q925" i="1"/>
  <c r="Q1152" i="1"/>
  <c r="Q1158" i="1"/>
  <c r="Q73" i="1"/>
  <c r="Q456" i="1"/>
  <c r="Q1187" i="1"/>
  <c r="Q110" i="1"/>
  <c r="Q786" i="1"/>
  <c r="Q217" i="1"/>
  <c r="Q327" i="1"/>
  <c r="Q328" i="1"/>
  <c r="Q329" i="1"/>
  <c r="Q333" i="1"/>
  <c r="Q426" i="1"/>
  <c r="Q459" i="1"/>
  <c r="Q563" i="1"/>
  <c r="Q634" i="1"/>
  <c r="Q690" i="1"/>
  <c r="Q845" i="1"/>
  <c r="Q853" i="1"/>
  <c r="Q857" i="1"/>
  <c r="Q899" i="1"/>
  <c r="Q936" i="1"/>
  <c r="Q937" i="1"/>
  <c r="Q938" i="1"/>
  <c r="Q1051" i="1"/>
  <c r="Q1076" i="1"/>
  <c r="Q1081" i="1"/>
  <c r="Q1099" i="1"/>
  <c r="Q1162" i="1"/>
  <c r="Q1166" i="1"/>
  <c r="Q1170" i="1"/>
  <c r="Q1184" i="1"/>
  <c r="Q1194" i="1"/>
  <c r="Q438" i="1"/>
  <c r="Q450" i="1"/>
  <c r="Q516" i="1"/>
  <c r="Q543" i="1"/>
  <c r="Q705" i="1"/>
  <c r="Q709" i="1"/>
  <c r="Q830" i="1"/>
  <c r="Q870" i="1"/>
  <c r="Q887" i="1"/>
  <c r="Q1058" i="1"/>
  <c r="Q283" i="1"/>
  <c r="Q347" i="1"/>
  <c r="Q784" i="1"/>
  <c r="Q881" i="1"/>
  <c r="Q946" i="1"/>
  <c r="Q1088" i="1"/>
  <c r="Q338" i="1"/>
  <c r="Q399" i="1"/>
  <c r="Q404" i="1"/>
  <c r="Q458" i="1"/>
  <c r="Q681" i="1"/>
  <c r="Q821" i="1"/>
  <c r="Q874" i="1"/>
  <c r="Q898" i="1"/>
  <c r="Q1006" i="1"/>
  <c r="Q1062" i="1"/>
  <c r="Q340" i="1"/>
  <c r="Q741" i="1"/>
  <c r="Q826" i="1"/>
  <c r="Q829" i="1"/>
  <c r="Q859" i="1"/>
  <c r="Q864" i="1"/>
  <c r="Q920" i="1"/>
  <c r="Q947" i="1"/>
  <c r="Q954" i="1"/>
  <c r="Q984" i="1"/>
  <c r="Q987" i="1"/>
  <c r="Q1059" i="1"/>
  <c r="Q1101" i="1"/>
  <c r="Q1188" i="1"/>
  <c r="Q403" i="1"/>
  <c r="Q269" i="1"/>
  <c r="Q319" i="1"/>
  <c r="Q320" i="1"/>
  <c r="Q322" i="1"/>
  <c r="Q337" i="1"/>
  <c r="Q345" i="1"/>
  <c r="Q368" i="1"/>
  <c r="Q370" i="1"/>
  <c r="Q371" i="1"/>
  <c r="Q373" i="1"/>
  <c r="Q375" i="1"/>
  <c r="Q376" i="1"/>
  <c r="Q394" i="1"/>
  <c r="Q396" i="1"/>
  <c r="Q397" i="1"/>
  <c r="Q398" i="1"/>
  <c r="Q400" i="1"/>
  <c r="Q402" i="1"/>
  <c r="Q405" i="1"/>
  <c r="Q407" i="1"/>
  <c r="Q408" i="1"/>
  <c r="Q492" i="1"/>
  <c r="Q515" i="1"/>
  <c r="Q699" i="1"/>
  <c r="Q707" i="1"/>
  <c r="Q812" i="1"/>
  <c r="Q828" i="1"/>
  <c r="Q863" i="1"/>
  <c r="Q877" i="1"/>
  <c r="Q879" i="1"/>
  <c r="Q944" i="1"/>
  <c r="Q1056" i="1"/>
  <c r="Q1057" i="1"/>
  <c r="Q1061" i="1"/>
  <c r="Q1100" i="1"/>
  <c r="Q1163" i="1"/>
  <c r="Q1178" i="1"/>
  <c r="Q192" i="1"/>
  <c r="Q198" i="1"/>
  <c r="Q477" i="1"/>
  <c r="Q927" i="1"/>
  <c r="Q193" i="1"/>
  <c r="Q195" i="1"/>
  <c r="Q476" i="1"/>
  <c r="Q575" i="1"/>
  <c r="Q1064" i="1"/>
  <c r="Q63" i="1"/>
  <c r="Q64" i="1"/>
  <c r="Q93" i="1"/>
  <c r="Q191" i="1"/>
  <c r="Q196" i="1"/>
  <c r="Q323" i="1"/>
  <c r="Q469" i="1"/>
  <c r="Q473" i="1"/>
  <c r="Q504" i="1"/>
  <c r="Q513" i="1"/>
  <c r="Q514" i="1"/>
  <c r="Q676" i="1"/>
  <c r="Q780" i="1"/>
  <c r="Q840" i="1"/>
  <c r="Q896" i="1"/>
  <c r="Q918" i="1"/>
  <c r="Q922" i="1"/>
  <c r="Q923" i="1"/>
  <c r="Q943" i="1"/>
  <c r="Q983" i="1"/>
  <c r="Q300" i="1"/>
  <c r="Q537" i="1"/>
  <c r="Q854" i="1"/>
  <c r="Q7" i="1"/>
  <c r="Q164" i="1"/>
  <c r="Q270" i="1"/>
  <c r="Q581" i="1"/>
  <c r="Q1185" i="1"/>
  <c r="Q374" i="1"/>
  <c r="Q39" i="1"/>
  <c r="Q138" i="1"/>
  <c r="Q454" i="1"/>
  <c r="Q577" i="1"/>
  <c r="Q758" i="1"/>
  <c r="Q1082" i="1"/>
  <c r="Q692" i="1"/>
  <c r="Q293" i="1"/>
  <c r="Q325" i="1"/>
  <c r="Q441" i="1"/>
  <c r="Q653" i="1"/>
  <c r="Q831" i="1"/>
  <c r="Q890" i="1"/>
  <c r="Q978" i="1"/>
  <c r="Q986" i="1"/>
  <c r="Q71" i="1"/>
  <c r="Q281" i="1"/>
  <c r="Q294" i="1"/>
  <c r="Q301" i="1"/>
  <c r="Q302" i="1"/>
  <c r="Q303" i="1"/>
  <c r="Q304" i="1"/>
  <c r="Q305" i="1"/>
  <c r="Q324" i="1"/>
  <c r="Q343" i="1"/>
  <c r="Q346" i="1"/>
  <c r="Q428" i="1"/>
  <c r="Q442" i="1"/>
  <c r="Q495" i="1"/>
  <c r="Q572" i="1"/>
  <c r="Q579" i="1"/>
  <c r="Q580" i="1"/>
  <c r="Q584" i="1"/>
  <c r="Q589" i="1"/>
  <c r="Q595" i="1"/>
  <c r="Q655" i="1"/>
  <c r="Q668" i="1"/>
  <c r="Q683" i="1"/>
  <c r="Q691" i="1"/>
  <c r="Q693" i="1"/>
  <c r="Q706" i="1"/>
  <c r="Q713" i="1"/>
  <c r="Q740" i="1"/>
  <c r="Q762" i="1"/>
  <c r="Q842" i="1"/>
  <c r="Q871" i="1"/>
  <c r="Q872" i="1"/>
  <c r="Q882" i="1"/>
  <c r="Q935" i="1"/>
  <c r="Q985" i="1"/>
  <c r="Q1039" i="1"/>
  <c r="Q1063" i="1"/>
  <c r="Q1075" i="1"/>
  <c r="Q1079" i="1"/>
  <c r="Q1102" i="1"/>
  <c r="Q1182" i="1"/>
  <c r="Q561" i="1"/>
  <c r="Q602" i="1"/>
  <c r="Q929" i="1"/>
  <c r="Q415" i="1"/>
  <c r="Q893" i="1"/>
  <c r="Q19" i="1"/>
  <c r="Q126" i="1"/>
  <c r="Q232" i="1"/>
  <c r="Q542" i="1"/>
  <c r="Q587" i="1"/>
  <c r="Q603" i="1"/>
  <c r="Q604" i="1"/>
  <c r="Q712" i="1"/>
  <c r="Q759" i="1"/>
  <c r="Q779" i="1"/>
  <c r="Q858" i="1"/>
  <c r="Q860" i="1"/>
  <c r="Q880" i="1"/>
  <c r="Q883" i="1"/>
  <c r="Q888" i="1"/>
  <c r="Q945" i="1"/>
  <c r="Q1055" i="1"/>
  <c r="Q1093" i="1"/>
  <c r="Q1183" i="1"/>
  <c r="Q618" i="1"/>
  <c r="Q621" i="1"/>
  <c r="Q647" i="1"/>
  <c r="Q651" i="1"/>
  <c r="Q966" i="1"/>
  <c r="Q1004" i="1"/>
  <c r="Q1024" i="1"/>
  <c r="Q1005" i="1"/>
  <c r="Q1181" i="1"/>
  <c r="Q280" i="1"/>
  <c r="Q334" i="1"/>
  <c r="Q341" i="1"/>
  <c r="Q483" i="1"/>
  <c r="Q538" i="1"/>
  <c r="Q578" i="1"/>
  <c r="Q606" i="1"/>
  <c r="Q610" i="1"/>
  <c r="Q616" i="1"/>
  <c r="Q622" i="1"/>
  <c r="Q624" i="1"/>
  <c r="Q626" i="1"/>
  <c r="Q627" i="1"/>
  <c r="Q649" i="1"/>
  <c r="Q650" i="1"/>
  <c r="Q680" i="1"/>
  <c r="Q700" i="1"/>
  <c r="Q716" i="1"/>
  <c r="Q781" i="1"/>
  <c r="Q782" i="1"/>
  <c r="Q795" i="1"/>
  <c r="Q838" i="1"/>
  <c r="Q894" i="1"/>
  <c r="Q895" i="1"/>
  <c r="Q897" i="1"/>
  <c r="Q939" i="1"/>
  <c r="Q940" i="1"/>
  <c r="Q951" i="1"/>
  <c r="Q962" i="1"/>
  <c r="Q964" i="1"/>
  <c r="Q965" i="1"/>
  <c r="Q1038" i="1"/>
  <c r="Q1040" i="1"/>
  <c r="Q1077" i="1"/>
  <c r="Q1089" i="1"/>
  <c r="Q1090" i="1"/>
  <c r="Q1122" i="1"/>
  <c r="Q1123" i="1"/>
  <c r="Q614" i="1"/>
  <c r="Q349" i="1"/>
  <c r="Q868" i="1"/>
  <c r="Q988" i="1"/>
  <c r="Q40" i="1"/>
  <c r="Q94" i="1"/>
  <c r="Q154" i="1"/>
  <c r="Q233" i="1"/>
  <c r="Q261" i="1"/>
  <c r="Q276" i="1"/>
  <c r="Q277" i="1"/>
  <c r="Q278" i="1"/>
  <c r="Q308" i="1"/>
  <c r="Q321" i="1"/>
  <c r="Q393" i="1"/>
  <c r="Q439" i="1"/>
  <c r="Q470" i="1"/>
  <c r="Q608" i="1"/>
  <c r="Q609" i="1"/>
  <c r="Q611" i="1"/>
  <c r="Q620" i="1"/>
  <c r="Q623" i="1"/>
  <c r="Q625" i="1"/>
  <c r="Q628" i="1"/>
  <c r="Q629" i="1"/>
  <c r="Q633" i="1"/>
  <c r="Q685" i="1"/>
  <c r="Q701" i="1"/>
  <c r="Q714" i="1"/>
  <c r="Q756" i="1"/>
  <c r="Q769" i="1"/>
  <c r="Q785" i="1"/>
  <c r="Q884" i="1"/>
  <c r="Q885" i="1"/>
  <c r="Q1035" i="1"/>
  <c r="Q1037" i="1"/>
  <c r="Q1074" i="1"/>
  <c r="Q1091" i="1"/>
  <c r="Q21" i="1"/>
  <c r="Q123" i="1"/>
  <c r="Q127" i="1"/>
  <c r="Q158" i="1"/>
  <c r="Q175" i="1"/>
  <c r="Q176" i="1"/>
  <c r="Q256" i="1"/>
  <c r="Q698" i="1"/>
  <c r="Q124" i="1"/>
  <c r="Q389" i="1"/>
  <c r="Q468" i="1"/>
  <c r="Q730" i="1"/>
  <c r="Q738" i="1"/>
  <c r="Q796" i="1"/>
  <c r="Q1133" i="1"/>
  <c r="Q20" i="1"/>
  <c r="Q118" i="1"/>
  <c r="Q119" i="1"/>
  <c r="Q120" i="1"/>
  <c r="Q122" i="1"/>
  <c r="Q210" i="1"/>
  <c r="Q238" i="1"/>
  <c r="Q264" i="1"/>
  <c r="Q268" i="1"/>
  <c r="Q332" i="1"/>
  <c r="Q390" i="1"/>
  <c r="Q391" i="1"/>
  <c r="Q449" i="1"/>
  <c r="Q464" i="1"/>
  <c r="Q541" i="1"/>
  <c r="Q551" i="1"/>
  <c r="Q552" i="1"/>
  <c r="Q553" i="1"/>
  <c r="Q601" i="1"/>
  <c r="Q667" i="1"/>
  <c r="Q677" i="1"/>
  <c r="Q684" i="1"/>
  <c r="Q687" i="1"/>
  <c r="Q697" i="1"/>
  <c r="Q723" i="1"/>
  <c r="Q725" i="1"/>
  <c r="Q729" i="1"/>
  <c r="Q731" i="1"/>
  <c r="Q732" i="1"/>
  <c r="Q733" i="1"/>
  <c r="Q735" i="1"/>
  <c r="Q737" i="1"/>
  <c r="Q739" i="1"/>
  <c r="Q745" i="1"/>
  <c r="Q748" i="1"/>
  <c r="Q751" i="1"/>
  <c r="Q752" i="1"/>
  <c r="Q753" i="1"/>
  <c r="Q754" i="1"/>
  <c r="Q755" i="1"/>
  <c r="Q766" i="1"/>
  <c r="Q789" i="1"/>
  <c r="Q891" i="1"/>
  <c r="Q915" i="1"/>
  <c r="Q917" i="1"/>
  <c r="Q919" i="1"/>
  <c r="Q928" i="1"/>
  <c r="Q948" i="1"/>
  <c r="Q989" i="1"/>
  <c r="Q1103" i="1"/>
  <c r="Q1120" i="1"/>
  <c r="Q1130" i="1"/>
  <c r="Q1131" i="1"/>
  <c r="Q1132" i="1"/>
  <c r="Q1169" i="1"/>
  <c r="Q1172" i="1"/>
  <c r="Q1175" i="1"/>
  <c r="Q1190" i="1"/>
  <c r="Q1205" i="1"/>
  <c r="Q1208" i="1"/>
  <c r="Q255" i="1"/>
  <c r="Q432" i="1"/>
  <c r="Q433" i="1"/>
  <c r="Q434" i="1"/>
  <c r="Q435" i="1"/>
  <c r="Q436" i="1"/>
  <c r="Q437" i="1"/>
  <c r="Q363" i="1"/>
  <c r="Q569" i="1"/>
  <c r="Q911" i="1"/>
  <c r="Q243" i="1"/>
  <c r="Q359" i="1"/>
  <c r="Q31" i="1"/>
  <c r="Q43" i="1"/>
  <c r="Q45" i="1"/>
  <c r="Q51" i="1"/>
  <c r="Q52" i="1"/>
  <c r="Q53" i="1"/>
  <c r="Q54" i="1"/>
  <c r="Q55" i="1"/>
  <c r="Q109" i="1"/>
  <c r="Q237" i="1"/>
  <c r="Q242" i="1"/>
  <c r="Q244" i="1"/>
  <c r="Q245" i="1"/>
  <c r="Q356" i="1"/>
  <c r="Q360" i="1"/>
  <c r="Q364" i="1"/>
  <c r="Q365" i="1"/>
  <c r="Q366" i="1"/>
  <c r="Q367" i="1"/>
  <c r="Q431" i="1"/>
  <c r="Q461" i="1"/>
  <c r="Q494" i="1"/>
  <c r="Q496" i="1"/>
  <c r="Q528" i="1"/>
  <c r="Q555" i="1"/>
  <c r="Q556" i="1"/>
  <c r="Q557" i="1"/>
  <c r="Q559" i="1"/>
  <c r="Q560" i="1"/>
  <c r="Q570" i="1"/>
  <c r="Q636" i="1"/>
  <c r="Q637" i="1"/>
  <c r="Q638" i="1"/>
  <c r="Q639" i="1"/>
  <c r="Q640" i="1"/>
  <c r="Q641" i="1"/>
  <c r="Q642" i="1"/>
  <c r="Q643" i="1"/>
  <c r="Q664" i="1"/>
  <c r="Q665" i="1"/>
  <c r="Q814" i="1"/>
  <c r="Q815" i="1"/>
  <c r="Q816" i="1"/>
  <c r="Q822" i="1"/>
  <c r="Q912" i="1"/>
  <c r="Q931" i="1"/>
  <c r="Q963" i="1"/>
  <c r="Q1027" i="1"/>
  <c r="Q1112" i="1"/>
  <c r="Q1149" i="1"/>
  <c r="Q1206" i="1"/>
  <c r="Q162" i="1"/>
  <c r="Q421" i="1"/>
  <c r="Q522" i="1"/>
  <c r="Q98" i="1"/>
  <c r="Q253" i="1"/>
  <c r="Q286" i="1"/>
  <c r="Q188" i="1"/>
  <c r="Q8" i="1"/>
  <c r="Q9" i="1"/>
  <c r="Q10" i="1"/>
  <c r="Q11" i="1"/>
  <c r="Q12" i="1"/>
  <c r="Q13" i="1"/>
  <c r="Q61" i="1"/>
  <c r="Q62" i="1"/>
  <c r="Q76" i="1"/>
  <c r="Q78" i="1"/>
  <c r="Q79" i="1"/>
  <c r="Q83" i="1"/>
  <c r="Q95" i="1"/>
  <c r="Q121" i="1"/>
  <c r="Q128" i="1"/>
  <c r="Q130" i="1"/>
  <c r="Q147" i="1"/>
  <c r="Q187" i="1"/>
  <c r="Q189" i="1"/>
  <c r="Q254" i="1"/>
  <c r="Q284" i="1"/>
  <c r="Q285" i="1"/>
  <c r="Q287" i="1"/>
  <c r="Q288" i="1"/>
  <c r="Q289" i="1"/>
  <c r="Q290" i="1"/>
  <c r="Q291" i="1"/>
  <c r="Q312" i="1"/>
  <c r="Q313" i="1"/>
  <c r="Q314" i="1"/>
  <c r="Q380" i="1"/>
  <c r="Q420" i="1"/>
  <c r="Q422" i="1"/>
  <c r="Q447" i="1"/>
  <c r="Q448" i="1"/>
  <c r="Q590" i="1"/>
  <c r="Q591" i="1"/>
  <c r="Q592" i="1"/>
  <c r="Q594" i="1"/>
  <c r="Q760" i="1"/>
  <c r="Q771" i="1"/>
  <c r="Q772" i="1"/>
  <c r="Q775" i="1"/>
  <c r="Q941" i="1"/>
  <c r="Q955" i="1"/>
  <c r="Q957" i="1"/>
  <c r="Q958" i="1"/>
  <c r="Q960" i="1"/>
  <c r="Q961" i="1"/>
  <c r="Q967" i="1"/>
  <c r="Q1159" i="1"/>
  <c r="Q27" i="1"/>
  <c r="Q148" i="1"/>
  <c r="Q161" i="1"/>
  <c r="Q201" i="1"/>
  <c r="Q219" i="1"/>
  <c r="Q846" i="1"/>
  <c r="Q856" i="1"/>
  <c r="Q1108" i="1"/>
  <c r="Q1209" i="1"/>
  <c r="Q22" i="1"/>
  <c r="Q23" i="1"/>
  <c r="Q24" i="1"/>
  <c r="Q25" i="1"/>
  <c r="Q26" i="1"/>
  <c r="Q28" i="1"/>
  <c r="Q29" i="1"/>
  <c r="Q30" i="1"/>
  <c r="Q32" i="1"/>
  <c r="Q44" i="1"/>
  <c r="Q46" i="1"/>
  <c r="Q49" i="1"/>
  <c r="Q67" i="1"/>
  <c r="Q68" i="1"/>
  <c r="Q70" i="1"/>
  <c r="Q96" i="1"/>
  <c r="Q102" i="1"/>
  <c r="Q105" i="1"/>
  <c r="Q106" i="1"/>
  <c r="Q107" i="1"/>
  <c r="Q108" i="1"/>
  <c r="Q160" i="1"/>
  <c r="Q200" i="1"/>
  <c r="Q352" i="1"/>
  <c r="Q353" i="1"/>
  <c r="Q354" i="1"/>
  <c r="Q377" i="1"/>
  <c r="Q378" i="1"/>
  <c r="Q423" i="1"/>
  <c r="Q430" i="1"/>
  <c r="Q467" i="1"/>
  <c r="Q481" i="1"/>
  <c r="Q485" i="1"/>
  <c r="Q487" i="1"/>
  <c r="Q488" i="1"/>
  <c r="Q489" i="1"/>
  <c r="Q490" i="1"/>
  <c r="Q526" i="1"/>
  <c r="Q544" i="1"/>
  <c r="Q658" i="1"/>
  <c r="Q797" i="1"/>
  <c r="Q803" i="1"/>
  <c r="Q818" i="1"/>
  <c r="Q950" i="1"/>
  <c r="Q952" i="1"/>
  <c r="Q953" i="1"/>
  <c r="Q1008" i="1"/>
  <c r="Q1044" i="1"/>
  <c r="Q1094" i="1"/>
  <c r="Q1095" i="1"/>
  <c r="Q1109" i="1"/>
  <c r="Q1110" i="1"/>
  <c r="Q1113" i="1"/>
  <c r="Q1114" i="1"/>
  <c r="Q1165" i="1"/>
  <c r="Q151" i="1"/>
  <c r="Q387" i="1"/>
  <c r="Q850" i="1"/>
  <c r="Q900" i="1"/>
  <c r="Q901" i="1"/>
  <c r="Q1001" i="1"/>
  <c r="Q99" i="1"/>
  <c r="Q216" i="1"/>
  <c r="Q719" i="1"/>
  <c r="Q800" i="1"/>
  <c r="Q1210" i="1"/>
  <c r="Q80" i="1"/>
  <c r="Q101" i="1"/>
  <c r="Q116" i="1"/>
  <c r="Q143" i="1"/>
  <c r="Q144" i="1"/>
  <c r="Q159" i="1"/>
  <c r="Q169" i="1"/>
  <c r="Q199" i="1"/>
  <c r="Q208" i="1"/>
  <c r="Q214" i="1"/>
  <c r="Q215" i="1"/>
  <c r="Q236" i="1"/>
  <c r="Q240" i="1"/>
  <c r="Q257" i="1"/>
  <c r="Q258" i="1"/>
  <c r="Q335" i="1"/>
  <c r="Q357" i="1"/>
  <c r="Q358" i="1"/>
  <c r="Q383" i="1"/>
  <c r="Q384" i="1"/>
  <c r="Q385" i="1"/>
  <c r="Q386" i="1"/>
  <c r="Q416" i="1"/>
  <c r="Q417" i="1"/>
  <c r="Q418" i="1"/>
  <c r="Q491" i="1"/>
  <c r="Q539" i="1"/>
  <c r="Q673" i="1"/>
  <c r="Q675" i="1"/>
  <c r="Q718" i="1"/>
  <c r="Q720" i="1"/>
  <c r="Q721" i="1"/>
  <c r="Q724" i="1"/>
  <c r="Q801" i="1"/>
  <c r="Q802" i="1"/>
  <c r="Q807" i="1"/>
  <c r="Q808" i="1"/>
  <c r="Q825" i="1"/>
  <c r="Q847" i="1"/>
  <c r="Q849" i="1"/>
  <c r="Q851" i="1"/>
  <c r="Q873" i="1"/>
  <c r="Q1012" i="1"/>
  <c r="Q1148" i="1"/>
  <c r="Q1200" i="1"/>
  <c r="Q1201" i="1"/>
  <c r="Q1202" i="1"/>
  <c r="Q1203" i="1"/>
  <c r="Q1211" i="1"/>
  <c r="Q1213" i="1"/>
  <c r="Q1214" i="1"/>
  <c r="Q660" i="1"/>
  <c r="Q973" i="1"/>
  <c r="Q974" i="1"/>
  <c r="Q1127" i="1"/>
  <c r="Q1128" i="1"/>
  <c r="Q1151" i="1"/>
  <c r="Q1199" i="1"/>
  <c r="Q33" i="1"/>
  <c r="Q34" i="1"/>
  <c r="Q35" i="1"/>
  <c r="Q36" i="1"/>
  <c r="Q37" i="1"/>
  <c r="Q141" i="1"/>
  <c r="Q165" i="1"/>
  <c r="Q166" i="1"/>
  <c r="Q167" i="1"/>
  <c r="Q205" i="1"/>
  <c r="Q206" i="1"/>
  <c r="Q248" i="1"/>
  <c r="Q249" i="1"/>
  <c r="Q251" i="1"/>
  <c r="Q252" i="1"/>
  <c r="Q262" i="1"/>
  <c r="Q361" i="1"/>
  <c r="Q424" i="1"/>
  <c r="Q425" i="1"/>
  <c r="Q445" i="1"/>
  <c r="Q446" i="1"/>
  <c r="Q497" i="1"/>
  <c r="Q498" i="1"/>
  <c r="Q523" i="1"/>
  <c r="Q661" i="1"/>
  <c r="Q662" i="1"/>
  <c r="Q663" i="1"/>
  <c r="Q674" i="1"/>
  <c r="Q770" i="1"/>
  <c r="Q787" i="1"/>
  <c r="Q788" i="1"/>
  <c r="Q791" i="1"/>
  <c r="Q806" i="1"/>
  <c r="Q810" i="1"/>
  <c r="Q975" i="1"/>
  <c r="Q976" i="1"/>
  <c r="Q977" i="1"/>
  <c r="Q990" i="1"/>
  <c r="Q991" i="1"/>
  <c r="Q992" i="1"/>
  <c r="Q993" i="1"/>
  <c r="Q995" i="1"/>
  <c r="Q996" i="1"/>
  <c r="Q1043" i="1"/>
  <c r="Q1129" i="1"/>
  <c r="Q1167" i="1"/>
  <c r="Q1168" i="1"/>
  <c r="Q1176" i="1"/>
  <c r="Q1177" i="1"/>
  <c r="Q1179" i="1"/>
  <c r="Q1180" i="1"/>
  <c r="Q1191" i="1"/>
  <c r="Q1192" i="1"/>
  <c r="Q1193" i="1"/>
  <c r="Q510" i="1"/>
  <c r="Q3" i="1"/>
  <c r="Q4" i="1"/>
  <c r="Q16" i="1"/>
  <c r="Q17" i="1"/>
  <c r="Q18" i="1"/>
  <c r="Q66" i="1"/>
  <c r="Q129" i="1"/>
  <c r="Q133" i="1"/>
  <c r="Q134" i="1"/>
  <c r="Q298" i="1"/>
  <c r="Q299" i="1"/>
  <c r="Q307" i="1"/>
  <c r="Q309" i="1"/>
  <c r="Q310" i="1"/>
  <c r="Q311" i="1"/>
  <c r="Q316" i="1"/>
  <c r="Q317" i="1"/>
  <c r="Q330" i="1"/>
  <c r="Q351" i="1"/>
  <c r="Q362" i="1"/>
  <c r="Q414" i="1"/>
  <c r="Q455" i="1"/>
  <c r="Q460" i="1"/>
  <c r="Q518" i="1"/>
  <c r="Q519" i="1"/>
  <c r="Q520" i="1"/>
  <c r="Q527" i="1"/>
  <c r="Q550" i="1"/>
  <c r="Q566" i="1"/>
  <c r="Q567" i="1"/>
  <c r="Q670" i="1"/>
  <c r="Q671" i="1"/>
  <c r="Q672" i="1"/>
  <c r="Q790" i="1"/>
  <c r="Q794" i="1"/>
  <c r="Q804" i="1"/>
  <c r="Q817" i="1"/>
  <c r="Q819" i="1"/>
  <c r="Q820" i="1"/>
  <c r="Q841" i="1"/>
  <c r="Q848" i="1"/>
  <c r="Q892" i="1"/>
  <c r="Q913" i="1"/>
  <c r="Q914" i="1"/>
  <c r="Q926" i="1"/>
  <c r="Q942" i="1"/>
  <c r="Q997" i="1"/>
  <c r="Q1009" i="1"/>
  <c r="Q1026" i="1"/>
  <c r="Q1028" i="1"/>
  <c r="Q1042" i="1"/>
  <c r="Q1045" i="1"/>
  <c r="Q1115" i="1"/>
  <c r="Q1147" i="1"/>
  <c r="Q1150" i="1"/>
  <c r="Q1197" i="1"/>
  <c r="Q1126" i="1"/>
  <c r="Q440" i="1"/>
  <c r="Q1071" i="1"/>
  <c r="Q296" i="1"/>
  <c r="Q631" i="1"/>
  <c r="Q834" i="1"/>
  <c r="Q836" i="1"/>
  <c r="Q968" i="1"/>
  <c r="Q702" i="1"/>
  <c r="Q708" i="1"/>
  <c r="Q866" i="1"/>
  <c r="Q1054" i="1"/>
  <c r="Q1073" i="1"/>
  <c r="Q152" i="1"/>
  <c r="Q344" i="1"/>
  <c r="Q429" i="1"/>
  <c r="Q482" i="1"/>
  <c r="Q499" i="1"/>
  <c r="Q503" i="1"/>
  <c r="Q588" i="1"/>
  <c r="Q598" i="1"/>
  <c r="Q600" i="1"/>
  <c r="Q686" i="1"/>
  <c r="Q694" i="1"/>
  <c r="Q703" i="1"/>
  <c r="Q832" i="1"/>
  <c r="Q835" i="1"/>
  <c r="Q852" i="1"/>
  <c r="Q861" i="1"/>
  <c r="Q862" i="1"/>
  <c r="Q865" i="1"/>
  <c r="Q875" i="1"/>
  <c r="Q878" i="1"/>
  <c r="Q886" i="1"/>
  <c r="Q889" i="1"/>
  <c r="Q949" i="1"/>
  <c r="Q970" i="1"/>
  <c r="Q1046" i="1"/>
  <c r="Q1060" i="1"/>
  <c r="Q1072" i="1"/>
  <c r="Q1174" i="1"/>
  <c r="Q443" i="1"/>
  <c r="Q500" i="1"/>
  <c r="Q750" i="1"/>
  <c r="Q761" i="1"/>
  <c r="Q1083" i="1"/>
  <c r="Q77" i="1"/>
  <c r="Q211" i="1"/>
  <c r="Q246" i="1"/>
  <c r="Q747" i="1"/>
  <c r="Q904" i="1"/>
  <c r="Q1117" i="1"/>
  <c r="Q14" i="1"/>
  <c r="Q15" i="1"/>
  <c r="Q84" i="1"/>
  <c r="Q131" i="1"/>
  <c r="Q265" i="1"/>
  <c r="Q266" i="1"/>
  <c r="Q419" i="1"/>
  <c r="Q444" i="1"/>
  <c r="Q471" i="1"/>
  <c r="Q474" i="1"/>
  <c r="Q531" i="1"/>
  <c r="Q545" i="1"/>
  <c r="Q548" i="1"/>
  <c r="Q571" i="1"/>
  <c r="Q749" i="1"/>
  <c r="Q763" i="1"/>
  <c r="Q774" i="1"/>
  <c r="Q777" i="1"/>
  <c r="Q902" i="1"/>
  <c r="Q903" i="1"/>
  <c r="Q905" i="1"/>
  <c r="Q906" i="1"/>
  <c r="Q907" i="1"/>
  <c r="Q908" i="1"/>
  <c r="Q909" i="1"/>
  <c r="Q980" i="1"/>
  <c r="Q1007" i="1"/>
  <c r="Q1011" i="1"/>
  <c r="Q1052" i="1"/>
  <c r="Q1087" i="1"/>
  <c r="Q1097" i="1"/>
  <c r="Q1104" i="1"/>
  <c r="Q1118" i="1"/>
  <c r="Q1160" i="1"/>
  <c r="Q1161" i="1"/>
  <c r="Q599" i="1"/>
  <c r="Q630" i="1"/>
  <c r="Q646" i="1"/>
  <c r="Q704" i="1"/>
  <c r="Q783" i="1"/>
  <c r="Q1034" i="1"/>
  <c r="Q168" i="1"/>
  <c r="Q203" i="1"/>
  <c r="Q799" i="1"/>
  <c r="Q972" i="1"/>
  <c r="Q1092" i="1"/>
  <c r="Q1106" i="1"/>
  <c r="Q41" i="1"/>
  <c r="Q42" i="1"/>
  <c r="Q72" i="1"/>
  <c r="Q125" i="1"/>
  <c r="Q139" i="1"/>
  <c r="Q140" i="1"/>
  <c r="Q155" i="1"/>
  <c r="Q202" i="1"/>
  <c r="Q204" i="1"/>
  <c r="Q295" i="1"/>
  <c r="Q297" i="1"/>
  <c r="Q339" i="1"/>
  <c r="Q342" i="1"/>
  <c r="Q348" i="1"/>
  <c r="Q355" i="1"/>
  <c r="Q484" i="1"/>
  <c r="Q549" i="1"/>
  <c r="Q635" i="1"/>
  <c r="Q678" i="1"/>
  <c r="Q679" i="1"/>
  <c r="Q696" i="1"/>
  <c r="Q742" i="1"/>
  <c r="Q743" i="1"/>
  <c r="Q746" i="1"/>
  <c r="Q792" i="1"/>
  <c r="Q827" i="1"/>
  <c r="Q844" i="1"/>
  <c r="Q855" i="1"/>
  <c r="Q969" i="1"/>
  <c r="Q979" i="1"/>
  <c r="Q981" i="1"/>
  <c r="Q999" i="1"/>
  <c r="Q1014" i="1"/>
  <c r="Q1016" i="1"/>
  <c r="Q1017" i="1"/>
  <c r="Q1018" i="1"/>
  <c r="Q1022" i="1"/>
  <c r="Q1023" i="1"/>
  <c r="Q1025" i="1"/>
  <c r="Q1029" i="1"/>
  <c r="Q1031" i="1"/>
  <c r="Q1032" i="1"/>
  <c r="Q1033" i="1"/>
  <c r="Q1065" i="1"/>
  <c r="Q1078" i="1"/>
  <c r="Q1080" i="1"/>
  <c r="Q1086" i="1"/>
  <c r="Q75" i="1"/>
  <c r="Q282" i="1"/>
  <c r="Q867" i="1"/>
  <c r="Q982" i="1"/>
  <c r="Q59" i="1"/>
  <c r="Q562" i="1"/>
  <c r="Q695" i="1"/>
  <c r="Q711" i="1"/>
  <c r="Q910" i="1"/>
  <c r="Q60" i="1"/>
  <c r="Q142" i="1"/>
  <c r="Q156" i="1"/>
  <c r="Q157" i="1"/>
  <c r="Q292" i="1"/>
  <c r="Q388" i="1"/>
  <c r="Q540" i="1"/>
  <c r="Q596" i="1"/>
  <c r="Q657" i="1"/>
  <c r="Q744" i="1"/>
  <c r="Q778" i="1"/>
  <c r="Q793" i="1"/>
  <c r="Q843" i="1"/>
  <c r="Q1041" i="1"/>
  <c r="Q1067" i="1"/>
  <c r="Q1070" i="1"/>
  <c r="Q1164" i="1"/>
  <c r="Q81" i="1"/>
  <c r="Q132" i="1"/>
  <c r="Q218" i="1"/>
  <c r="Q271" i="1"/>
  <c r="Q505" i="1"/>
  <c r="Q717" i="1"/>
  <c r="Q1084" i="1"/>
  <c r="Q1196" i="1"/>
  <c r="Q554" i="1"/>
  <c r="Q1198" i="1"/>
  <c r="Q82" i="1"/>
  <c r="Q114" i="1"/>
  <c r="Q163" i="1"/>
  <c r="Q212" i="1"/>
  <c r="Q247" i="1"/>
  <c r="Q306" i="1"/>
  <c r="Q336" i="1"/>
  <c r="Q381" i="1"/>
  <c r="Q382" i="1"/>
  <c r="Q411" i="1"/>
  <c r="Q412" i="1"/>
  <c r="Q413" i="1"/>
  <c r="Q465" i="1"/>
  <c r="Q466" i="1"/>
  <c r="Q493" i="1"/>
  <c r="Q502" i="1"/>
  <c r="Q506" i="1"/>
  <c r="Q507" i="1"/>
  <c r="Q508" i="1"/>
  <c r="Q509" i="1"/>
  <c r="Q517" i="1"/>
  <c r="Q652" i="1"/>
  <c r="Q669" i="1"/>
  <c r="Q767" i="1"/>
  <c r="Q805" i="1"/>
  <c r="Q1134" i="1"/>
  <c r="Q1135" i="1"/>
  <c r="Q1136" i="1"/>
  <c r="Q1137" i="1"/>
  <c r="Q1138" i="1"/>
  <c r="Q1139" i="1"/>
  <c r="Q1140" i="1"/>
  <c r="Q1141" i="1"/>
  <c r="Q1144" i="1"/>
  <c r="Q1145" i="1"/>
  <c r="Q1146" i="1"/>
  <c r="Q1171" i="1"/>
  <c r="Q1189" i="1"/>
  <c r="Q1195" i="1"/>
  <c r="Q1204" i="1"/>
  <c r="P1175" i="1"/>
  <c r="P1190" i="1"/>
  <c r="P1205" i="1"/>
  <c r="P1208" i="1"/>
  <c r="P255" i="1"/>
  <c r="P432" i="1"/>
  <c r="P433" i="1"/>
  <c r="P434" i="1"/>
  <c r="P435" i="1"/>
  <c r="P436" i="1"/>
  <c r="P437" i="1"/>
  <c r="P363" i="1"/>
  <c r="P569" i="1"/>
  <c r="P911" i="1"/>
  <c r="P243" i="1"/>
  <c r="P359" i="1"/>
  <c r="P31" i="1"/>
  <c r="P43" i="1"/>
  <c r="P53" i="1"/>
  <c r="P54" i="1"/>
  <c r="P55" i="1"/>
  <c r="P109" i="1"/>
  <c r="P237" i="1"/>
  <c r="P242" i="1"/>
  <c r="P244" i="1"/>
  <c r="P245" i="1"/>
  <c r="P360" i="1"/>
  <c r="P364" i="1"/>
  <c r="P365" i="1"/>
  <c r="P366" i="1"/>
  <c r="P367" i="1"/>
  <c r="P431" i="1"/>
  <c r="P494" i="1"/>
  <c r="P528" i="1"/>
  <c r="P555" i="1"/>
  <c r="P556" i="1"/>
  <c r="P557" i="1"/>
  <c r="P560" i="1"/>
  <c r="P570" i="1"/>
  <c r="P636" i="1"/>
  <c r="P637" i="1"/>
  <c r="P638" i="1"/>
  <c r="P639" i="1"/>
  <c r="P641" i="1"/>
  <c r="P642" i="1"/>
  <c r="P643" i="1"/>
  <c r="P664" i="1"/>
  <c r="P665" i="1"/>
  <c r="P814" i="1"/>
  <c r="P815" i="1"/>
  <c r="P816" i="1"/>
  <c r="P822" i="1"/>
  <c r="P912" i="1"/>
  <c r="P963" i="1"/>
  <c r="P1027" i="1"/>
  <c r="P1112" i="1"/>
  <c r="P1149" i="1"/>
  <c r="P1206" i="1"/>
  <c r="P162" i="1"/>
  <c r="P421" i="1"/>
  <c r="P522" i="1"/>
  <c r="P98" i="1"/>
  <c r="P253" i="1"/>
  <c r="P286" i="1"/>
  <c r="P188" i="1"/>
  <c r="P8" i="1"/>
  <c r="P9" i="1"/>
  <c r="P10" i="1"/>
  <c r="P11" i="1"/>
  <c r="P12" i="1"/>
  <c r="P13" i="1"/>
  <c r="P61" i="1"/>
  <c r="P62" i="1"/>
  <c r="P76" i="1"/>
  <c r="P78" i="1"/>
  <c r="P79" i="1"/>
  <c r="P83" i="1"/>
  <c r="P95" i="1"/>
  <c r="P128" i="1"/>
  <c r="P130" i="1"/>
  <c r="P147" i="1"/>
  <c r="P187" i="1"/>
  <c r="P284" i="1"/>
  <c r="P285" i="1"/>
  <c r="P287" i="1"/>
  <c r="P288" i="1"/>
  <c r="P289" i="1"/>
  <c r="P290" i="1"/>
  <c r="P312" i="1"/>
  <c r="P313" i="1"/>
  <c r="P314" i="1"/>
  <c r="P380" i="1"/>
  <c r="P420" i="1"/>
  <c r="P422" i="1"/>
  <c r="P447" i="1"/>
  <c r="P448" i="1"/>
  <c r="P590" i="1"/>
  <c r="P591" i="1"/>
  <c r="P592" i="1"/>
  <c r="P594" i="1"/>
  <c r="P760" i="1"/>
  <c r="P771" i="1"/>
  <c r="P775" i="1"/>
  <c r="P941" i="1"/>
  <c r="P955" i="1"/>
  <c r="P958" i="1"/>
  <c r="P960" i="1"/>
  <c r="P961" i="1"/>
  <c r="P967" i="1"/>
  <c r="P27" i="1"/>
  <c r="P148" i="1"/>
  <c r="P161" i="1"/>
  <c r="P201" i="1"/>
  <c r="P219" i="1"/>
  <c r="P846" i="1"/>
  <c r="P856" i="1"/>
  <c r="P1108" i="1"/>
  <c r="P1209" i="1"/>
  <c r="P22" i="1"/>
  <c r="P23" i="1"/>
  <c r="P24" i="1"/>
  <c r="P25" i="1"/>
  <c r="P26" i="1"/>
  <c r="P29" i="1"/>
  <c r="P30" i="1"/>
  <c r="P44" i="1"/>
  <c r="P46" i="1"/>
  <c r="P49" i="1"/>
  <c r="P67" i="1"/>
  <c r="P68" i="1"/>
  <c r="P70" i="1"/>
  <c r="P96" i="1"/>
  <c r="P105" i="1"/>
  <c r="P106" i="1"/>
  <c r="P107" i="1"/>
  <c r="P108" i="1"/>
  <c r="P160" i="1"/>
  <c r="P200" i="1"/>
  <c r="P352" i="1"/>
  <c r="P377" i="1"/>
  <c r="P423" i="1"/>
  <c r="P430" i="1"/>
  <c r="P467" i="1"/>
  <c r="P481" i="1"/>
  <c r="P485" i="1"/>
  <c r="P487" i="1"/>
  <c r="P488" i="1"/>
  <c r="P489" i="1"/>
  <c r="P490" i="1"/>
  <c r="P526" i="1"/>
  <c r="P544" i="1"/>
  <c r="P797" i="1"/>
  <c r="P803" i="1"/>
  <c r="P818" i="1"/>
  <c r="P950" i="1"/>
  <c r="P952" i="1"/>
  <c r="P953" i="1"/>
  <c r="P1008" i="1"/>
  <c r="P1094" i="1"/>
  <c r="P1109" i="1"/>
  <c r="P1110" i="1"/>
  <c r="P1114" i="1"/>
  <c r="P1165" i="1"/>
  <c r="P151" i="1"/>
  <c r="P387" i="1"/>
  <c r="P850" i="1"/>
  <c r="P900" i="1"/>
  <c r="P901" i="1"/>
  <c r="P1001" i="1"/>
  <c r="P99" i="1"/>
  <c r="P216" i="1"/>
  <c r="P719" i="1"/>
  <c r="P800" i="1"/>
  <c r="P1210" i="1"/>
  <c r="P80" i="1"/>
  <c r="P101" i="1"/>
  <c r="P116" i="1"/>
  <c r="P143" i="1"/>
  <c r="P144" i="1"/>
  <c r="P159" i="1"/>
  <c r="P169" i="1"/>
  <c r="P199" i="1"/>
  <c r="P208" i="1"/>
  <c r="P214" i="1"/>
  <c r="P215" i="1"/>
  <c r="P236" i="1"/>
  <c r="P240" i="1"/>
  <c r="P257" i="1"/>
  <c r="P258" i="1"/>
  <c r="P335" i="1"/>
  <c r="P357" i="1"/>
  <c r="P358" i="1"/>
  <c r="P383" i="1"/>
  <c r="P384" i="1"/>
  <c r="P385" i="1"/>
  <c r="P386" i="1"/>
  <c r="P416" i="1"/>
  <c r="P417" i="1"/>
  <c r="P539" i="1"/>
  <c r="P673" i="1"/>
  <c r="P675" i="1"/>
  <c r="P718" i="1"/>
  <c r="P720" i="1"/>
  <c r="P721" i="1"/>
  <c r="P724" i="1"/>
  <c r="P802" i="1"/>
  <c r="P807" i="1"/>
  <c r="P808" i="1"/>
  <c r="P825" i="1"/>
  <c r="P849" i="1"/>
  <c r="P851" i="1"/>
  <c r="P873" i="1"/>
  <c r="P1148" i="1"/>
  <c r="P1200" i="1"/>
  <c r="P1202" i="1"/>
  <c r="P1203" i="1"/>
  <c r="P1211" i="1"/>
  <c r="P1214" i="1"/>
  <c r="P660" i="1"/>
  <c r="P973" i="1"/>
  <c r="P974" i="1"/>
  <c r="P1127" i="1"/>
  <c r="P1128" i="1"/>
  <c r="P1151" i="1"/>
  <c r="P1199" i="1"/>
  <c r="P33" i="1"/>
  <c r="P34" i="1"/>
  <c r="P35" i="1"/>
  <c r="P36" i="1"/>
  <c r="P37" i="1"/>
  <c r="P141" i="1"/>
  <c r="P165" i="1"/>
  <c r="P166" i="1"/>
  <c r="P167" i="1"/>
  <c r="P205" i="1"/>
  <c r="P206" i="1"/>
  <c r="P248" i="1"/>
  <c r="P249" i="1"/>
  <c r="P251" i="1"/>
  <c r="P252" i="1"/>
  <c r="P262" i="1"/>
  <c r="P424" i="1"/>
  <c r="P425" i="1"/>
  <c r="P445" i="1"/>
  <c r="P446" i="1"/>
  <c r="P497" i="1"/>
  <c r="P498" i="1"/>
  <c r="P523" i="1"/>
  <c r="P661" i="1"/>
  <c r="P662" i="1"/>
  <c r="P663" i="1"/>
  <c r="P674" i="1"/>
  <c r="P770" i="1"/>
  <c r="P787" i="1"/>
  <c r="P788" i="1"/>
  <c r="P791" i="1"/>
  <c r="P810" i="1"/>
  <c r="P975" i="1"/>
  <c r="P977" i="1"/>
  <c r="P990" i="1"/>
  <c r="P991" i="1"/>
  <c r="P992" i="1"/>
  <c r="P993" i="1"/>
  <c r="P995" i="1"/>
  <c r="P996" i="1"/>
  <c r="P1043" i="1"/>
  <c r="P1129" i="1"/>
  <c r="P1167" i="1"/>
  <c r="P1179" i="1"/>
  <c r="P1180" i="1"/>
  <c r="P1191" i="1"/>
  <c r="P1193" i="1"/>
  <c r="P510" i="1"/>
  <c r="P3" i="1"/>
  <c r="P134" i="1"/>
  <c r="P298" i="1"/>
  <c r="P299" i="1"/>
  <c r="P307" i="1"/>
  <c r="P309" i="1"/>
  <c r="P310" i="1"/>
  <c r="P316" i="1"/>
  <c r="P351" i="1"/>
  <c r="P362" i="1"/>
  <c r="P455" i="1"/>
  <c r="P460" i="1"/>
  <c r="P518" i="1"/>
  <c r="P519" i="1"/>
  <c r="P520" i="1"/>
  <c r="P550" i="1"/>
  <c r="P670" i="1"/>
  <c r="P671" i="1"/>
  <c r="P672" i="1"/>
  <c r="P804" i="1"/>
  <c r="P817" i="1"/>
  <c r="P892" i="1"/>
  <c r="P913" i="1"/>
  <c r="P914" i="1"/>
  <c r="P942" i="1"/>
  <c r="P997" i="1"/>
  <c r="P1026" i="1"/>
  <c r="P1045" i="1"/>
  <c r="P1147" i="1"/>
  <c r="P1197" i="1"/>
  <c r="P1126" i="1"/>
  <c r="P440" i="1"/>
  <c r="P1071" i="1"/>
  <c r="P296" i="1"/>
  <c r="P631" i="1"/>
  <c r="P834" i="1"/>
  <c r="P836" i="1"/>
  <c r="P968" i="1"/>
  <c r="P702" i="1"/>
  <c r="P708" i="1"/>
  <c r="P866" i="1"/>
  <c r="P1054" i="1"/>
  <c r="P1073" i="1"/>
  <c r="P152" i="1"/>
  <c r="P344" i="1"/>
  <c r="P429" i="1"/>
  <c r="P482" i="1"/>
  <c r="P499" i="1"/>
  <c r="P503" i="1"/>
  <c r="P588" i="1"/>
  <c r="P598" i="1"/>
  <c r="P686" i="1"/>
  <c r="P694" i="1"/>
  <c r="P703" i="1"/>
  <c r="P832" i="1"/>
  <c r="P835" i="1"/>
  <c r="P852" i="1"/>
  <c r="P861" i="1"/>
  <c r="P862" i="1"/>
  <c r="P865" i="1"/>
  <c r="P875" i="1"/>
  <c r="P878" i="1"/>
  <c r="P886" i="1"/>
  <c r="P889" i="1"/>
  <c r="P949" i="1"/>
  <c r="P970" i="1"/>
  <c r="P1046" i="1"/>
  <c r="P1060" i="1"/>
  <c r="P1072" i="1"/>
  <c r="P1174" i="1"/>
  <c r="P443" i="1"/>
  <c r="P500" i="1"/>
  <c r="P750" i="1"/>
  <c r="P761" i="1"/>
  <c r="P1083" i="1"/>
  <c r="P77" i="1"/>
  <c r="P211" i="1"/>
  <c r="P246" i="1"/>
  <c r="P747" i="1"/>
  <c r="P904" i="1"/>
  <c r="P1117" i="1"/>
  <c r="P14" i="1"/>
  <c r="P15" i="1"/>
  <c r="P84" i="1"/>
  <c r="P131" i="1"/>
  <c r="P265" i="1"/>
  <c r="P266" i="1"/>
  <c r="P419" i="1"/>
  <c r="P444" i="1"/>
  <c r="P471" i="1"/>
  <c r="P474" i="1"/>
  <c r="P531" i="1"/>
  <c r="P545" i="1"/>
  <c r="P548" i="1"/>
  <c r="P571" i="1"/>
  <c r="P749" i="1"/>
  <c r="P763" i="1"/>
  <c r="P774" i="1"/>
  <c r="P777" i="1"/>
  <c r="P902" i="1"/>
  <c r="P903" i="1"/>
  <c r="P905" i="1"/>
  <c r="P906" i="1"/>
  <c r="P907" i="1"/>
  <c r="P908" i="1"/>
  <c r="P909" i="1"/>
  <c r="P980" i="1"/>
  <c r="P1007" i="1"/>
  <c r="P1011" i="1"/>
  <c r="P1052" i="1"/>
  <c r="P1087" i="1"/>
  <c r="P1097" i="1"/>
  <c r="P1104" i="1"/>
  <c r="P1118" i="1"/>
  <c r="P1160" i="1"/>
  <c r="P1161" i="1"/>
  <c r="P599" i="1"/>
  <c r="P630" i="1"/>
  <c r="P646" i="1"/>
  <c r="P704" i="1"/>
  <c r="P783" i="1"/>
  <c r="P1034" i="1"/>
  <c r="P168" i="1"/>
  <c r="P203" i="1"/>
  <c r="P799" i="1"/>
  <c r="P972" i="1"/>
  <c r="P1092" i="1"/>
  <c r="P1106" i="1"/>
  <c r="P41" i="1"/>
  <c r="P42" i="1"/>
  <c r="P72" i="1"/>
  <c r="P125" i="1"/>
  <c r="P139" i="1"/>
  <c r="P140" i="1"/>
  <c r="P155" i="1"/>
  <c r="P202" i="1"/>
  <c r="P204" i="1"/>
  <c r="P295" i="1"/>
  <c r="P297" i="1"/>
  <c r="P339" i="1"/>
  <c r="P342" i="1"/>
  <c r="P348" i="1"/>
  <c r="P355" i="1"/>
  <c r="P484" i="1"/>
  <c r="P549" i="1"/>
  <c r="P635" i="1"/>
  <c r="P678" i="1"/>
  <c r="P679" i="1"/>
  <c r="P696" i="1"/>
  <c r="P742" i="1"/>
  <c r="P743" i="1"/>
  <c r="P746" i="1"/>
  <c r="P792" i="1"/>
  <c r="P827" i="1"/>
  <c r="P844" i="1"/>
  <c r="P855" i="1"/>
  <c r="P969" i="1"/>
  <c r="P979" i="1"/>
  <c r="P981" i="1"/>
  <c r="P999" i="1"/>
  <c r="P1014" i="1"/>
  <c r="P1016" i="1"/>
  <c r="P1017" i="1"/>
  <c r="P1018" i="1"/>
  <c r="P1022" i="1"/>
  <c r="P1023" i="1"/>
  <c r="P1025" i="1"/>
  <c r="P1029" i="1"/>
  <c r="P1031" i="1"/>
  <c r="P1032" i="1"/>
  <c r="P1033" i="1"/>
  <c r="P1065" i="1"/>
  <c r="P1078" i="1"/>
  <c r="P1080" i="1"/>
  <c r="P1086" i="1"/>
  <c r="P75" i="1"/>
  <c r="P282" i="1"/>
  <c r="P867" i="1"/>
  <c r="P982" i="1"/>
  <c r="P59" i="1"/>
  <c r="P562" i="1"/>
  <c r="P695" i="1"/>
  <c r="P711" i="1"/>
  <c r="P910" i="1"/>
  <c r="P60" i="1"/>
  <c r="P142" i="1"/>
  <c r="P156" i="1"/>
  <c r="P157" i="1"/>
  <c r="P292" i="1"/>
  <c r="P388" i="1"/>
  <c r="P540" i="1"/>
  <c r="P596" i="1"/>
  <c r="P657" i="1"/>
  <c r="P744" i="1"/>
  <c r="P778" i="1"/>
  <c r="P793" i="1"/>
  <c r="P843" i="1"/>
  <c r="P1041" i="1"/>
  <c r="P1067" i="1"/>
  <c r="P1070" i="1"/>
  <c r="P1164" i="1"/>
  <c r="P81" i="1"/>
  <c r="P132" i="1"/>
  <c r="P218" i="1"/>
  <c r="P271" i="1"/>
  <c r="P505" i="1"/>
  <c r="P717" i="1"/>
  <c r="P1084" i="1"/>
  <c r="P1196" i="1"/>
  <c r="P554" i="1"/>
  <c r="P1198" i="1"/>
  <c r="P82" i="1"/>
  <c r="P114" i="1"/>
  <c r="P163" i="1"/>
  <c r="P212" i="1"/>
  <c r="P247" i="1"/>
  <c r="P306" i="1"/>
  <c r="P336" i="1"/>
  <c r="P381" i="1"/>
  <c r="P382" i="1"/>
  <c r="P411" i="1"/>
  <c r="P412" i="1"/>
  <c r="P413" i="1"/>
  <c r="P465" i="1"/>
  <c r="P466" i="1"/>
  <c r="P493" i="1"/>
  <c r="P502" i="1"/>
  <c r="P506" i="1"/>
  <c r="P507" i="1"/>
  <c r="P508" i="1"/>
  <c r="P509" i="1"/>
  <c r="P517" i="1"/>
  <c r="P652" i="1"/>
  <c r="P669" i="1"/>
  <c r="P767" i="1"/>
  <c r="P805" i="1"/>
  <c r="P1134" i="1"/>
  <c r="P1135" i="1"/>
  <c r="P1136" i="1"/>
  <c r="P1137" i="1"/>
  <c r="P1138" i="1"/>
  <c r="P1139" i="1"/>
  <c r="P1140" i="1"/>
  <c r="P1141" i="1"/>
  <c r="P1144" i="1"/>
  <c r="P1145" i="1"/>
  <c r="P1146" i="1"/>
  <c r="P1171" i="1"/>
  <c r="P1189" i="1"/>
  <c r="P1195" i="1"/>
  <c r="P1204" i="1"/>
  <c r="P1172" i="1"/>
  <c r="P112" i="1"/>
  <c r="P181" i="1"/>
  <c r="P185" i="1"/>
  <c r="P186" i="1"/>
  <c r="P241" i="1"/>
  <c r="P250" i="1"/>
  <c r="P259" i="1"/>
  <c r="P274" i="1"/>
  <c r="P529" i="1"/>
  <c r="P715" i="1"/>
  <c r="P1002" i="1"/>
  <c r="P1048" i="1"/>
  <c r="P773" i="1"/>
  <c r="P5" i="1"/>
  <c r="P56" i="1"/>
  <c r="P57" i="1"/>
  <c r="P103" i="1"/>
  <c r="P115" i="1"/>
  <c r="P145" i="1"/>
  <c r="P146" i="1"/>
  <c r="P149" i="1"/>
  <c r="P170" i="1"/>
  <c r="P171" i="1"/>
  <c r="P179" i="1"/>
  <c r="P182" i="1"/>
  <c r="P183" i="1"/>
  <c r="P184" i="1"/>
  <c r="P190" i="1"/>
  <c r="P379" i="1"/>
  <c r="P463" i="1"/>
  <c r="P475" i="1"/>
  <c r="P530" i="1"/>
  <c r="P535" i="1"/>
  <c r="P546" i="1"/>
  <c r="P547" i="1"/>
  <c r="P757" i="1"/>
  <c r="P765" i="1"/>
  <c r="P798" i="1"/>
  <c r="P837" i="1"/>
  <c r="P916" i="1"/>
  <c r="P1000" i="1"/>
  <c r="P1003" i="1"/>
  <c r="P1047" i="1"/>
  <c r="P1049" i="1"/>
  <c r="P1116" i="1"/>
  <c r="P1121" i="1"/>
  <c r="P1125" i="1"/>
  <c r="P1153" i="1"/>
  <c r="P1154" i="1"/>
  <c r="P1155" i="1"/>
  <c r="P1156" i="1"/>
  <c r="P1157" i="1"/>
  <c r="P1173" i="1"/>
  <c r="P1212" i="1"/>
  <c r="P48" i="1"/>
  <c r="P230" i="1"/>
  <c r="P876" i="1"/>
  <c r="P150" i="1"/>
  <c r="P260" i="1"/>
  <c r="P6" i="1"/>
  <c r="P86" i="1"/>
  <c r="P88" i="1"/>
  <c r="P89" i="1"/>
  <c r="P90" i="1"/>
  <c r="P91" i="1"/>
  <c r="P92" i="1"/>
  <c r="P113" i="1"/>
  <c r="P117" i="1"/>
  <c r="P135" i="1"/>
  <c r="P172" i="1"/>
  <c r="P173" i="1"/>
  <c r="P174" i="1"/>
  <c r="P177" i="1"/>
  <c r="P213" i="1"/>
  <c r="P221" i="1"/>
  <c r="P224" i="1"/>
  <c r="P227" i="1"/>
  <c r="P228" i="1"/>
  <c r="P231" i="1"/>
  <c r="P234" i="1"/>
  <c r="P267" i="1"/>
  <c r="P331" i="1"/>
  <c r="P409" i="1"/>
  <c r="P410" i="1"/>
  <c r="P501" i="1"/>
  <c r="P532" i="1"/>
  <c r="P534" i="1"/>
  <c r="P536" i="1"/>
  <c r="P564" i="1"/>
  <c r="P565" i="1"/>
  <c r="P576" i="1"/>
  <c r="P582" i="1"/>
  <c r="P586" i="1"/>
  <c r="P632" i="1"/>
  <c r="P645" i="1"/>
  <c r="P682" i="1"/>
  <c r="P813" i="1"/>
  <c r="P823" i="1"/>
  <c r="P921" i="1"/>
  <c r="P930" i="1"/>
  <c r="P933" i="1"/>
  <c r="P934" i="1"/>
  <c r="P1096" i="1"/>
  <c r="P1107" i="1"/>
  <c r="P273" i="1"/>
  <c r="P1124" i="1"/>
  <c r="P275" i="1"/>
  <c r="P392" i="1"/>
  <c r="P451" i="1"/>
  <c r="P574" i="1"/>
  <c r="P648" i="1"/>
  <c r="P659" i="1"/>
  <c r="P764" i="1"/>
  <c r="P833" i="1"/>
  <c r="P924" i="1"/>
  <c r="P998" i="1"/>
  <c r="P1207" i="1"/>
  <c r="P47" i="1"/>
  <c r="P65" i="1"/>
  <c r="P137" i="1"/>
  <c r="P153" i="1"/>
  <c r="P272" i="1"/>
  <c r="P315" i="1"/>
  <c r="P350" i="1"/>
  <c r="P452" i="1"/>
  <c r="P462" i="1"/>
  <c r="P472" i="1"/>
  <c r="P512" i="1"/>
  <c r="P583" i="1"/>
  <c r="P597" i="1"/>
  <c r="P688" i="1"/>
  <c r="P689" i="1"/>
  <c r="P925" i="1"/>
  <c r="P1152" i="1"/>
  <c r="P1158" i="1"/>
  <c r="P73" i="1"/>
  <c r="P456" i="1"/>
  <c r="P1187" i="1"/>
  <c r="P110" i="1"/>
  <c r="P786" i="1"/>
  <c r="P217" i="1"/>
  <c r="P327" i="1"/>
  <c r="P328" i="1"/>
  <c r="P329" i="1"/>
  <c r="P333" i="1"/>
  <c r="P426" i="1"/>
  <c r="P459" i="1"/>
  <c r="P563" i="1"/>
  <c r="P634" i="1"/>
  <c r="P690" i="1"/>
  <c r="P845" i="1"/>
  <c r="P853" i="1"/>
  <c r="P857" i="1"/>
  <c r="P899" i="1"/>
  <c r="P936" i="1"/>
  <c r="P937" i="1"/>
  <c r="P938" i="1"/>
  <c r="P1051" i="1"/>
  <c r="P1076" i="1"/>
  <c r="P1081" i="1"/>
  <c r="P1099" i="1"/>
  <c r="P1162" i="1"/>
  <c r="P1166" i="1"/>
  <c r="P1170" i="1"/>
  <c r="P1184" i="1"/>
  <c r="P1194" i="1"/>
  <c r="P438" i="1"/>
  <c r="P450" i="1"/>
  <c r="P516" i="1"/>
  <c r="P543" i="1"/>
  <c r="P705" i="1"/>
  <c r="P709" i="1"/>
  <c r="P830" i="1"/>
  <c r="P870" i="1"/>
  <c r="P887" i="1"/>
  <c r="P1058" i="1"/>
  <c r="P283" i="1"/>
  <c r="P347" i="1"/>
  <c r="P784" i="1"/>
  <c r="P881" i="1"/>
  <c r="P946" i="1"/>
  <c r="P1088" i="1"/>
  <c r="P338" i="1"/>
  <c r="P399" i="1"/>
  <c r="P404" i="1"/>
  <c r="P458" i="1"/>
  <c r="P681" i="1"/>
  <c r="P821" i="1"/>
  <c r="P874" i="1"/>
  <c r="P898" i="1"/>
  <c r="P1006" i="1"/>
  <c r="P1062" i="1"/>
  <c r="P340" i="1"/>
  <c r="P741" i="1"/>
  <c r="P826" i="1"/>
  <c r="P829" i="1"/>
  <c r="P859" i="1"/>
  <c r="P864" i="1"/>
  <c r="P920" i="1"/>
  <c r="P947" i="1"/>
  <c r="P954" i="1"/>
  <c r="P984" i="1"/>
  <c r="P987" i="1"/>
  <c r="P1059" i="1"/>
  <c r="P1101" i="1"/>
  <c r="P1188" i="1"/>
  <c r="P403" i="1"/>
  <c r="P269" i="1"/>
  <c r="P319" i="1"/>
  <c r="P320" i="1"/>
  <c r="P322" i="1"/>
  <c r="P337" i="1"/>
  <c r="P345" i="1"/>
  <c r="P368" i="1"/>
  <c r="P370" i="1"/>
  <c r="P371" i="1"/>
  <c r="P373" i="1"/>
  <c r="P375" i="1"/>
  <c r="P376" i="1"/>
  <c r="P394" i="1"/>
  <c r="P396" i="1"/>
  <c r="P397" i="1"/>
  <c r="P398" i="1"/>
  <c r="P400" i="1"/>
  <c r="P402" i="1"/>
  <c r="P405" i="1"/>
  <c r="P407" i="1"/>
  <c r="P408" i="1"/>
  <c r="P492" i="1"/>
  <c r="P515" i="1"/>
  <c r="P699" i="1"/>
  <c r="P707" i="1"/>
  <c r="P812" i="1"/>
  <c r="P828" i="1"/>
  <c r="P863" i="1"/>
  <c r="P877" i="1"/>
  <c r="P879" i="1"/>
  <c r="P944" i="1"/>
  <c r="P1056" i="1"/>
  <c r="P1057" i="1"/>
  <c r="P1061" i="1"/>
  <c r="P1100" i="1"/>
  <c r="P1163" i="1"/>
  <c r="P1178" i="1"/>
  <c r="P192" i="1"/>
  <c r="P198" i="1"/>
  <c r="P477" i="1"/>
  <c r="P927" i="1"/>
  <c r="P193" i="1"/>
  <c r="P195" i="1"/>
  <c r="P476" i="1"/>
  <c r="P575" i="1"/>
  <c r="P1064" i="1"/>
  <c r="P63" i="1"/>
  <c r="P64" i="1"/>
  <c r="P93" i="1"/>
  <c r="P191" i="1"/>
  <c r="P196" i="1"/>
  <c r="P323" i="1"/>
  <c r="P469" i="1"/>
  <c r="P473" i="1"/>
  <c r="P504" i="1"/>
  <c r="P513" i="1"/>
  <c r="P514" i="1"/>
  <c r="P676" i="1"/>
  <c r="P780" i="1"/>
  <c r="P840" i="1"/>
  <c r="P896" i="1"/>
  <c r="P918" i="1"/>
  <c r="P922" i="1"/>
  <c r="P923" i="1"/>
  <c r="P943" i="1"/>
  <c r="P983" i="1"/>
  <c r="P300" i="1"/>
  <c r="P537" i="1"/>
  <c r="P854" i="1"/>
  <c r="P7" i="1"/>
  <c r="P164" i="1"/>
  <c r="P270" i="1"/>
  <c r="P581" i="1"/>
  <c r="P1185" i="1"/>
  <c r="P374" i="1"/>
  <c r="P39" i="1"/>
  <c r="P138" i="1"/>
  <c r="P454" i="1"/>
  <c r="P577" i="1"/>
  <c r="P758" i="1"/>
  <c r="P1082" i="1"/>
  <c r="P692" i="1"/>
  <c r="P293" i="1"/>
  <c r="P325" i="1"/>
  <c r="P441" i="1"/>
  <c r="P653" i="1"/>
  <c r="P831" i="1"/>
  <c r="P890" i="1"/>
  <c r="P978" i="1"/>
  <c r="P986" i="1"/>
  <c r="P71" i="1"/>
  <c r="P281" i="1"/>
  <c r="P294" i="1"/>
  <c r="P301" i="1"/>
  <c r="P302" i="1"/>
  <c r="P303" i="1"/>
  <c r="P304" i="1"/>
  <c r="P305" i="1"/>
  <c r="P324" i="1"/>
  <c r="P343" i="1"/>
  <c r="P346" i="1"/>
  <c r="P428" i="1"/>
  <c r="P442" i="1"/>
  <c r="P495" i="1"/>
  <c r="P572" i="1"/>
  <c r="P579" i="1"/>
  <c r="P580" i="1"/>
  <c r="P584" i="1"/>
  <c r="P589" i="1"/>
  <c r="P595" i="1"/>
  <c r="P655" i="1"/>
  <c r="P668" i="1"/>
  <c r="P683" i="1"/>
  <c r="P691" i="1"/>
  <c r="P693" i="1"/>
  <c r="P706" i="1"/>
  <c r="P713" i="1"/>
  <c r="P740" i="1"/>
  <c r="P762" i="1"/>
  <c r="P842" i="1"/>
  <c r="P871" i="1"/>
  <c r="P872" i="1"/>
  <c r="P882" i="1"/>
  <c r="P935" i="1"/>
  <c r="P985" i="1"/>
  <c r="P1039" i="1"/>
  <c r="P1063" i="1"/>
  <c r="P1075" i="1"/>
  <c r="P1079" i="1"/>
  <c r="P1102" i="1"/>
  <c r="P1182" i="1"/>
  <c r="P561" i="1"/>
  <c r="P602" i="1"/>
  <c r="P929" i="1"/>
  <c r="P415" i="1"/>
  <c r="P893" i="1"/>
  <c r="P19" i="1"/>
  <c r="P126" i="1"/>
  <c r="P232" i="1"/>
  <c r="P542" i="1"/>
  <c r="P587" i="1"/>
  <c r="P603" i="1"/>
  <c r="P604" i="1"/>
  <c r="P712" i="1"/>
  <c r="P759" i="1"/>
  <c r="P779" i="1"/>
  <c r="P858" i="1"/>
  <c r="P860" i="1"/>
  <c r="P880" i="1"/>
  <c r="P883" i="1"/>
  <c r="P888" i="1"/>
  <c r="P945" i="1"/>
  <c r="P1055" i="1"/>
  <c r="P1093" i="1"/>
  <c r="P1183" i="1"/>
  <c r="P618" i="1"/>
  <c r="P621" i="1"/>
  <c r="P647" i="1"/>
  <c r="P651" i="1"/>
  <c r="P966" i="1"/>
  <c r="P1004" i="1"/>
  <c r="P1024" i="1"/>
  <c r="P1005" i="1"/>
  <c r="P1181" i="1"/>
  <c r="P280" i="1"/>
  <c r="P334" i="1"/>
  <c r="P341" i="1"/>
  <c r="P483" i="1"/>
  <c r="P538" i="1"/>
  <c r="P578" i="1"/>
  <c r="P606" i="1"/>
  <c r="P610" i="1"/>
  <c r="P616" i="1"/>
  <c r="P622" i="1"/>
  <c r="P624" i="1"/>
  <c r="P626" i="1"/>
  <c r="P627" i="1"/>
  <c r="P649" i="1"/>
  <c r="P650" i="1"/>
  <c r="P680" i="1"/>
  <c r="P700" i="1"/>
  <c r="P716" i="1"/>
  <c r="P781" i="1"/>
  <c r="P782" i="1"/>
  <c r="P795" i="1"/>
  <c r="P838" i="1"/>
  <c r="P894" i="1"/>
  <c r="P895" i="1"/>
  <c r="P897" i="1"/>
  <c r="P939" i="1"/>
  <c r="P940" i="1"/>
  <c r="P951" i="1"/>
  <c r="P962" i="1"/>
  <c r="P964" i="1"/>
  <c r="P965" i="1"/>
  <c r="P1038" i="1"/>
  <c r="P1040" i="1"/>
  <c r="P1077" i="1"/>
  <c r="P1089" i="1"/>
  <c r="P1090" i="1"/>
  <c r="P1122" i="1"/>
  <c r="P1123" i="1"/>
  <c r="P614" i="1"/>
  <c r="P349" i="1"/>
  <c r="P868" i="1"/>
  <c r="P988" i="1"/>
  <c r="P40" i="1"/>
  <c r="P94" i="1"/>
  <c r="P154" i="1"/>
  <c r="P233" i="1"/>
  <c r="P261" i="1"/>
  <c r="P276" i="1"/>
  <c r="P277" i="1"/>
  <c r="P278" i="1"/>
  <c r="P308" i="1"/>
  <c r="P321" i="1"/>
  <c r="P393" i="1"/>
  <c r="P439" i="1"/>
  <c r="P470" i="1"/>
  <c r="P608" i="1"/>
  <c r="P609" i="1"/>
  <c r="P611" i="1"/>
  <c r="P623" i="1"/>
  <c r="P625" i="1"/>
  <c r="P628" i="1"/>
  <c r="P629" i="1"/>
  <c r="P633" i="1"/>
  <c r="P685" i="1"/>
  <c r="P701" i="1"/>
  <c r="P714" i="1"/>
  <c r="P756" i="1"/>
  <c r="P769" i="1"/>
  <c r="P785" i="1"/>
  <c r="P884" i="1"/>
  <c r="P885" i="1"/>
  <c r="P1035" i="1"/>
  <c r="P1037" i="1"/>
  <c r="P1074" i="1"/>
  <c r="P1091" i="1"/>
  <c r="P21" i="1"/>
  <c r="P123" i="1"/>
  <c r="P127" i="1"/>
  <c r="P158" i="1"/>
  <c r="P175" i="1"/>
  <c r="P176" i="1"/>
  <c r="P256" i="1"/>
  <c r="P698" i="1"/>
  <c r="P124" i="1"/>
  <c r="P389" i="1"/>
  <c r="P468" i="1"/>
  <c r="P730" i="1"/>
  <c r="P738" i="1"/>
  <c r="P796" i="1"/>
  <c r="P1133" i="1"/>
  <c r="P20" i="1"/>
  <c r="P118" i="1"/>
  <c r="P119" i="1"/>
  <c r="P120" i="1"/>
  <c r="P122" i="1"/>
  <c r="P210" i="1"/>
  <c r="P238" i="1"/>
  <c r="P264" i="1"/>
  <c r="P332" i="1"/>
  <c r="P390" i="1"/>
  <c r="P391" i="1"/>
  <c r="P449" i="1"/>
  <c r="P464" i="1"/>
  <c r="P541" i="1"/>
  <c r="P551" i="1"/>
  <c r="P552" i="1"/>
  <c r="P553" i="1"/>
  <c r="P601" i="1"/>
  <c r="P667" i="1"/>
  <c r="P677" i="1"/>
  <c r="P684" i="1"/>
  <c r="P687" i="1"/>
  <c r="P697" i="1"/>
  <c r="P723" i="1"/>
  <c r="P725" i="1"/>
  <c r="P729" i="1"/>
  <c r="P731" i="1"/>
  <c r="P732" i="1"/>
  <c r="P733" i="1"/>
  <c r="P735" i="1"/>
  <c r="P737" i="1"/>
  <c r="P739" i="1"/>
  <c r="P745" i="1"/>
  <c r="P748" i="1"/>
  <c r="P751" i="1"/>
  <c r="P752" i="1"/>
  <c r="P753" i="1"/>
  <c r="P754" i="1"/>
  <c r="P755" i="1"/>
  <c r="P766" i="1"/>
  <c r="P789" i="1"/>
  <c r="P891" i="1"/>
  <c r="P915" i="1"/>
  <c r="P917" i="1"/>
  <c r="P919" i="1"/>
  <c r="P928" i="1"/>
  <c r="P948" i="1"/>
  <c r="P989" i="1"/>
  <c r="P1103" i="1"/>
  <c r="P1120" i="1"/>
  <c r="P1130" i="1"/>
  <c r="P1131" i="1"/>
  <c r="P1132" i="1"/>
  <c r="P1169" i="1"/>
  <c r="P85" i="1"/>
</calcChain>
</file>

<file path=xl/sharedStrings.xml><?xml version="1.0" encoding="utf-8"?>
<sst xmlns="http://schemas.openxmlformats.org/spreadsheetml/2006/main" count="32238" uniqueCount="4225">
  <si>
    <t>SITE ID</t>
  </si>
  <si>
    <t>SITE NAME</t>
  </si>
  <si>
    <t>REGION</t>
  </si>
  <si>
    <t>MAR-011</t>
  </si>
  <si>
    <t>AGBODRAFO</t>
  </si>
  <si>
    <t>MARITIME</t>
  </si>
  <si>
    <t>ANEHO</t>
  </si>
  <si>
    <t>Grid-DG-Batt.</t>
  </si>
  <si>
    <t>MAR-045</t>
  </si>
  <si>
    <t>AGOME-GLOZOU</t>
  </si>
  <si>
    <t>MAR-164</t>
  </si>
  <si>
    <t>ANEHO-GLIDJI</t>
  </si>
  <si>
    <t>MAR-072</t>
  </si>
  <si>
    <t>ANEHO-YESUVITO</t>
  </si>
  <si>
    <t>MAR-159</t>
  </si>
  <si>
    <t>ANEHO-ZEBEVI</t>
  </si>
  <si>
    <t>MAR-028</t>
  </si>
  <si>
    <t>ATOETA</t>
  </si>
  <si>
    <t>Grid-DG-Solar-Batt.</t>
  </si>
  <si>
    <t>MAR-035</t>
  </si>
  <si>
    <t>AVEEVE</t>
  </si>
  <si>
    <t>MAR-036</t>
  </si>
  <si>
    <t>AVOUTOKPA</t>
  </si>
  <si>
    <t>MAR-017</t>
  </si>
  <si>
    <t>BADOUGBE</t>
  </si>
  <si>
    <t>MAR-046</t>
  </si>
  <si>
    <t>GBOTO</t>
  </si>
  <si>
    <t>MAR-029</t>
  </si>
  <si>
    <t>KOUTIME-MOOV</t>
  </si>
  <si>
    <t>MAR-047</t>
  </si>
  <si>
    <t>SIKAKONDJI</t>
  </si>
  <si>
    <t>MAR-150</t>
  </si>
  <si>
    <t>TABLIGBO3-MOOV</t>
  </si>
  <si>
    <t>MAR-024</t>
  </si>
  <si>
    <t>KPOME</t>
  </si>
  <si>
    <t>MAR-170</t>
  </si>
  <si>
    <t>KINI-KONDJI</t>
  </si>
  <si>
    <t>DG-Batt.</t>
  </si>
  <si>
    <t>LOM-347</t>
  </si>
  <si>
    <t>LOGOUI</t>
  </si>
  <si>
    <t>DG-Solar-Batt.</t>
  </si>
  <si>
    <t>MAR-163</t>
  </si>
  <si>
    <t>SAGADA-KOPE</t>
  </si>
  <si>
    <t>MAR-169</t>
  </si>
  <si>
    <t>TABLIGBO-NTIFAFAKOME</t>
  </si>
  <si>
    <t>MAR-173</t>
  </si>
  <si>
    <t>ANEHO ZOWLA</t>
  </si>
  <si>
    <t>GE (Grid-DG-Batt.)</t>
  </si>
  <si>
    <t>MAR-020</t>
  </si>
  <si>
    <t>ABOBO-MOOV</t>
  </si>
  <si>
    <t>MAR-032</t>
  </si>
  <si>
    <t>AFAGNAN</t>
  </si>
  <si>
    <t>MAR-146</t>
  </si>
  <si>
    <t>AFAGNAN-MOOV</t>
  </si>
  <si>
    <t>MAR-012</t>
  </si>
  <si>
    <t>AGOEGAN</t>
  </si>
  <si>
    <t>MAR-033</t>
  </si>
  <si>
    <t>AGOME-SEVA</t>
  </si>
  <si>
    <t>MAR-162</t>
  </si>
  <si>
    <t>AKLADJENOU</t>
  </si>
  <si>
    <t>MAR-026</t>
  </si>
  <si>
    <t>AKLAKOU</t>
  </si>
  <si>
    <t>MAR-021</t>
  </si>
  <si>
    <t>AKOUMAPE</t>
  </si>
  <si>
    <t>LOM-329</t>
  </si>
  <si>
    <t>AMEGANSI-KOPE</t>
  </si>
  <si>
    <t>LOME</t>
  </si>
  <si>
    <t>MAR-034</t>
  </si>
  <si>
    <t>AMEGNRAN</t>
  </si>
  <si>
    <t>MAR-013</t>
  </si>
  <si>
    <t>MAR-014</t>
  </si>
  <si>
    <t>ANEHO-JERICO</t>
  </si>
  <si>
    <t>MAR-015</t>
  </si>
  <si>
    <t>ANEHO-KPOTA</t>
  </si>
  <si>
    <t>MAR-016</t>
  </si>
  <si>
    <t>ANEHO-PEAGE</t>
  </si>
  <si>
    <t>MAR-027</t>
  </si>
  <si>
    <t>ANFOIN</t>
  </si>
  <si>
    <t>MAR-037</t>
  </si>
  <si>
    <t>DAGBATI</t>
  </si>
  <si>
    <t>MAR-018</t>
  </si>
  <si>
    <t>DZETA</t>
  </si>
  <si>
    <t>LOM-338</t>
  </si>
  <si>
    <t>EKPUI</t>
  </si>
  <si>
    <t>MAR-075</t>
  </si>
  <si>
    <t>GBOTO-KOSSIDAME</t>
  </si>
  <si>
    <t>MAR-148</t>
  </si>
  <si>
    <t>GLIDJI2-MOOV</t>
  </si>
  <si>
    <t>MAR-022</t>
  </si>
  <si>
    <t>HAHOTOE</t>
  </si>
  <si>
    <t>MAR-023</t>
  </si>
  <si>
    <t>HAHOTOE-KPODJI</t>
  </si>
  <si>
    <t>MAR-019</t>
  </si>
  <si>
    <t>KPEME</t>
  </si>
  <si>
    <t>MAR-085</t>
  </si>
  <si>
    <t>KPETSOU</t>
  </si>
  <si>
    <t>LOM-346</t>
  </si>
  <si>
    <t>LEBE</t>
  </si>
  <si>
    <t>MAR-038</t>
  </si>
  <si>
    <t>MASSEDA</t>
  </si>
  <si>
    <t>MAR-096</t>
  </si>
  <si>
    <t>NYITA</t>
  </si>
  <si>
    <t>MAR-025</t>
  </si>
  <si>
    <t>SEVAGAN</t>
  </si>
  <si>
    <t>MAR-058</t>
  </si>
  <si>
    <t>SIKPE-AFIDENYO</t>
  </si>
  <si>
    <t>MAR-041</t>
  </si>
  <si>
    <t>TABLIGBO</t>
  </si>
  <si>
    <t>MAR-042</t>
  </si>
  <si>
    <t>TABLIGBO-AKOUDOKPO</t>
  </si>
  <si>
    <t>MAR-091</t>
  </si>
  <si>
    <t>TOGOVILLE</t>
  </si>
  <si>
    <t>MAR-048</t>
  </si>
  <si>
    <t>TOKPLI-MOOV</t>
  </si>
  <si>
    <t>MAR-049</t>
  </si>
  <si>
    <t>TOMETI</t>
  </si>
  <si>
    <t>MAR-078</t>
  </si>
  <si>
    <t>VOATTIVE-MOOV</t>
  </si>
  <si>
    <t>MAR-030</t>
  </si>
  <si>
    <t>VOGAN</t>
  </si>
  <si>
    <t>MAR-152</t>
  </si>
  <si>
    <t>VOGAN2-MOOV</t>
  </si>
  <si>
    <t>MAR-031</t>
  </si>
  <si>
    <t>VOGAN-AGBOPE</t>
  </si>
  <si>
    <t>MAR-044</t>
  </si>
  <si>
    <t>WACEM-MOOV</t>
  </si>
  <si>
    <t>MAR-079</t>
  </si>
  <si>
    <t>WOGBA-MOOV</t>
  </si>
  <si>
    <t>MAR-071</t>
  </si>
  <si>
    <t>ZOOTI</t>
  </si>
  <si>
    <t>PLA-153</t>
  </si>
  <si>
    <t>ADOUGBELAN</t>
  </si>
  <si>
    <t>PLATEAUX</t>
  </si>
  <si>
    <t>ATAKPAME</t>
  </si>
  <si>
    <t>PLA-200</t>
  </si>
  <si>
    <t>ATAKPAME-SADA</t>
  </si>
  <si>
    <t>PLA-138</t>
  </si>
  <si>
    <t>NANGBETO</t>
  </si>
  <si>
    <t>PLA-122</t>
  </si>
  <si>
    <t>AKPARE</t>
  </si>
  <si>
    <t>PLA-009</t>
  </si>
  <si>
    <t>AWAGOME</t>
  </si>
  <si>
    <t>PLA-257</t>
  </si>
  <si>
    <t>ATAKPAME-KOPE</t>
  </si>
  <si>
    <t>PLA-255</t>
  </si>
  <si>
    <t>ATAKPAME-ENS</t>
  </si>
  <si>
    <t>PLA-267</t>
  </si>
  <si>
    <t>ADIVA</t>
  </si>
  <si>
    <t>PLA-260</t>
  </si>
  <si>
    <t>AGBONOU OGBADJI</t>
  </si>
  <si>
    <t>PLA-263</t>
  </si>
  <si>
    <t>ATAKPAME DOUFIO</t>
  </si>
  <si>
    <t>PLA-264</t>
  </si>
  <si>
    <t>ATAKPAME KPODJI</t>
  </si>
  <si>
    <t>PLA-262</t>
  </si>
  <si>
    <t>ANIE-OWODE</t>
  </si>
  <si>
    <t>PLA-244</t>
  </si>
  <si>
    <t>ABOTCHI</t>
  </si>
  <si>
    <t>PLA-001</t>
  </si>
  <si>
    <t>AGBONOU</t>
  </si>
  <si>
    <t>PLA-002</t>
  </si>
  <si>
    <t>AGBONOU2</t>
  </si>
  <si>
    <t>PLA-003</t>
  </si>
  <si>
    <t>AGBONOU3-MOOV</t>
  </si>
  <si>
    <t>PLA-211</t>
  </si>
  <si>
    <t>AGBONOU4</t>
  </si>
  <si>
    <t>PLA-236</t>
  </si>
  <si>
    <t>AGBONOU-IDIOTSE</t>
  </si>
  <si>
    <t>PLA-237</t>
  </si>
  <si>
    <t>AGBONOU-KPOTAME</t>
  </si>
  <si>
    <t>PLA-008</t>
  </si>
  <si>
    <t>AGOME-KOUTOUKPA</t>
  </si>
  <si>
    <t>PLA-199</t>
  </si>
  <si>
    <t>AGOSSOU</t>
  </si>
  <si>
    <t>PLA-191</t>
  </si>
  <si>
    <t>AHOMA-MOOV</t>
  </si>
  <si>
    <t>PLA-102</t>
  </si>
  <si>
    <t>AMLAME</t>
  </si>
  <si>
    <t>PLA-212</t>
  </si>
  <si>
    <t>AMLAME-MOOV</t>
  </si>
  <si>
    <t>PLA-103</t>
  </si>
  <si>
    <t>AMLAME-NDANIDA</t>
  </si>
  <si>
    <t>PLA-123</t>
  </si>
  <si>
    <t>AMOUTCHOU</t>
  </si>
  <si>
    <t>PLA-215</t>
  </si>
  <si>
    <t>ASSANTE</t>
  </si>
  <si>
    <t>PLA-004</t>
  </si>
  <si>
    <t>PLA-005</t>
  </si>
  <si>
    <t>ATAKPAME2</t>
  </si>
  <si>
    <t>PLA-TGT001</t>
  </si>
  <si>
    <t>ATAKPAME-COM</t>
  </si>
  <si>
    <t>PLA-213</t>
  </si>
  <si>
    <t>ATAKPAME-EVECHE</t>
  </si>
  <si>
    <t>PLA-006</t>
  </si>
  <si>
    <t>ATAKPAME-KAMINA</t>
  </si>
  <si>
    <t>PLA-146</t>
  </si>
  <si>
    <t>ATALO</t>
  </si>
  <si>
    <t>PLA-079</t>
  </si>
  <si>
    <t>ATCHINEDJI</t>
  </si>
  <si>
    <t>PLA-216</t>
  </si>
  <si>
    <t>AZONAHA</t>
  </si>
  <si>
    <t>PLA-173</t>
  </si>
  <si>
    <t>BOCCO</t>
  </si>
  <si>
    <t>PLA-202</t>
  </si>
  <si>
    <t>DASSAGBA</t>
  </si>
  <si>
    <t>PLA-010</t>
  </si>
  <si>
    <t>DATCHA</t>
  </si>
  <si>
    <t>PLA-104</t>
  </si>
  <si>
    <t>GAME-AMOU</t>
  </si>
  <si>
    <t>PLA-124</t>
  </si>
  <si>
    <t>GLEI</t>
  </si>
  <si>
    <t>PLA-227</t>
  </si>
  <si>
    <t>GLELOU</t>
  </si>
  <si>
    <t>PLA-081</t>
  </si>
  <si>
    <t>GLITO</t>
  </si>
  <si>
    <t>PLA-011</t>
  </si>
  <si>
    <t>HIHEATRO</t>
  </si>
  <si>
    <t>PLA-194</t>
  </si>
  <si>
    <t>HIHEATRO2</t>
  </si>
  <si>
    <t>PLA-195</t>
  </si>
  <si>
    <t>IKOETCHONOU-MOOV</t>
  </si>
  <si>
    <t>PLA-182</t>
  </si>
  <si>
    <t>ITOKOUBE</t>
  </si>
  <si>
    <t>PLA-178</t>
  </si>
  <si>
    <t>KADJAFE</t>
  </si>
  <si>
    <t>PLA-154</t>
  </si>
  <si>
    <t>KAVE</t>
  </si>
  <si>
    <t>PLA-125</t>
  </si>
  <si>
    <t>KELEKPE</t>
  </si>
  <si>
    <t>PLA-007</t>
  </si>
  <si>
    <t>KOSSIKITI</t>
  </si>
  <si>
    <t>PLA-188</t>
  </si>
  <si>
    <t>LOKPOLI</t>
  </si>
  <si>
    <t>PLA-137</t>
  </si>
  <si>
    <t>MADJAMAKOU</t>
  </si>
  <si>
    <t>PLA-150</t>
  </si>
  <si>
    <t>OGOU-AKODESSEWA</t>
  </si>
  <si>
    <t>PLA-108</t>
  </si>
  <si>
    <t>OTADI</t>
  </si>
  <si>
    <t>PLA-012</t>
  </si>
  <si>
    <t>OUNABE</t>
  </si>
  <si>
    <t>PLA-139</t>
  </si>
  <si>
    <t>OUNTIVOU</t>
  </si>
  <si>
    <t>PLA-013</t>
  </si>
  <si>
    <t>TEMEDJA</t>
  </si>
  <si>
    <t>PLA-179</t>
  </si>
  <si>
    <t>TOBOSSE</t>
  </si>
  <si>
    <t>PLA-259</t>
  </si>
  <si>
    <t>GLEI-MOOV</t>
  </si>
  <si>
    <t>PLA-218</t>
  </si>
  <si>
    <t>BADOU3</t>
  </si>
  <si>
    <t>BADOU</t>
  </si>
  <si>
    <t>PLA-121</t>
  </si>
  <si>
    <t>TOMEGBE</t>
  </si>
  <si>
    <t>PLA-074</t>
  </si>
  <si>
    <t>BADOU-KESSIBO</t>
  </si>
  <si>
    <t>PLA-151</t>
  </si>
  <si>
    <t>DANYI-KONTA</t>
  </si>
  <si>
    <t>PLA-222</t>
  </si>
  <si>
    <t>DJOGBE-KOPE-TODJI</t>
  </si>
  <si>
    <t>PLA-075</t>
  </si>
  <si>
    <t>IGBEVE</t>
  </si>
  <si>
    <t>PLA-100</t>
  </si>
  <si>
    <t>KESSIBO-WAWA</t>
  </si>
  <si>
    <t>PLA-105</t>
  </si>
  <si>
    <t>KLABE-EFOUKPA</t>
  </si>
  <si>
    <t>PLA-118</t>
  </si>
  <si>
    <t>KPETEBENE</t>
  </si>
  <si>
    <t>PLA-119</t>
  </si>
  <si>
    <t>MANGOASSE-MOOV</t>
  </si>
  <si>
    <t>PLA-107</t>
  </si>
  <si>
    <t>OKOU</t>
  </si>
  <si>
    <t>PLA-101</t>
  </si>
  <si>
    <t>SEREGBENE-MOOV</t>
  </si>
  <si>
    <t>PLA-076</t>
  </si>
  <si>
    <t>ZOGBEGAN</t>
  </si>
  <si>
    <t>PLA-254</t>
  </si>
  <si>
    <t>DJON-MODJAGNI</t>
  </si>
  <si>
    <t>PLA-242</t>
  </si>
  <si>
    <t>IDIFIOU</t>
  </si>
  <si>
    <t>PLA-233</t>
  </si>
  <si>
    <t>OUGA</t>
  </si>
  <si>
    <t>PLA-241</t>
  </si>
  <si>
    <t>ADOMI-ABRA</t>
  </si>
  <si>
    <t>PLA-115</t>
  </si>
  <si>
    <t>AGADZA</t>
  </si>
  <si>
    <t>PLA-096</t>
  </si>
  <si>
    <t>AKA</t>
  </si>
  <si>
    <t>PLA-187</t>
  </si>
  <si>
    <t>ALAOUSSO</t>
  </si>
  <si>
    <t>PLA-073</t>
  </si>
  <si>
    <t>Grid-2DG-Batt.</t>
  </si>
  <si>
    <t>PLA-219</t>
  </si>
  <si>
    <t>BENA-PLATEAU</t>
  </si>
  <si>
    <t>PLA-097</t>
  </si>
  <si>
    <t>BROUNFOU</t>
  </si>
  <si>
    <t>PLA-098</t>
  </si>
  <si>
    <t>DJON-KOTORA</t>
  </si>
  <si>
    <t>PLA-192</t>
  </si>
  <si>
    <t>DOUME-MOOV</t>
  </si>
  <si>
    <t>PLA-163</t>
  </si>
  <si>
    <t>EKETO-ELAVAGNON</t>
  </si>
  <si>
    <t>PLA-117</t>
  </si>
  <si>
    <t>GBADINKOUGNA</t>
  </si>
  <si>
    <t>PLA-099</t>
  </si>
  <si>
    <t>KABAGNI</t>
  </si>
  <si>
    <t>PLA-093</t>
  </si>
  <si>
    <t>KAMINA</t>
  </si>
  <si>
    <t>PLA-106</t>
  </si>
  <si>
    <t>KOUGNOHOU</t>
  </si>
  <si>
    <t>PLA-145</t>
  </si>
  <si>
    <t>KOUGNOHOU-DJOKOUME</t>
  </si>
  <si>
    <t>PLA-197</t>
  </si>
  <si>
    <t>OKPAHOE</t>
  </si>
  <si>
    <t>PLA-161</t>
  </si>
  <si>
    <t>VHE</t>
  </si>
  <si>
    <t>PLA-095</t>
  </si>
  <si>
    <t>WADANYI</t>
  </si>
  <si>
    <t>PLA-032</t>
  </si>
  <si>
    <t>AGBANDI</t>
  </si>
  <si>
    <t>CENTRALE</t>
  </si>
  <si>
    <t>BLITTA</t>
  </si>
  <si>
    <t>CEN-061</t>
  </si>
  <si>
    <t>DOGOBLE</t>
  </si>
  <si>
    <t>CEN-078</t>
  </si>
  <si>
    <t>YEGUE</t>
  </si>
  <si>
    <t>CEN-095</t>
  </si>
  <si>
    <t>AGOMBIO</t>
  </si>
  <si>
    <t>CEN-062</t>
  </si>
  <si>
    <t>LANGABOU</t>
  </si>
  <si>
    <t>CEN-133</t>
  </si>
  <si>
    <t>AGODEKA-SIOU</t>
  </si>
  <si>
    <t>CEN-135</t>
  </si>
  <si>
    <t>ASSOUMA-KONDJI</t>
  </si>
  <si>
    <t>CEN-131</t>
  </si>
  <si>
    <t>DIKPELEOU</t>
  </si>
  <si>
    <t>CEN-132</t>
  </si>
  <si>
    <t>TINTCHRO-KOFLO</t>
  </si>
  <si>
    <t>PLA-169</t>
  </si>
  <si>
    <t>AGBANDI2</t>
  </si>
  <si>
    <t>CEN-070</t>
  </si>
  <si>
    <t>ASSOKOKO</t>
  </si>
  <si>
    <t>CEN-065</t>
  </si>
  <si>
    <t>CEN-066</t>
  </si>
  <si>
    <t>BLITTAGARE</t>
  </si>
  <si>
    <t>CEN-113</t>
  </si>
  <si>
    <t>BLITTA-LYCEE</t>
  </si>
  <si>
    <t>CEN-129</t>
  </si>
  <si>
    <t>BODJONDE</t>
  </si>
  <si>
    <t>CEN-071</t>
  </si>
  <si>
    <t>DIGUENGUE</t>
  </si>
  <si>
    <t>CEN-072</t>
  </si>
  <si>
    <t>DOUFOULI</t>
  </si>
  <si>
    <t>CEN-128</t>
  </si>
  <si>
    <t>ELAVAGNON-TODJI</t>
  </si>
  <si>
    <t>CEN-114</t>
  </si>
  <si>
    <t>HEZOUWE</t>
  </si>
  <si>
    <t>CEN-040</t>
  </si>
  <si>
    <t>KAZABOUA</t>
  </si>
  <si>
    <t>CEN-093</t>
  </si>
  <si>
    <t>KOUI</t>
  </si>
  <si>
    <t>CEN-097</t>
  </si>
  <si>
    <t>MEWEDE</t>
  </si>
  <si>
    <t>CEN-105</t>
  </si>
  <si>
    <t>MONO</t>
  </si>
  <si>
    <t>CEN-098</t>
  </si>
  <si>
    <t>MPOTI</t>
  </si>
  <si>
    <t>CEN-073</t>
  </si>
  <si>
    <t>NKENGBE</t>
  </si>
  <si>
    <t>CEN-063</t>
  </si>
  <si>
    <t>PAGALAGARE</t>
  </si>
  <si>
    <t>CEN-074</t>
  </si>
  <si>
    <t>PAGALAMINE</t>
  </si>
  <si>
    <t>CEN-084</t>
  </si>
  <si>
    <t>PAGALA-VILLAGE</t>
  </si>
  <si>
    <t>CEN-075</t>
  </si>
  <si>
    <t>TADJAN</t>
  </si>
  <si>
    <t>CEN-076</t>
  </si>
  <si>
    <t>TCHAREBAWOU</t>
  </si>
  <si>
    <t>CEN-033</t>
  </si>
  <si>
    <t>TCHEBEBE</t>
  </si>
  <si>
    <t>CEN-035</t>
  </si>
  <si>
    <t>TIGBADA</t>
  </si>
  <si>
    <t>CEN-068</t>
  </si>
  <si>
    <t>WARAGNI</t>
  </si>
  <si>
    <t>CEN-077</t>
  </si>
  <si>
    <t>WELLY</t>
  </si>
  <si>
    <t>CEN-120</t>
  </si>
  <si>
    <t>WISSAN</t>
  </si>
  <si>
    <t>CEN-069</t>
  </si>
  <si>
    <t>YALOUMBE</t>
  </si>
  <si>
    <t>CEN-064</t>
  </si>
  <si>
    <t>YOLOUM</t>
  </si>
  <si>
    <t>SAV-015</t>
  </si>
  <si>
    <t>DJAKPAGA-MOOV</t>
  </si>
  <si>
    <t>SAVANES</t>
  </si>
  <si>
    <t>DAPAONG</t>
  </si>
  <si>
    <t>SAV-069</t>
  </si>
  <si>
    <t>DJIYEGA</t>
  </si>
  <si>
    <t>SAV-079</t>
  </si>
  <si>
    <t>GBANTCHAL</t>
  </si>
  <si>
    <t>SAV-013</t>
  </si>
  <si>
    <t>GOULOUNGOUSSI</t>
  </si>
  <si>
    <t>SAV-042</t>
  </si>
  <si>
    <t>KOUNDJOUARE</t>
  </si>
  <si>
    <t>SAV-085</t>
  </si>
  <si>
    <t>KOURIENTRE</t>
  </si>
  <si>
    <t>SAV-080</t>
  </si>
  <si>
    <t>MANDOURI2</t>
  </si>
  <si>
    <t>SAV-028</t>
  </si>
  <si>
    <t>NAMOUDJOGA</t>
  </si>
  <si>
    <t>SAV-078</t>
  </si>
  <si>
    <t>NATIGOU</t>
  </si>
  <si>
    <t>SAV-081</t>
  </si>
  <si>
    <t>TAMBONGA</t>
  </si>
  <si>
    <t>SAV-039</t>
  </si>
  <si>
    <t>BAGRE</t>
  </si>
  <si>
    <t>SAV-041</t>
  </si>
  <si>
    <t>BOURJOUARE</t>
  </si>
  <si>
    <t>SAV-077</t>
  </si>
  <si>
    <t>LAMBOUNDI</t>
  </si>
  <si>
    <t>SAV-075</t>
  </si>
  <si>
    <t>NATARE</t>
  </si>
  <si>
    <t>SAV-060</t>
  </si>
  <si>
    <t>PANSIERI</t>
  </si>
  <si>
    <t>SAV-070</t>
  </si>
  <si>
    <t>TCHINMUL</t>
  </si>
  <si>
    <t>SAV-026</t>
  </si>
  <si>
    <t>BOMBOUAKA</t>
  </si>
  <si>
    <t>SAV-099</t>
  </si>
  <si>
    <t>CINKASSE-KPALBIAGA</t>
  </si>
  <si>
    <t>SAV-112</t>
  </si>
  <si>
    <t>DAPAONG-CRETFP</t>
  </si>
  <si>
    <t>SAV-100</t>
  </si>
  <si>
    <t>DAPAONG-NATBAGOU</t>
  </si>
  <si>
    <t>SAV-016</t>
  </si>
  <si>
    <t>DONTOUGOU</t>
  </si>
  <si>
    <t>SAV-027</t>
  </si>
  <si>
    <t>KORBONGOU</t>
  </si>
  <si>
    <t>SAV-022</t>
  </si>
  <si>
    <t>LOTOGOU</t>
  </si>
  <si>
    <t>SAV-059</t>
  </si>
  <si>
    <t>NANERGOU</t>
  </si>
  <si>
    <t>SAV-008</t>
  </si>
  <si>
    <t>NIOUPOURMA</t>
  </si>
  <si>
    <t>SAV-067</t>
  </si>
  <si>
    <t>SISSIAK</t>
  </si>
  <si>
    <t>SAV-032</t>
  </si>
  <si>
    <t>TANDJOUARE</t>
  </si>
  <si>
    <t>SAV-040</t>
  </si>
  <si>
    <t>BORGOU</t>
  </si>
  <si>
    <t>SAV-091</t>
  </si>
  <si>
    <t>KPANDJOARE</t>
  </si>
  <si>
    <t>SAV-023</t>
  </si>
  <si>
    <t>MALAGOU</t>
  </si>
  <si>
    <t>SAV-043</t>
  </si>
  <si>
    <t>MANDOURI</t>
  </si>
  <si>
    <t>SAV-017</t>
  </si>
  <si>
    <t>NADJOUNDJI</t>
  </si>
  <si>
    <t>SAV-018</t>
  </si>
  <si>
    <t>NAKI-OUEST</t>
  </si>
  <si>
    <t>SAV-072</t>
  </si>
  <si>
    <t>OGARO</t>
  </si>
  <si>
    <t>SAV-030</t>
  </si>
  <si>
    <t>PAPRI</t>
  </si>
  <si>
    <t>SAV-031</t>
  </si>
  <si>
    <t>PONIO</t>
  </si>
  <si>
    <t>SAV-063</t>
  </si>
  <si>
    <t>SAMNABA</t>
  </si>
  <si>
    <t>SAV-107</t>
  </si>
  <si>
    <t>SANLOAGA</t>
  </si>
  <si>
    <t>SAV-109</t>
  </si>
  <si>
    <t>TAMI-MOOV</t>
  </si>
  <si>
    <t>SAV-014</t>
  </si>
  <si>
    <t>TIMBOU</t>
  </si>
  <si>
    <t>SAV-020</t>
  </si>
  <si>
    <t>YEMBOUATE</t>
  </si>
  <si>
    <t>SAV-113</t>
  </si>
  <si>
    <t>DAPAONGLT-MOOV</t>
  </si>
  <si>
    <t>SAV-124</t>
  </si>
  <si>
    <t>CINKASSE-KOMOLOGO</t>
  </si>
  <si>
    <t>DAPAONG-KOUNKOUARE</t>
  </si>
  <si>
    <t>SAV-121</t>
  </si>
  <si>
    <t>NAMONGOU</t>
  </si>
  <si>
    <t>SAV-127</t>
  </si>
  <si>
    <t>DAPAONG KANTINDI</t>
  </si>
  <si>
    <t>SAV-132</t>
  </si>
  <si>
    <t>CINKASSE2-MOOV</t>
  </si>
  <si>
    <t>SAV-097</t>
  </si>
  <si>
    <t>BABONA-I</t>
  </si>
  <si>
    <t>SAV-098</t>
  </si>
  <si>
    <t>BIANKOURI</t>
  </si>
  <si>
    <t>SAV-061</t>
  </si>
  <si>
    <t>BIANKOURI-MOOV</t>
  </si>
  <si>
    <t>SAV-115</t>
  </si>
  <si>
    <t>BIDJENGA</t>
  </si>
  <si>
    <t>SAV-110</t>
  </si>
  <si>
    <t>BOMBENGOU-MOOV</t>
  </si>
  <si>
    <t>SAV-001</t>
  </si>
  <si>
    <t>BOUMONGA</t>
  </si>
  <si>
    <t>SAV-010</t>
  </si>
  <si>
    <t>CINKASSE</t>
  </si>
  <si>
    <t>SAV-062</t>
  </si>
  <si>
    <t>CINKASSE-BOSCO</t>
  </si>
  <si>
    <t>SAV-011</t>
  </si>
  <si>
    <t>CINKASSE-BOUSSONGA</t>
  </si>
  <si>
    <t>SAV-012</t>
  </si>
  <si>
    <t>CINKASSE-KOMOLOQS</t>
  </si>
  <si>
    <t>SAV-119</t>
  </si>
  <si>
    <t>CINKASSE-MOOV</t>
  </si>
  <si>
    <t>SAV-076</t>
  </si>
  <si>
    <t>CINKASSE-TOTAL</t>
  </si>
  <si>
    <t>SAV-002</t>
  </si>
  <si>
    <t>SAV-111</t>
  </si>
  <si>
    <t>DAPAONG-AKASSOM</t>
  </si>
  <si>
    <t>SAV-095</t>
  </si>
  <si>
    <t>DAPAONG-CITE</t>
  </si>
  <si>
    <t>SAV-003</t>
  </si>
  <si>
    <t>DAPAONG-COLLINE</t>
  </si>
  <si>
    <t>SAV-071</t>
  </si>
  <si>
    <t>DAPAONG-KOMBOLOAGA</t>
  </si>
  <si>
    <t>SAV-004</t>
  </si>
  <si>
    <t>DAPAONG-LAMIREL</t>
  </si>
  <si>
    <t>SAV-090</t>
  </si>
  <si>
    <t>DAPAONG-PRO-MOOV</t>
  </si>
  <si>
    <t>SAV-114</t>
  </si>
  <si>
    <t>DAPAONG-TANTIEGOU</t>
  </si>
  <si>
    <t>SAV-005</t>
  </si>
  <si>
    <t>DAPAONG-ZONGO</t>
  </si>
  <si>
    <t>SAV-117</t>
  </si>
  <si>
    <t>FOBENGA</t>
  </si>
  <si>
    <t>SAV-101</t>
  </si>
  <si>
    <t>GBANKONE</t>
  </si>
  <si>
    <t>SAV-021</t>
  </si>
  <si>
    <t>KOUMBOG</t>
  </si>
  <si>
    <t>SAV-006</t>
  </si>
  <si>
    <t>KOUNTONGUE</t>
  </si>
  <si>
    <t>SAV-064</t>
  </si>
  <si>
    <t>LOKPANO</t>
  </si>
  <si>
    <t>SAV-092</t>
  </si>
  <si>
    <t>MALGBONGOU</t>
  </si>
  <si>
    <t>SAV-036</t>
  </si>
  <si>
    <t>NAKI-EST</t>
  </si>
  <si>
    <t>SAV-024</t>
  </si>
  <si>
    <t>NANO</t>
  </si>
  <si>
    <t>SAV-007</t>
  </si>
  <si>
    <t>NASSABLE</t>
  </si>
  <si>
    <t>SAV-029</t>
  </si>
  <si>
    <t>PANA</t>
  </si>
  <si>
    <t>SAV-019</t>
  </si>
  <si>
    <t>TALONGUE</t>
  </si>
  <si>
    <t>SAV-087</t>
  </si>
  <si>
    <t>TAMBIMONG</t>
  </si>
  <si>
    <t>SAV-025</t>
  </si>
  <si>
    <t>TAMPIALIM</t>
  </si>
  <si>
    <t>SAV-038</t>
  </si>
  <si>
    <t>TIGOU</t>
  </si>
  <si>
    <t>SAV-093</t>
  </si>
  <si>
    <t>WARKANBOU-CENTRE</t>
  </si>
  <si>
    <t>SAV-009</t>
  </si>
  <si>
    <t>WORGOU</t>
  </si>
  <si>
    <t>SAV-TGT01</t>
  </si>
  <si>
    <t>DAPAONG-SRT</t>
  </si>
  <si>
    <t>PLA-214</t>
  </si>
  <si>
    <t>ANIE7</t>
  </si>
  <si>
    <t>ELAVAGNON</t>
  </si>
  <si>
    <t>PLA-085</t>
  </si>
  <si>
    <t>ANIE-TCHIMTOYI</t>
  </si>
  <si>
    <t>PLA-140</t>
  </si>
  <si>
    <t>ELAVAGNON-OKOUTAWAGA</t>
  </si>
  <si>
    <t>PLA-158</t>
  </si>
  <si>
    <t>OLIGO</t>
  </si>
  <si>
    <t>PLA-143</t>
  </si>
  <si>
    <t>ANIE-KABLEKOPE</t>
  </si>
  <si>
    <t>PLA-141</t>
  </si>
  <si>
    <t>ANIE-LOSSOKOME</t>
  </si>
  <si>
    <t>PLA-086</t>
  </si>
  <si>
    <t>PLA-035</t>
  </si>
  <si>
    <t>IGBOLOUDJA</t>
  </si>
  <si>
    <t>PLA-166</t>
  </si>
  <si>
    <t>TCHAGRI-TCHAKPA-MOOV</t>
  </si>
  <si>
    <t>PLA-256</t>
  </si>
  <si>
    <t>ANIE-KPOTAME</t>
  </si>
  <si>
    <t>PLA-077</t>
  </si>
  <si>
    <t>AFODJI</t>
  </si>
  <si>
    <t>PLA-078</t>
  </si>
  <si>
    <t>AFOLE</t>
  </si>
  <si>
    <t>PLA-243</t>
  </si>
  <si>
    <t>AGBOTA</t>
  </si>
  <si>
    <t>PLA-083</t>
  </si>
  <si>
    <t>ANIE</t>
  </si>
  <si>
    <t>PLA-084</t>
  </si>
  <si>
    <t>ANIE-MISSION</t>
  </si>
  <si>
    <t>PLA-220</t>
  </si>
  <si>
    <t>BIEWO-KOPE</t>
  </si>
  <si>
    <t>PLA-193</t>
  </si>
  <si>
    <t>EFFOUFAMI</t>
  </si>
  <si>
    <t>PLA-225</t>
  </si>
  <si>
    <t>EKO</t>
  </si>
  <si>
    <t>PLA-144</t>
  </si>
  <si>
    <t>GAOUGBLE</t>
  </si>
  <si>
    <t>PLA-087</t>
  </si>
  <si>
    <t>GBADJAHE</t>
  </si>
  <si>
    <t>PLA-080</t>
  </si>
  <si>
    <t>GBAGBADJAKOU</t>
  </si>
  <si>
    <t>PLA-088</t>
  </si>
  <si>
    <t>KOLOKOPE</t>
  </si>
  <si>
    <t>PLA-160</t>
  </si>
  <si>
    <t>LAKIYEKOU</t>
  </si>
  <si>
    <t>PLA-157</t>
  </si>
  <si>
    <t>MATEKPE-ABADJENE</t>
  </si>
  <si>
    <t>PLA-089</t>
  </si>
  <si>
    <t>NIAMTOUGOU-KOPE</t>
  </si>
  <si>
    <t>PLA-045</t>
  </si>
  <si>
    <t>OFE</t>
  </si>
  <si>
    <t>PLA-235</t>
  </si>
  <si>
    <t>OGOUKOLIDE-MOOV</t>
  </si>
  <si>
    <t>PLA-082</t>
  </si>
  <si>
    <t>OKE</t>
  </si>
  <si>
    <t>PLA-094</t>
  </si>
  <si>
    <t>PALAKOKO</t>
  </si>
  <si>
    <t>PLA-026</t>
  </si>
  <si>
    <t>SAMA-KOPE</t>
  </si>
  <si>
    <t>PLA-250</t>
  </si>
  <si>
    <t>YEBOUYEBOU</t>
  </si>
  <si>
    <t>PLA-149</t>
  </si>
  <si>
    <t>BASSAN-KOPE</t>
  </si>
  <si>
    <t>PLA-092</t>
  </si>
  <si>
    <t>GNAMASSILA</t>
  </si>
  <si>
    <t>PLA-031</t>
  </si>
  <si>
    <t>MORETAN</t>
  </si>
  <si>
    <t>PLA-090</t>
  </si>
  <si>
    <t>ACOLE</t>
  </si>
  <si>
    <t>PLA-033</t>
  </si>
  <si>
    <t>ALOKO-MOOV</t>
  </si>
  <si>
    <t>PLA-034</t>
  </si>
  <si>
    <t>BADINKOPE</t>
  </si>
  <si>
    <t>PLA-036</t>
  </si>
  <si>
    <t>ISATI</t>
  </si>
  <si>
    <t>PLA-038</t>
  </si>
  <si>
    <t>YANDA</t>
  </si>
  <si>
    <t>PLA-258</t>
  </si>
  <si>
    <t>MATCHATOM-EST-MONO</t>
  </si>
  <si>
    <t>PLA-210</t>
  </si>
  <si>
    <t>ADJAGOUDA-KOPE</t>
  </si>
  <si>
    <t>PLA-091</t>
  </si>
  <si>
    <t>AKABA</t>
  </si>
  <si>
    <t>PLA-224</t>
  </si>
  <si>
    <t>DJOUKA-KOPE</t>
  </si>
  <si>
    <t>PLA-229</t>
  </si>
  <si>
    <t>ILEKOHAN</t>
  </si>
  <si>
    <t>PLA-030</t>
  </si>
  <si>
    <t>KPESSI</t>
  </si>
  <si>
    <t>PLA-037</t>
  </si>
  <si>
    <t>TCHEKITA</t>
  </si>
  <si>
    <t>KAR-150</t>
  </si>
  <si>
    <t>KOUKA2-MOOV</t>
  </si>
  <si>
    <t>KARA</t>
  </si>
  <si>
    <t>KABOU</t>
  </si>
  <si>
    <t>KAR-063</t>
  </si>
  <si>
    <t>BANJELI</t>
  </si>
  <si>
    <t>KAR-089</t>
  </si>
  <si>
    <t>BITCHABE</t>
  </si>
  <si>
    <t>CEN-023</t>
  </si>
  <si>
    <t>DJARKPANGA</t>
  </si>
  <si>
    <t>KAR-053</t>
  </si>
  <si>
    <t>KIDJABOUM</t>
  </si>
  <si>
    <t>KAR-066</t>
  </si>
  <si>
    <t>MANGA</t>
  </si>
  <si>
    <t>KAR-068</t>
  </si>
  <si>
    <t>NAWARE</t>
  </si>
  <si>
    <t>CEN-028</t>
  </si>
  <si>
    <t>SAIBOUDE</t>
  </si>
  <si>
    <t>KAR-084</t>
  </si>
  <si>
    <t>SANDA-KAGBANDA</t>
  </si>
  <si>
    <t>CEN-025</t>
  </si>
  <si>
    <t>AGBAMASSOMOU</t>
  </si>
  <si>
    <t>KAR-088</t>
  </si>
  <si>
    <t>BAGHAN</t>
  </si>
  <si>
    <t>KAR-064</t>
  </si>
  <si>
    <t>BAPURE</t>
  </si>
  <si>
    <t>KAR-071</t>
  </si>
  <si>
    <t>BASSAR</t>
  </si>
  <si>
    <t>KAR-072</t>
  </si>
  <si>
    <t>BASSAR-BYAKPABE</t>
  </si>
  <si>
    <t>KAR-073</t>
  </si>
  <si>
    <t>BASSAR-DIGBANDI</t>
  </si>
  <si>
    <t>KAR-127</t>
  </si>
  <si>
    <t>BASSAR-POSTE</t>
  </si>
  <si>
    <t>KAR-148</t>
  </si>
  <si>
    <t>BASSAR-SABONDJIDA</t>
  </si>
  <si>
    <t>KAR-155</t>
  </si>
  <si>
    <t>BIKPANDJIB-MOOV</t>
  </si>
  <si>
    <t>CEN-026</t>
  </si>
  <si>
    <t>BOULOHOU-MOOV</t>
  </si>
  <si>
    <t>KAR-140</t>
  </si>
  <si>
    <t>BOUNDJAL</t>
  </si>
  <si>
    <t>KAR-090</t>
  </si>
  <si>
    <t>DIMORE</t>
  </si>
  <si>
    <t>CEN-082</t>
  </si>
  <si>
    <t>DJARKPANGA-PREFECTURE</t>
  </si>
  <si>
    <t>CEN-108</t>
  </si>
  <si>
    <t>FOLO-BANDA</t>
  </si>
  <si>
    <t>KAR-065</t>
  </si>
  <si>
    <t>IBOBO</t>
  </si>
  <si>
    <t>KAR-144</t>
  </si>
  <si>
    <t>INIBA</t>
  </si>
  <si>
    <t>CEN-130</t>
  </si>
  <si>
    <t>IPOUALI</t>
  </si>
  <si>
    <t>KAR-080</t>
  </si>
  <si>
    <t>CEN-024</t>
  </si>
  <si>
    <t>KAGNIGBARA</t>
  </si>
  <si>
    <t>KAR-105</t>
  </si>
  <si>
    <t>KALANGA</t>
  </si>
  <si>
    <t>KAR-132</t>
  </si>
  <si>
    <t>KIKPEOU</t>
  </si>
  <si>
    <t>KAR-130</t>
  </si>
  <si>
    <t>KLOUKPON</t>
  </si>
  <si>
    <t>KAR-122</t>
  </si>
  <si>
    <t>KOUBOUABOU</t>
  </si>
  <si>
    <t>KAR-054</t>
  </si>
  <si>
    <t>KOUKA</t>
  </si>
  <si>
    <t>KAR-055</t>
  </si>
  <si>
    <t>KOUKA-GBANGBALE</t>
  </si>
  <si>
    <t>KAR-098</t>
  </si>
  <si>
    <t>KOUNDOUM</t>
  </si>
  <si>
    <t>KAR-121</t>
  </si>
  <si>
    <t>KOUTCHITCHEOU</t>
  </si>
  <si>
    <t>KAR-103</t>
  </si>
  <si>
    <t>KPALOU</t>
  </si>
  <si>
    <t>KAR-123</t>
  </si>
  <si>
    <t>KPETAB</t>
  </si>
  <si>
    <t>KAR-133</t>
  </si>
  <si>
    <t>MBALADO</t>
  </si>
  <si>
    <t>KAR-125</t>
  </si>
  <si>
    <t>NAMPOCH</t>
  </si>
  <si>
    <t>KAR-067</t>
  </si>
  <si>
    <t>NANDJOUTA</t>
  </si>
  <si>
    <t>KAR-091</t>
  </si>
  <si>
    <t>NATCHAMBA</t>
  </si>
  <si>
    <t>KAR-134</t>
  </si>
  <si>
    <t>OUSSOMBO</t>
  </si>
  <si>
    <t>KAR-083</t>
  </si>
  <si>
    <t>SANDA</t>
  </si>
  <si>
    <t>KAR-086</t>
  </si>
  <si>
    <t>SOUMDINAKAWA</t>
  </si>
  <si>
    <t>KAR-104</t>
  </si>
  <si>
    <t>TANKPAYABOUR</t>
  </si>
  <si>
    <t>KAR-124</t>
  </si>
  <si>
    <t>TCHAPOSSI</t>
  </si>
  <si>
    <t>KAR-087</t>
  </si>
  <si>
    <t>TCHATCHAMINADE</t>
  </si>
  <si>
    <t>CEN-029</t>
  </si>
  <si>
    <t>TINDJASSE</t>
  </si>
  <si>
    <t>KAR-092</t>
  </si>
  <si>
    <t>YAKEDJI</t>
  </si>
  <si>
    <t>KAR-048</t>
  </si>
  <si>
    <t>HELOTA</t>
  </si>
  <si>
    <t>KANTE</t>
  </si>
  <si>
    <t>KAR-040</t>
  </si>
  <si>
    <t>KAR-051</t>
  </si>
  <si>
    <t>OSSACRE</t>
  </si>
  <si>
    <t>KAR-027</t>
  </si>
  <si>
    <t>DEFALE-HAUT</t>
  </si>
  <si>
    <t>KAR-111</t>
  </si>
  <si>
    <t>NGAMBI</t>
  </si>
  <si>
    <t>KAR-165</t>
  </si>
  <si>
    <t>KOUSSAKPANGOU</t>
  </si>
  <si>
    <t>KAR-100</t>
  </si>
  <si>
    <t>ADELO</t>
  </si>
  <si>
    <t>KAR-096</t>
  </si>
  <si>
    <t>AGOUNDE</t>
  </si>
  <si>
    <t>KAR-047</t>
  </si>
  <si>
    <t>ATALOUTE</t>
  </si>
  <si>
    <t>KAR-109</t>
  </si>
  <si>
    <t>GOULBI</t>
  </si>
  <si>
    <t>KAR-058</t>
  </si>
  <si>
    <t>KADJALA</t>
  </si>
  <si>
    <t>KAR-145</t>
  </si>
  <si>
    <t>KANTE2</t>
  </si>
  <si>
    <t>KAR-163</t>
  </si>
  <si>
    <t>KANTE-DEOUTE</t>
  </si>
  <si>
    <t>KAR-131</t>
  </si>
  <si>
    <t>KOUTANGOU</t>
  </si>
  <si>
    <t>KAR-049</t>
  </si>
  <si>
    <t>KPESSIDE</t>
  </si>
  <si>
    <t>KAR-116</t>
  </si>
  <si>
    <t>LABARKOUTA</t>
  </si>
  <si>
    <t>KAR-050</t>
  </si>
  <si>
    <t>NABOULGOU</t>
  </si>
  <si>
    <t>KAR-043</t>
  </si>
  <si>
    <t>NADOBA</t>
  </si>
  <si>
    <t>KAR-112</t>
  </si>
  <si>
    <t>NASSIKOU</t>
  </si>
  <si>
    <t>KAR-044</t>
  </si>
  <si>
    <t>NATCHANGOU</t>
  </si>
  <si>
    <t>SAV-083</t>
  </si>
  <si>
    <t>NATIPONI</t>
  </si>
  <si>
    <t>KAR-102</t>
  </si>
  <si>
    <t>PANGOUDA</t>
  </si>
  <si>
    <t>SAV-056</t>
  </si>
  <si>
    <t>TAKPAPIENI</t>
  </si>
  <si>
    <t>KAR-110</t>
  </si>
  <si>
    <t>TCHORE</t>
  </si>
  <si>
    <t>KAR-097</t>
  </si>
  <si>
    <t>YAKLE</t>
  </si>
  <si>
    <t>KAR-157</t>
  </si>
  <si>
    <t>KARALASSA-MOOV</t>
  </si>
  <si>
    <t>KAR-002</t>
  </si>
  <si>
    <t>KARA-PISSA</t>
  </si>
  <si>
    <t>KAR-032</t>
  </si>
  <si>
    <t>KEMERIDA</t>
  </si>
  <si>
    <t>KAR-161</t>
  </si>
  <si>
    <t>KETAWO-GNIYOUDE</t>
  </si>
  <si>
    <t>KAR-149</t>
  </si>
  <si>
    <t>PYA-LAO</t>
  </si>
  <si>
    <t>KAR-031</t>
  </si>
  <si>
    <t>SIOU</t>
  </si>
  <si>
    <t>KAR-045</t>
  </si>
  <si>
    <t>SOLA</t>
  </si>
  <si>
    <t>KAR-038</t>
  </si>
  <si>
    <t>SIRKA</t>
  </si>
  <si>
    <t>KAR-137</t>
  </si>
  <si>
    <t>YAKA</t>
  </si>
  <si>
    <t>SAV-120</t>
  </si>
  <si>
    <t>KARA-FEING</t>
  </si>
  <si>
    <t>KAR-170</t>
  </si>
  <si>
    <t>KIDJAN-LANDA</t>
  </si>
  <si>
    <t>KAR-172</t>
  </si>
  <si>
    <t>MADJATOM-BINAH</t>
  </si>
  <si>
    <t>KAR-171</t>
  </si>
  <si>
    <t>TCHIKAWA</t>
  </si>
  <si>
    <t>KAR-026</t>
  </si>
  <si>
    <t>BAGA</t>
  </si>
  <si>
    <t>KAR-018</t>
  </si>
  <si>
    <t>BOHOU</t>
  </si>
  <si>
    <t>KAR-101</t>
  </si>
  <si>
    <t>BOUFALE</t>
  </si>
  <si>
    <t>KAR-028</t>
  </si>
  <si>
    <t>FARENDE</t>
  </si>
  <si>
    <t>KAR-142</t>
  </si>
  <si>
    <t>GNANGBADE</t>
  </si>
  <si>
    <t>KAR-010</t>
  </si>
  <si>
    <t>IMPOT</t>
  </si>
  <si>
    <t>KAR-011</t>
  </si>
  <si>
    <t>KARA3</t>
  </si>
  <si>
    <t>KAR-164</t>
  </si>
  <si>
    <t>KARA-CAMP</t>
  </si>
  <si>
    <t>KAR-TGT 001</t>
  </si>
  <si>
    <t>KARA-COM</t>
  </si>
  <si>
    <t>KAR-001</t>
  </si>
  <si>
    <t>KARA-HOTEL-FRANCE</t>
  </si>
  <si>
    <t>KAR-158</t>
  </si>
  <si>
    <t>KARA-POWAYI</t>
  </si>
  <si>
    <t>KAR-118</t>
  </si>
  <si>
    <t>KARA-SOS</t>
  </si>
  <si>
    <t>KAR-135</t>
  </si>
  <si>
    <t>KARA-TCHALOUDE</t>
  </si>
  <si>
    <t>KAR-119</t>
  </si>
  <si>
    <t>KARA-TCHINTCHINDA</t>
  </si>
  <si>
    <t>KAR-029</t>
  </si>
  <si>
    <t>KETAWO</t>
  </si>
  <si>
    <t>KAR-019</t>
  </si>
  <si>
    <t>KETAWO2</t>
  </si>
  <si>
    <t>KAR-152</t>
  </si>
  <si>
    <t>KONFAGA-MOOV</t>
  </si>
  <si>
    <t>KAR-020</t>
  </si>
  <si>
    <t>KOUMEA</t>
  </si>
  <si>
    <t>KAR-041</t>
  </si>
  <si>
    <t>KOUTOUGOU</t>
  </si>
  <si>
    <t>KAR-004</t>
  </si>
  <si>
    <t>LAMA</t>
  </si>
  <si>
    <t>KAR-005</t>
  </si>
  <si>
    <t>LAMA-MOOV</t>
  </si>
  <si>
    <t>KAR-006</t>
  </si>
  <si>
    <t>LASSA</t>
  </si>
  <si>
    <t>KAR-042</t>
  </si>
  <si>
    <t>MASSEDENA</t>
  </si>
  <si>
    <t>KAR-030</t>
  </si>
  <si>
    <t>NIAMTOUGOU</t>
  </si>
  <si>
    <t>KAR-107</t>
  </si>
  <si>
    <t>NIAMTOUGOU-KANTAMBOLI</t>
  </si>
  <si>
    <t>KAR-147</t>
  </si>
  <si>
    <t>NIAMTOUGOU-MOOV</t>
  </si>
  <si>
    <t>KAR-033</t>
  </si>
  <si>
    <t>PAGOUDA</t>
  </si>
  <si>
    <t>KAR-108</t>
  </si>
  <si>
    <t>PAGOUDA-KAGNISSI</t>
  </si>
  <si>
    <t>KAR-099</t>
  </si>
  <si>
    <t>PESSARE</t>
  </si>
  <si>
    <t>KAR-106</t>
  </si>
  <si>
    <t>POUDA</t>
  </si>
  <si>
    <t>KAR-021</t>
  </si>
  <si>
    <t>PYABAS</t>
  </si>
  <si>
    <t>KAR-022</t>
  </si>
  <si>
    <t>PYAKADJIKA</t>
  </si>
  <si>
    <t>KAR-023</t>
  </si>
  <si>
    <t>SOUMDINA</t>
  </si>
  <si>
    <t>KAR-095</t>
  </si>
  <si>
    <t>SOUMDINA-MOOV</t>
  </si>
  <si>
    <t>KAR-024</t>
  </si>
  <si>
    <t>TCHARE-MOOV</t>
  </si>
  <si>
    <t>KAR-025</t>
  </si>
  <si>
    <t>TCHITCHAO</t>
  </si>
  <si>
    <t>KAR-046</t>
  </si>
  <si>
    <t>TCHITCHIRA</t>
  </si>
  <si>
    <t>KAR-007</t>
  </si>
  <si>
    <t>TOMDE</t>
  </si>
  <si>
    <t>KAR-008</t>
  </si>
  <si>
    <t>TOMDE2</t>
  </si>
  <si>
    <t>KAR-014</t>
  </si>
  <si>
    <t>KARA-DONGOYO</t>
  </si>
  <si>
    <t>KAR-057</t>
  </si>
  <si>
    <t>BROUKOU</t>
  </si>
  <si>
    <t>KAR-059</t>
  </si>
  <si>
    <t>NAMON</t>
  </si>
  <si>
    <t>KAR-062</t>
  </si>
  <si>
    <t>SARAKAWA</t>
  </si>
  <si>
    <t>KAR-169</t>
  </si>
  <si>
    <t>BAFILO-WAWANDE</t>
  </si>
  <si>
    <t>KAR-167</t>
  </si>
  <si>
    <t>KARA-KANDJIDE</t>
  </si>
  <si>
    <t>KAR-168</t>
  </si>
  <si>
    <t>KARA-ADJAMADESSI</t>
  </si>
  <si>
    <t>KAR-173</t>
  </si>
  <si>
    <t>KARA-CNSS</t>
  </si>
  <si>
    <t>KAR-166</t>
  </si>
  <si>
    <t>KARA-LEZIYO</t>
  </si>
  <si>
    <t>KAR-177</t>
  </si>
  <si>
    <t>KARA AGNARIM</t>
  </si>
  <si>
    <t>KAR-034</t>
  </si>
  <si>
    <t>ADJAMGBADE</t>
  </si>
  <si>
    <t>KAR-009</t>
  </si>
  <si>
    <t>AGENCE-KARA</t>
  </si>
  <si>
    <t>KAR-075</t>
  </si>
  <si>
    <t>ALEDJO</t>
  </si>
  <si>
    <t>KAR-035</t>
  </si>
  <si>
    <t>ATCHANGBADE-MOOV</t>
  </si>
  <si>
    <t>KAR-036</t>
  </si>
  <si>
    <t>AWANDJELO</t>
  </si>
  <si>
    <t>KAR-069</t>
  </si>
  <si>
    <t>BAFILO</t>
  </si>
  <si>
    <t>KAR-139</t>
  </si>
  <si>
    <t>BAFILO2</t>
  </si>
  <si>
    <t>KAR-070</t>
  </si>
  <si>
    <t>BAFILO-MOOV</t>
  </si>
  <si>
    <t>KAR-076</t>
  </si>
  <si>
    <t>BEBEDA</t>
  </si>
  <si>
    <t>KAR-115</t>
  </si>
  <si>
    <t>BIDJANDE</t>
  </si>
  <si>
    <t>KAR-078</t>
  </si>
  <si>
    <t>DAOUDE</t>
  </si>
  <si>
    <t>KAR-079</t>
  </si>
  <si>
    <t>DJAMDE</t>
  </si>
  <si>
    <t>KAR-141</t>
  </si>
  <si>
    <t>EFOLO</t>
  </si>
  <si>
    <t>KAR-012</t>
  </si>
  <si>
    <t>KARA-ATEDA</t>
  </si>
  <si>
    <t>KAR-117</t>
  </si>
  <si>
    <t>KARA-BOSCO</t>
  </si>
  <si>
    <t>KAR-013</t>
  </si>
  <si>
    <t>KARA-CENTRAL</t>
  </si>
  <si>
    <t>KAR-015</t>
  </si>
  <si>
    <t>KARA-MARCHE</t>
  </si>
  <si>
    <t>KAR-003</t>
  </si>
  <si>
    <t>KARA-SITO</t>
  </si>
  <si>
    <t>KAR-016</t>
  </si>
  <si>
    <t>KARA-SUD</t>
  </si>
  <si>
    <t>KAR-159</t>
  </si>
  <si>
    <t>KARA-UNIVERSITE</t>
  </si>
  <si>
    <t>KAR-160</t>
  </si>
  <si>
    <t>KARA-WOLADE</t>
  </si>
  <si>
    <t>KAR-138</t>
  </si>
  <si>
    <t>KAWA-ABONANDA</t>
  </si>
  <si>
    <t>KAR-146</t>
  </si>
  <si>
    <t>KOUDJOUKADE-MOOV</t>
  </si>
  <si>
    <t>KAR-081</t>
  </si>
  <si>
    <t>KOUMONDE</t>
  </si>
  <si>
    <t>KAR-151</t>
  </si>
  <si>
    <t>KOUTIERE</t>
  </si>
  <si>
    <t>KAR-017</t>
  </si>
  <si>
    <t>KPELOUWAYI</t>
  </si>
  <si>
    <t>KAR-126</t>
  </si>
  <si>
    <t>KPINDI</t>
  </si>
  <si>
    <t>KAR-037</t>
  </si>
  <si>
    <t>LANDA</t>
  </si>
  <si>
    <t>KAR-060</t>
  </si>
  <si>
    <t>NATCHIBORE</t>
  </si>
  <si>
    <t>KAR-061</t>
  </si>
  <si>
    <t>NATCHITIKPI</t>
  </si>
  <si>
    <t>KAR-085</t>
  </si>
  <si>
    <t>SOUDOU</t>
  </si>
  <si>
    <t>KAR-120</t>
  </si>
  <si>
    <t>SOUDOU2</t>
  </si>
  <si>
    <t>Solar-Batt.</t>
  </si>
  <si>
    <t>KAR-039</t>
  </si>
  <si>
    <t>SOUMBOU</t>
  </si>
  <si>
    <t>KAR-074</t>
  </si>
  <si>
    <t>TCHANWORO</t>
  </si>
  <si>
    <t>KAR-114</t>
  </si>
  <si>
    <t>TCHOGOUMA</t>
  </si>
  <si>
    <t>PLA-209</t>
  </si>
  <si>
    <t>ADETA2-MOOV</t>
  </si>
  <si>
    <t>KPALIME</t>
  </si>
  <si>
    <t>PLA-021</t>
  </si>
  <si>
    <t>AGOU-GARE</t>
  </si>
  <si>
    <t>PLA-022</t>
  </si>
  <si>
    <t>AGOUNYOGBO</t>
  </si>
  <si>
    <t>PLA-040</t>
  </si>
  <si>
    <t>PLA-116</t>
  </si>
  <si>
    <t>AMOU-OBLO</t>
  </si>
  <si>
    <t>PLA-041</t>
  </si>
  <si>
    <t>AMOUSSOUKOPE</t>
  </si>
  <si>
    <t>PLA-042</t>
  </si>
  <si>
    <t>AVETONOU</t>
  </si>
  <si>
    <t>PLA-049</t>
  </si>
  <si>
    <t>KOUMA-KONDA-MOOV</t>
  </si>
  <si>
    <t>PLA-039</t>
  </si>
  <si>
    <t>AGOU-KATI</t>
  </si>
  <si>
    <t>PLA-062</t>
  </si>
  <si>
    <t>DANYI</t>
  </si>
  <si>
    <t>PLA-181</t>
  </si>
  <si>
    <t>EDIWLOU</t>
  </si>
  <si>
    <t>PLA-017</t>
  </si>
  <si>
    <t>KPALIME3</t>
  </si>
  <si>
    <t>PLA-184</t>
  </si>
  <si>
    <t>KPALIME-NYIVEME</t>
  </si>
  <si>
    <t>PLA-044</t>
  </si>
  <si>
    <t>LAVIE</t>
  </si>
  <si>
    <t>PLA-065</t>
  </si>
  <si>
    <t>TSEKO</t>
  </si>
  <si>
    <t>PLA-251</t>
  </si>
  <si>
    <t>KPALIME-KLIGUE</t>
  </si>
  <si>
    <t>PLA-253</t>
  </si>
  <si>
    <t>KPALIME-DANGNINOU</t>
  </si>
  <si>
    <t>PLA-252</t>
  </si>
  <si>
    <t>KPIME</t>
  </si>
  <si>
    <t>SODO</t>
  </si>
  <si>
    <t>PLA-272</t>
  </si>
  <si>
    <t>BLIFOU-MOOV</t>
  </si>
  <si>
    <t>PLA-265</t>
  </si>
  <si>
    <t>KPALIME KPEGOLO</t>
  </si>
  <si>
    <t>PLA-261</t>
  </si>
  <si>
    <t>KPALIME KPOGANDZI</t>
  </si>
  <si>
    <t>AGOME YO</t>
  </si>
  <si>
    <t>PLA-061</t>
  </si>
  <si>
    <t>ADETA</t>
  </si>
  <si>
    <t>PLA-162</t>
  </si>
  <si>
    <t>AGOTIGOME</t>
  </si>
  <si>
    <t>PLA-046</t>
  </si>
  <si>
    <t>AGOTIME-ADAME</t>
  </si>
  <si>
    <t>PLA-047</t>
  </si>
  <si>
    <t>AGOTIME-ZOUKPE</t>
  </si>
  <si>
    <t>PLA-020</t>
  </si>
  <si>
    <t>AGOU</t>
  </si>
  <si>
    <t>PLA-248</t>
  </si>
  <si>
    <t>ASAHOUNFIAGBE-MOOV</t>
  </si>
  <si>
    <t>MAR-081</t>
  </si>
  <si>
    <t>ATIKOLOE</t>
  </si>
  <si>
    <t>PLA-067</t>
  </si>
  <si>
    <t>AWOUNADJASSI</t>
  </si>
  <si>
    <t>PLA-246</t>
  </si>
  <si>
    <t>BABAVE</t>
  </si>
  <si>
    <t>PLA-129</t>
  </si>
  <si>
    <t>BODJE</t>
  </si>
  <si>
    <t>PLA-159</t>
  </si>
  <si>
    <t>DANYI-DZOGBEGAN</t>
  </si>
  <si>
    <t>PLA-068</t>
  </si>
  <si>
    <t>DANYI-ELAVAGNON</t>
  </si>
  <si>
    <t>PLA-221</t>
  </si>
  <si>
    <t>DJIMEGNI</t>
  </si>
  <si>
    <t>PLA-174</t>
  </si>
  <si>
    <t>DZEYIBO</t>
  </si>
  <si>
    <t>PLA-069</t>
  </si>
  <si>
    <t>GOUDEVE</t>
  </si>
  <si>
    <t>PLA-014</t>
  </si>
  <si>
    <t>HANYIGBA</t>
  </si>
  <si>
    <t>PLA-208</t>
  </si>
  <si>
    <t>HANYIGBADOUGA-MOOV</t>
  </si>
  <si>
    <t>PLA-204</t>
  </si>
  <si>
    <t>HANYIGBA-TODZI</t>
  </si>
  <si>
    <t>PLA-234</t>
  </si>
  <si>
    <t>KANTCHIKOPE-MOOV</t>
  </si>
  <si>
    <t>PLA-249</t>
  </si>
  <si>
    <t>KLONOU-MOOV</t>
  </si>
  <si>
    <t>PLA-152</t>
  </si>
  <si>
    <t>KOLO-MESSIWOBE</t>
  </si>
  <si>
    <t>MAR-068</t>
  </si>
  <si>
    <t>KOUDASSI</t>
  </si>
  <si>
    <t>PLA-165</t>
  </si>
  <si>
    <t>KOUDZRAGAN</t>
  </si>
  <si>
    <t>PLA-048</t>
  </si>
  <si>
    <t>KOUMA</t>
  </si>
  <si>
    <t>PLA-043</t>
  </si>
  <si>
    <t>KPADAPE</t>
  </si>
  <si>
    <t>PLA-015</t>
  </si>
  <si>
    <t>PLA-238</t>
  </si>
  <si>
    <t>KPALIME NUMETRUKONDJI</t>
  </si>
  <si>
    <t>PLA-016</t>
  </si>
  <si>
    <t>KPALIME2</t>
  </si>
  <si>
    <t>PLA-018</t>
  </si>
  <si>
    <t>KPALIME4</t>
  </si>
  <si>
    <t>PLA-205</t>
  </si>
  <si>
    <t>KPALIME5</t>
  </si>
  <si>
    <t>PLA-206</t>
  </si>
  <si>
    <t>KPALIME6</t>
  </si>
  <si>
    <t>PLA-168</t>
  </si>
  <si>
    <t>KPALIME-HOTEL</t>
  </si>
  <si>
    <t>PLA-019</t>
  </si>
  <si>
    <t>KPALIME-KPODJI</t>
  </si>
  <si>
    <t>PLA-239</t>
  </si>
  <si>
    <t>KPALIME-TSIVE</t>
  </si>
  <si>
    <t>PLA-126</t>
  </si>
  <si>
    <t>KPATEGAN</t>
  </si>
  <si>
    <t>PLA-171</t>
  </si>
  <si>
    <t>KPEKPETA</t>
  </si>
  <si>
    <t>PLA-070</t>
  </si>
  <si>
    <t>KPELE-AGAVE</t>
  </si>
  <si>
    <t>PLA-186</t>
  </si>
  <si>
    <t>KPELE-AGBANON</t>
  </si>
  <si>
    <t>PLA-063</t>
  </si>
  <si>
    <t>KPELE-AKATA</t>
  </si>
  <si>
    <t>PLA-071</t>
  </si>
  <si>
    <t>KPELE-ELE</t>
  </si>
  <si>
    <t>PLA-245</t>
  </si>
  <si>
    <t>KPELE-GOUDEVE</t>
  </si>
  <si>
    <t>PLA-231</t>
  </si>
  <si>
    <t>KPEVE</t>
  </si>
  <si>
    <t>PLA-156</t>
  </si>
  <si>
    <t>LANKUI-MOOV</t>
  </si>
  <si>
    <t>PLA-064</t>
  </si>
  <si>
    <t>NDIGBE</t>
  </si>
  <si>
    <t>PLA-127</t>
  </si>
  <si>
    <t>NYILE</t>
  </si>
  <si>
    <t>PLA-217</t>
  </si>
  <si>
    <t>NYIVE-MOOV</t>
  </si>
  <si>
    <t>PLA-177</t>
  </si>
  <si>
    <t>OFOUNAGBO</t>
  </si>
  <si>
    <t>PLA-167</t>
  </si>
  <si>
    <t>OLOUTOKOU</t>
  </si>
  <si>
    <t>PLA-120</t>
  </si>
  <si>
    <t>PATATOUKOU</t>
  </si>
  <si>
    <t>PLA-198</t>
  </si>
  <si>
    <t>SASSANOU-MOOV</t>
  </si>
  <si>
    <t>MAR-154</t>
  </si>
  <si>
    <t>TAKLAVE MOOV</t>
  </si>
  <si>
    <t>PLA-072</t>
  </si>
  <si>
    <t>TINIPE</t>
  </si>
  <si>
    <t>PLA-176</t>
  </si>
  <si>
    <t>TOKO</t>
  </si>
  <si>
    <t>PLA-023</t>
  </si>
  <si>
    <t>TOVEATI</t>
  </si>
  <si>
    <t>MAR-059</t>
  </si>
  <si>
    <t>TOVEGAN</t>
  </si>
  <si>
    <t>PLA-148</t>
  </si>
  <si>
    <t>TSAVANYA</t>
  </si>
  <si>
    <t>PLA-170</t>
  </si>
  <si>
    <t>WETROPE-MOOV</t>
  </si>
  <si>
    <t>PLA-247</t>
  </si>
  <si>
    <t>WOAME-MOOV</t>
  </si>
  <si>
    <t>MAR-069</t>
  </si>
  <si>
    <t>WONOUGBA</t>
  </si>
  <si>
    <t>PLA-024</t>
  </si>
  <si>
    <t>YOKELE-MOOV</t>
  </si>
  <si>
    <t>PLA-066</t>
  </si>
  <si>
    <t>ZIWONOU</t>
  </si>
  <si>
    <t>PLA-025</t>
  </si>
  <si>
    <t>ZOMAI-MOOV</t>
  </si>
  <si>
    <t>MAR-086</t>
  </si>
  <si>
    <t>AVETA</t>
  </si>
  <si>
    <t>LOM-336</t>
  </si>
  <si>
    <t>DJAGBLE4</t>
  </si>
  <si>
    <t>LOM-337</t>
  </si>
  <si>
    <t>DJAGBLE5</t>
  </si>
  <si>
    <t>MAR-158</t>
  </si>
  <si>
    <t>DJAGBLE-ABOLAVE</t>
  </si>
  <si>
    <t>LOM-238</t>
  </si>
  <si>
    <t>DJAGBLE-AGODOME</t>
  </si>
  <si>
    <t>LOM-278</t>
  </si>
  <si>
    <t>DJAGBLE-PERIPHERIE</t>
  </si>
  <si>
    <t>LOM-259</t>
  </si>
  <si>
    <t>DJAGBLE-ZAVADJI</t>
  </si>
  <si>
    <t>LOM-119</t>
  </si>
  <si>
    <t>CASSABLANCA</t>
  </si>
  <si>
    <t>LOM-101</t>
  </si>
  <si>
    <t>HOUNTIGOME</t>
  </si>
  <si>
    <t>LOM-134</t>
  </si>
  <si>
    <t>NUKAFU</t>
  </si>
  <si>
    <t>LOM-089</t>
  </si>
  <si>
    <t>ATTIEGOU2</t>
  </si>
  <si>
    <t>LOM-387</t>
  </si>
  <si>
    <t>ATIKOUME</t>
  </si>
  <si>
    <t>LOM-393</t>
  </si>
  <si>
    <t>HEDJRANAWOE-HADJ</t>
  </si>
  <si>
    <t>LOM-375</t>
  </si>
  <si>
    <t>KELEGOUGAN-DJIGBLE</t>
  </si>
  <si>
    <t>LOM-341</t>
  </si>
  <si>
    <t>KLOBATEME</t>
  </si>
  <si>
    <t>LOM-334</t>
  </si>
  <si>
    <t>CAMPUS-DAAS</t>
  </si>
  <si>
    <t>LOM-128</t>
  </si>
  <si>
    <t>ADEWI</t>
  </si>
  <si>
    <t>LOM-286</t>
  </si>
  <si>
    <t>ADJOGUIDI</t>
  </si>
  <si>
    <t>LOM-033</t>
  </si>
  <si>
    <t>ADJOUGBA2</t>
  </si>
  <si>
    <t>Grid-Batt.</t>
  </si>
  <si>
    <t>LOM-202</t>
  </si>
  <si>
    <t>AEROGARE</t>
  </si>
  <si>
    <t>LOM-203</t>
  </si>
  <si>
    <t>AEROGARE-IBS</t>
  </si>
  <si>
    <t>LOM-204</t>
  </si>
  <si>
    <t>AEROPORT</t>
  </si>
  <si>
    <t>LOM-205</t>
  </si>
  <si>
    <t>AEROPORT2</t>
  </si>
  <si>
    <t>LOM-326</t>
  </si>
  <si>
    <t>AEROPORT3</t>
  </si>
  <si>
    <t>LOM-371</t>
  </si>
  <si>
    <t>AGOE-SORAD</t>
  </si>
  <si>
    <t>LOM-245</t>
  </si>
  <si>
    <t>ATIEGOU3-MOOV</t>
  </si>
  <si>
    <t>LOM-088</t>
  </si>
  <si>
    <t>ATTIEGOU</t>
  </si>
  <si>
    <t>LOM-090</t>
  </si>
  <si>
    <t>ATTIEGOU2-MOOV</t>
  </si>
  <si>
    <t>LOM-352</t>
  </si>
  <si>
    <t>ATTIEGOU4</t>
  </si>
  <si>
    <t>LOM-253</t>
  </si>
  <si>
    <t>CAISSE</t>
  </si>
  <si>
    <t>LOM-105</t>
  </si>
  <si>
    <t>CAMPUS-MOOV</t>
  </si>
  <si>
    <t>LOM-390</t>
  </si>
  <si>
    <t>CASSABLANCA3-MOOV</t>
  </si>
  <si>
    <t>LOM-129</t>
  </si>
  <si>
    <t>CERFER</t>
  </si>
  <si>
    <t>LOM-130</t>
  </si>
  <si>
    <t>CERFER2-MOOV</t>
  </si>
  <si>
    <t>LOM-302</t>
  </si>
  <si>
    <t>CERFER3</t>
  </si>
  <si>
    <t>LOM-233</t>
  </si>
  <si>
    <t>DJAGBLE</t>
  </si>
  <si>
    <t>LOM-251</t>
  </si>
  <si>
    <t>DOUMASSESSE</t>
  </si>
  <si>
    <t>LOM-096</t>
  </si>
  <si>
    <t>FOIRE</t>
  </si>
  <si>
    <t>LOM-112</t>
  </si>
  <si>
    <t>FUCEC</t>
  </si>
  <si>
    <t>LOM-123</t>
  </si>
  <si>
    <t>GBOSSIME</t>
  </si>
  <si>
    <t>LOM-097</t>
  </si>
  <si>
    <t>HEDJRANAWOE</t>
  </si>
  <si>
    <t>LOM-098</t>
  </si>
  <si>
    <t>HEDJRANAWOE2</t>
  </si>
  <si>
    <t>LOM-099</t>
  </si>
  <si>
    <t>HEDJRANAWOE4</t>
  </si>
  <si>
    <t>LOM-250</t>
  </si>
  <si>
    <t>HEDJRANAWOE-MARCHE</t>
  </si>
  <si>
    <t>LOM-100</t>
  </si>
  <si>
    <t>HEDZRANAWOE3</t>
  </si>
  <si>
    <t>LOM-132</t>
  </si>
  <si>
    <t>HOUNTIGOME2</t>
  </si>
  <si>
    <t>LOM-091</t>
  </si>
  <si>
    <t>KEGUE</t>
  </si>
  <si>
    <t>LOM-092</t>
  </si>
  <si>
    <t>KEGUE2</t>
  </si>
  <si>
    <t>LOM-362</t>
  </si>
  <si>
    <t>KEGUE3</t>
  </si>
  <si>
    <t>LOM-093</t>
  </si>
  <si>
    <t>KEGUE-MOOV</t>
  </si>
  <si>
    <t>LOM-094</t>
  </si>
  <si>
    <t>KEGUE-STADE</t>
  </si>
  <si>
    <t>LOM-007</t>
  </si>
  <si>
    <t>KELEGOUGAN</t>
  </si>
  <si>
    <t>LOM-008</t>
  </si>
  <si>
    <t>KELEGOUGAN2</t>
  </si>
  <si>
    <t>LOM-282</t>
  </si>
  <si>
    <t>KELEGOUGAN3</t>
  </si>
  <si>
    <t>LOM-113</t>
  </si>
  <si>
    <t>KLIKAME</t>
  </si>
  <si>
    <t>LOM-114</t>
  </si>
  <si>
    <t>KLIKAME-MOOV</t>
  </si>
  <si>
    <t>LOM-108</t>
  </si>
  <si>
    <t>LOME2</t>
  </si>
  <si>
    <t>LOM-095</t>
  </si>
  <si>
    <t>LOME2000-MOOV</t>
  </si>
  <si>
    <t>LOM-234</t>
  </si>
  <si>
    <t>LOME2-CENTRE</t>
  </si>
  <si>
    <t>LOM-133</t>
  </si>
  <si>
    <t>LYCEE</t>
  </si>
  <si>
    <t>LOM-115</t>
  </si>
  <si>
    <t>NUKAFU2</t>
  </si>
  <si>
    <t>LOM-254</t>
  </si>
  <si>
    <t>OUA</t>
  </si>
  <si>
    <t>LOM-109</t>
  </si>
  <si>
    <t>PRESIDENCE</t>
  </si>
  <si>
    <t>LOM-116</t>
  </si>
  <si>
    <t>SOS</t>
  </si>
  <si>
    <t>LOM-102</t>
  </si>
  <si>
    <t>TOGO2000</t>
  </si>
  <si>
    <t>LOM-117</t>
  </si>
  <si>
    <t>UNIVERSITE</t>
  </si>
  <si>
    <t>LOM-004</t>
  </si>
  <si>
    <t>ZOGBEDJI</t>
  </si>
  <si>
    <t>LOM-328</t>
  </si>
  <si>
    <t>ALOGAVI</t>
  </si>
  <si>
    <t>MAR-093</t>
  </si>
  <si>
    <t>DEVEGO2</t>
  </si>
  <si>
    <t>LOM-339</t>
  </si>
  <si>
    <t>GBETSOGBE</t>
  </si>
  <si>
    <t>LOM-199</t>
  </si>
  <si>
    <t>AGODEKE</t>
  </si>
  <si>
    <t>LOM-200</t>
  </si>
  <si>
    <t>AVEPOZO</t>
  </si>
  <si>
    <t>LOM-180</t>
  </si>
  <si>
    <t>BAGUIDA3</t>
  </si>
  <si>
    <t>LOM-271</t>
  </si>
  <si>
    <t>ANFAME2</t>
  </si>
  <si>
    <t>LOM-370</t>
  </si>
  <si>
    <t>AFANOUCOPE</t>
  </si>
  <si>
    <t>LOM-402</t>
  </si>
  <si>
    <t>KAGOME2</t>
  </si>
  <si>
    <t>LOM-368</t>
  </si>
  <si>
    <t>KPONOU2</t>
  </si>
  <si>
    <t>LOM-388</t>
  </si>
  <si>
    <t>PORT2</t>
  </si>
  <si>
    <t>LOM-395</t>
  </si>
  <si>
    <t>PORT-PVO</t>
  </si>
  <si>
    <t>LOM-EST</t>
  </si>
  <si>
    <t>DONGBELI-MOOV</t>
  </si>
  <si>
    <t>LOM-413</t>
  </si>
  <si>
    <t>GBODJOME2</t>
  </si>
  <si>
    <t>LOM-190</t>
  </si>
  <si>
    <t>ABATTOIR</t>
  </si>
  <si>
    <t>LOM-184</t>
  </si>
  <si>
    <t>ADAKPAME</t>
  </si>
  <si>
    <t>LOM-291</t>
  </si>
  <si>
    <t>ADAKPAME2</t>
  </si>
  <si>
    <t>LOM-176</t>
  </si>
  <si>
    <t>ADAMAVO</t>
  </si>
  <si>
    <t>LOM-185</t>
  </si>
  <si>
    <t>ADAMAVO2</t>
  </si>
  <si>
    <t>LOM-177</t>
  </si>
  <si>
    <t>ADAMAVO3</t>
  </si>
  <si>
    <t>LOM-331</t>
  </si>
  <si>
    <t>ADAMAVO4</t>
  </si>
  <si>
    <t>LOM-321</t>
  </si>
  <si>
    <t>LOM-197</t>
  </si>
  <si>
    <t>AFIDENYIGBAN</t>
  </si>
  <si>
    <t>MAR-130</t>
  </si>
  <si>
    <t>AGBATA</t>
  </si>
  <si>
    <t>LOM-322</t>
  </si>
  <si>
    <t>AGBAVI</t>
  </si>
  <si>
    <t>LOM-380</t>
  </si>
  <si>
    <t>AGBAVI-MOOV</t>
  </si>
  <si>
    <t>LOM-198</t>
  </si>
  <si>
    <t>AGBODANKOPE</t>
  </si>
  <si>
    <t>LOM-325</t>
  </si>
  <si>
    <t>LOM-170</t>
  </si>
  <si>
    <t>AGOTRANS</t>
  </si>
  <si>
    <t>MAR-092</t>
  </si>
  <si>
    <t>AGOVOUDOU</t>
  </si>
  <si>
    <t>LOM-186</t>
  </si>
  <si>
    <t>AHADJIKPOTA</t>
  </si>
  <si>
    <t>LOM-191</t>
  </si>
  <si>
    <t>AKODESSEWA</t>
  </si>
  <si>
    <t>LOM-192</t>
  </si>
  <si>
    <t>ANFAME</t>
  </si>
  <si>
    <t>LOM-296</t>
  </si>
  <si>
    <t>ANFAME3</t>
  </si>
  <si>
    <t>LOM-227</t>
  </si>
  <si>
    <t>AVEPOZO2</t>
  </si>
  <si>
    <t>LOM-178</t>
  </si>
  <si>
    <t>BAGUIDA</t>
  </si>
  <si>
    <t>LOM-179</t>
  </si>
  <si>
    <t>BAGUIDA2</t>
  </si>
  <si>
    <t>LOM-181</t>
  </si>
  <si>
    <t>BAGUIDA4</t>
  </si>
  <si>
    <t>LOM-228</t>
  </si>
  <si>
    <t>BAGUIDA6</t>
  </si>
  <si>
    <t>LOM-182</t>
  </si>
  <si>
    <t>BAGUIDABENA-MOOV</t>
  </si>
  <si>
    <t>LOM-332</t>
  </si>
  <si>
    <t>BAGUIDA-CITE</t>
  </si>
  <si>
    <t>LOM-220</t>
  </si>
  <si>
    <t>BAGUIDA-MONUMENT</t>
  </si>
  <si>
    <t>LOM-300</t>
  </si>
  <si>
    <t>BE-HEDJE</t>
  </si>
  <si>
    <t>LOM-172</t>
  </si>
  <si>
    <t>BEKPOTA</t>
  </si>
  <si>
    <t>LOM-206</t>
  </si>
  <si>
    <t>BEKPOTA2</t>
  </si>
  <si>
    <t>MAR-087</t>
  </si>
  <si>
    <t>DAGUE</t>
  </si>
  <si>
    <t>MAR-143</t>
  </si>
  <si>
    <t>DEVEGO</t>
  </si>
  <si>
    <t>LOM-335</t>
  </si>
  <si>
    <t>DEVIKINME</t>
  </si>
  <si>
    <t>LOM-207</t>
  </si>
  <si>
    <t>DJIFAKPOTA</t>
  </si>
  <si>
    <t>LOM-208</t>
  </si>
  <si>
    <t>DJIFAKPOTA2-MOOV</t>
  </si>
  <si>
    <t>LOM-340</t>
  </si>
  <si>
    <t>GBODJOME</t>
  </si>
  <si>
    <t>LOM-187</t>
  </si>
  <si>
    <t>KAGNIKOPE</t>
  </si>
  <si>
    <t>LOM-188</t>
  </si>
  <si>
    <t>KAGNIKOPE2</t>
  </si>
  <si>
    <t>LOM-209</t>
  </si>
  <si>
    <t>KAGOME</t>
  </si>
  <si>
    <t>LOM-183</t>
  </si>
  <si>
    <t>KAGOME-MOOV</t>
  </si>
  <si>
    <t>LOM-343</t>
  </si>
  <si>
    <t>KPESSI-MOOV</t>
  </si>
  <si>
    <t>LOM-201</t>
  </si>
  <si>
    <t>KPOGAN</t>
  </si>
  <si>
    <t>LOM-231</t>
  </si>
  <si>
    <t>KPOGAN2</t>
  </si>
  <si>
    <t>LOM-189</t>
  </si>
  <si>
    <t>KPONOU</t>
  </si>
  <si>
    <t>LOM-193</t>
  </si>
  <si>
    <t>PAL</t>
  </si>
  <si>
    <t>LOM-194</t>
  </si>
  <si>
    <t>PORT</t>
  </si>
  <si>
    <t>LOM-195</t>
  </si>
  <si>
    <t>PORT3</t>
  </si>
  <si>
    <t>LOM-196</t>
  </si>
  <si>
    <t>PORT-MOOV</t>
  </si>
  <si>
    <t>LOM-314</t>
  </si>
  <si>
    <t>PORT-TP3</t>
  </si>
  <si>
    <t>LOM-389</t>
  </si>
  <si>
    <t>PORT-ZORRO-BAR</t>
  </si>
  <si>
    <t>LOM-219</t>
  </si>
  <si>
    <t>RAFFINERIE</t>
  </si>
  <si>
    <t>LOM-224</t>
  </si>
  <si>
    <t>T-OIL-SC</t>
  </si>
  <si>
    <t>LOM-247</t>
  </si>
  <si>
    <t>WAFO</t>
  </si>
  <si>
    <t>LOM-292</t>
  </si>
  <si>
    <t>ADETIKOPE-AGBEKOVI</t>
  </si>
  <si>
    <t>LOM-295</t>
  </si>
  <si>
    <t>AKOIN</t>
  </si>
  <si>
    <t>LOM-372</t>
  </si>
  <si>
    <t>ALINKA-NYIVEMEGBLE</t>
  </si>
  <si>
    <t>LOM-272</t>
  </si>
  <si>
    <t>ANYAVE</t>
  </si>
  <si>
    <t>LOM-330</t>
  </si>
  <si>
    <t>ASSOME2</t>
  </si>
  <si>
    <t>LOM-041</t>
  </si>
  <si>
    <t>MINAMADOU</t>
  </si>
  <si>
    <t>LOM-020</t>
  </si>
  <si>
    <t>MOTOCROSS</t>
  </si>
  <si>
    <t>LOM-026</t>
  </si>
  <si>
    <t>TOGBLEKOPE</t>
  </si>
  <si>
    <t>LOM-031</t>
  </si>
  <si>
    <t>ZONGO1</t>
  </si>
  <si>
    <t>LOM-281</t>
  </si>
  <si>
    <t>AGBALEPEDO-HAAC</t>
  </si>
  <si>
    <t>LOM-366</t>
  </si>
  <si>
    <t>TOGBLEKOPE-PIA</t>
  </si>
  <si>
    <t>LOM-404</t>
  </si>
  <si>
    <t>FIDOKPUI OTOKOPE</t>
  </si>
  <si>
    <t>LOM-002</t>
  </si>
  <si>
    <t>ADETIKOPE</t>
  </si>
  <si>
    <t>LOM-021</t>
  </si>
  <si>
    <t>ADETIKOPE2</t>
  </si>
  <si>
    <t>LOM-211</t>
  </si>
  <si>
    <t>ADETIKOPE3</t>
  </si>
  <si>
    <t>LOM-356</t>
  </si>
  <si>
    <t>ADETIKOPE5</t>
  </si>
  <si>
    <t>LOM-293</t>
  </si>
  <si>
    <t>ADETIKOPE7</t>
  </si>
  <si>
    <t>LOM-257</t>
  </si>
  <si>
    <t>ADETIKOPE-AGOUTE</t>
  </si>
  <si>
    <t>LOM-391</t>
  </si>
  <si>
    <t>ADETIKOPE-CEG</t>
  </si>
  <si>
    <t>LOM-239</t>
  </si>
  <si>
    <t>ADETIKOPE-KLADJEME</t>
  </si>
  <si>
    <t>LOM-015</t>
  </si>
  <si>
    <t>ADIDOADIN</t>
  </si>
  <si>
    <t>LOM-005</t>
  </si>
  <si>
    <t>ADJOUGBA</t>
  </si>
  <si>
    <t>LOM-367</t>
  </si>
  <si>
    <t>ADJOUGBA3</t>
  </si>
  <si>
    <t>LOM-266</t>
  </si>
  <si>
    <t>ADZOVE</t>
  </si>
  <si>
    <t>LOM-103</t>
  </si>
  <si>
    <t>AGBALEPEDO</t>
  </si>
  <si>
    <t>LOM-016</t>
  </si>
  <si>
    <t>AGBALEPEDO2</t>
  </si>
  <si>
    <t>LOM-104</t>
  </si>
  <si>
    <t>AGBALEPEDO-MOOV</t>
  </si>
  <si>
    <t>LOM-324</t>
  </si>
  <si>
    <t>AGODEKA-NOVISSI</t>
  </si>
  <si>
    <t>LOM-034</t>
  </si>
  <si>
    <t>AGOE-GAKPOTO</t>
  </si>
  <si>
    <t>LOM-035</t>
  </si>
  <si>
    <t>AGOE-GBONVE</t>
  </si>
  <si>
    <t>LOM-267</t>
  </si>
  <si>
    <t>AGOE-LYCEE</t>
  </si>
  <si>
    <t>LOM-009</t>
  </si>
  <si>
    <t>AGOE-SEMINAIRE</t>
  </si>
  <si>
    <t>LOM-006</t>
  </si>
  <si>
    <t>AGOE-SHELL</t>
  </si>
  <si>
    <t>LOM-010</t>
  </si>
  <si>
    <t>AGOE-SHELL-MOOV</t>
  </si>
  <si>
    <t>LOM-240</t>
  </si>
  <si>
    <t>ALINKA2</t>
  </si>
  <si>
    <t>LOM-017</t>
  </si>
  <si>
    <t>ANOME</t>
  </si>
  <si>
    <t>LOM-011</t>
  </si>
  <si>
    <t>CACAVELLI1</t>
  </si>
  <si>
    <t>LOM-012</t>
  </si>
  <si>
    <t>CACAVELLI2</t>
  </si>
  <si>
    <t>LOM-036</t>
  </si>
  <si>
    <t>CACAVELLI3</t>
  </si>
  <si>
    <t>LOM-018</t>
  </si>
  <si>
    <t>CONGAT-MOOV</t>
  </si>
  <si>
    <t>LOM-237</t>
  </si>
  <si>
    <t>COUR-DAPPEL</t>
  </si>
  <si>
    <t>LOM-003</t>
  </si>
  <si>
    <t>DICAME</t>
  </si>
  <si>
    <t>LOM-242</t>
  </si>
  <si>
    <t>DJADOUKOPE</t>
  </si>
  <si>
    <t>MAR-070</t>
  </si>
  <si>
    <t>ECOLE-DE-POLICE</t>
  </si>
  <si>
    <t>LOM-013</t>
  </si>
  <si>
    <t>ETAT-MAJOR</t>
  </si>
  <si>
    <t>LOM-023</t>
  </si>
  <si>
    <t>FIDOKPUI</t>
  </si>
  <si>
    <t>LOM-279</t>
  </si>
  <si>
    <t>FIDOKPUI2</t>
  </si>
  <si>
    <t>LOM-306</t>
  </si>
  <si>
    <t>FIDOKPUI3</t>
  </si>
  <si>
    <t>LOM-374</t>
  </si>
  <si>
    <t>FIDOKPUI-DARSALAM</t>
  </si>
  <si>
    <t>LOM-252</t>
  </si>
  <si>
    <t>FIL-O-PARC</t>
  </si>
  <si>
    <t>LOM-019</t>
  </si>
  <si>
    <t>GBONVE</t>
  </si>
  <si>
    <t>LOM-107</t>
  </si>
  <si>
    <t>GTA</t>
  </si>
  <si>
    <t>LOM-037</t>
  </si>
  <si>
    <t>KITIDJAN</t>
  </si>
  <si>
    <t>LOM-014</t>
  </si>
  <si>
    <t>LEADERPRICE</t>
  </si>
  <si>
    <t>LOM-040</t>
  </si>
  <si>
    <t>LEO2000</t>
  </si>
  <si>
    <t>LOM-312</t>
  </si>
  <si>
    <t>LOME-NORTH</t>
  </si>
  <si>
    <t>LOM-365</t>
  </si>
  <si>
    <t>PELEGRIN</t>
  </si>
  <si>
    <t>LOM-289</t>
  </si>
  <si>
    <t>PIA</t>
  </si>
  <si>
    <t>LOM-277</t>
  </si>
  <si>
    <t>PIA2</t>
  </si>
  <si>
    <t>LOM-265</t>
  </si>
  <si>
    <t>SK-TELECOM</t>
  </si>
  <si>
    <t>LOM-246</t>
  </si>
  <si>
    <t>STATION-AGBALEPEDO</t>
  </si>
  <si>
    <t>LOM-042</t>
  </si>
  <si>
    <t>TELESSOU</t>
  </si>
  <si>
    <t>LOM-043</t>
  </si>
  <si>
    <t>TELESSOU2</t>
  </si>
  <si>
    <t>LOM-118</t>
  </si>
  <si>
    <t>TGT-IBS/ HQ-IBS</t>
  </si>
  <si>
    <t>LOM-256</t>
  </si>
  <si>
    <t>TOGBLEKOPE2</t>
  </si>
  <si>
    <t>LOM-290</t>
  </si>
  <si>
    <t>TOGBLEKOPE3</t>
  </si>
  <si>
    <t>LOM-110</t>
  </si>
  <si>
    <t>TOGO3000</t>
  </si>
  <si>
    <t>LOM-353</t>
  </si>
  <si>
    <t>TOGOCOM</t>
  </si>
  <si>
    <t>LOM-255</t>
  </si>
  <si>
    <t>WELL-CITY</t>
  </si>
  <si>
    <t>MAR-139</t>
  </si>
  <si>
    <t>AKPLODJIGA</t>
  </si>
  <si>
    <t>LOM-379</t>
  </si>
  <si>
    <t>DANGBESSITO2</t>
  </si>
  <si>
    <t>LOM-348</t>
  </si>
  <si>
    <t>MISSION-TOVE2</t>
  </si>
  <si>
    <t>LOM-001</t>
  </si>
  <si>
    <t>NOEPE</t>
  </si>
  <si>
    <t>MAR-167</t>
  </si>
  <si>
    <t>NOEPE-MOOV</t>
  </si>
  <si>
    <t>MAR-097</t>
  </si>
  <si>
    <t>SEVEHO</t>
  </si>
  <si>
    <t>LOM-044</t>
  </si>
  <si>
    <t>AGOE</t>
  </si>
  <si>
    <t>LOM-038</t>
  </si>
  <si>
    <t>ASSIYEYE</t>
  </si>
  <si>
    <t>LOM-052</t>
  </si>
  <si>
    <t>KOVE2</t>
  </si>
  <si>
    <t>LOM-024</t>
  </si>
  <si>
    <t>LEGBASSITO</t>
  </si>
  <si>
    <t>LOM-032</t>
  </si>
  <si>
    <t>ZONGO2</t>
  </si>
  <si>
    <t>LOM-396</t>
  </si>
  <si>
    <t>ATHIEME</t>
  </si>
  <si>
    <t>LOM-386</t>
  </si>
  <si>
    <t>KOVE-SIVAGNON</t>
  </si>
  <si>
    <t>LOM-405</t>
  </si>
  <si>
    <t>AHONKPOE</t>
  </si>
  <si>
    <t>LOM-408</t>
  </si>
  <si>
    <t>APESSITO2</t>
  </si>
  <si>
    <t>LOM-406</t>
  </si>
  <si>
    <t>EMOE KOPE</t>
  </si>
  <si>
    <t>LOM-407</t>
  </si>
  <si>
    <t>AGOE KPEDEVIKOPE</t>
  </si>
  <si>
    <t>LOM-323</t>
  </si>
  <si>
    <t>AGBELIKO</t>
  </si>
  <si>
    <t>LOM-027</t>
  </si>
  <si>
    <t>AGOE-DEMAKPOE</t>
  </si>
  <si>
    <t>LOM-268</t>
  </si>
  <si>
    <t>AGOSSITO</t>
  </si>
  <si>
    <t>MAR-090</t>
  </si>
  <si>
    <t>AKEPE</t>
  </si>
  <si>
    <t>LOM-269</t>
  </si>
  <si>
    <t>AKEPEDO-PEAGE</t>
  </si>
  <si>
    <t>LOM-022</t>
  </si>
  <si>
    <t>ALINKA</t>
  </si>
  <si>
    <t>LOM-050</t>
  </si>
  <si>
    <t>AMEDENTA</t>
  </si>
  <si>
    <t>LOM-297</t>
  </si>
  <si>
    <t>ANOKUI</t>
  </si>
  <si>
    <t>LOM-248</t>
  </si>
  <si>
    <t>APESSITO</t>
  </si>
  <si>
    <t>LOM-232</t>
  </si>
  <si>
    <t>ASSIGOME</t>
  </si>
  <si>
    <t>LOM-298</t>
  </si>
  <si>
    <t>ASSIKO</t>
  </si>
  <si>
    <t>LOM-385</t>
  </si>
  <si>
    <t>ATIDJIN</t>
  </si>
  <si>
    <t>LOM-274</t>
  </si>
  <si>
    <t>ATIOME</t>
  </si>
  <si>
    <t>LOM-275</t>
  </si>
  <si>
    <t>AVINATO2</t>
  </si>
  <si>
    <t>LOM-051</t>
  </si>
  <si>
    <t>AVINATO-MOOV</t>
  </si>
  <si>
    <t>LOM-276</t>
  </si>
  <si>
    <t>BOKPOKO</t>
  </si>
  <si>
    <t>LOM-045</t>
  </si>
  <si>
    <t>CAMP-GP</t>
  </si>
  <si>
    <t>LOM-212</t>
  </si>
  <si>
    <t>CAMP-POLICE</t>
  </si>
  <si>
    <t>LOM-046</t>
  </si>
  <si>
    <t>DALIME</t>
  </si>
  <si>
    <t>LOM-303</t>
  </si>
  <si>
    <t>DALINKO2</t>
  </si>
  <si>
    <t>LOM-243</t>
  </si>
  <si>
    <t>DALINKO-MOOV</t>
  </si>
  <si>
    <t>LOM-304</t>
  </si>
  <si>
    <t>DANGBESSITO</t>
  </si>
  <si>
    <t>LOM-028</t>
  </si>
  <si>
    <t>DEMAKPOE2</t>
  </si>
  <si>
    <t>LOM-029</t>
  </si>
  <si>
    <t>DEMAKPOE3</t>
  </si>
  <si>
    <t>LOM-213</t>
  </si>
  <si>
    <t>DEMAKPOE4</t>
  </si>
  <si>
    <t>LOM-214</t>
  </si>
  <si>
    <t>FIOVI</t>
  </si>
  <si>
    <t>LOM-030</t>
  </si>
  <si>
    <t>GOLFCLUB</t>
  </si>
  <si>
    <t>LOM-376</t>
  </si>
  <si>
    <t>KOGNITO</t>
  </si>
  <si>
    <t>LOM-342</t>
  </si>
  <si>
    <t>KOHE2</t>
  </si>
  <si>
    <t>LOM-047</t>
  </si>
  <si>
    <t>KOVE</t>
  </si>
  <si>
    <t>LOM-377</t>
  </si>
  <si>
    <t>KOVE-AHONDJI-MOOV</t>
  </si>
  <si>
    <t>LOM-310</t>
  </si>
  <si>
    <t>KOVE-HOUMBI</t>
  </si>
  <si>
    <t>LOM-384</t>
  </si>
  <si>
    <t>KPALA-MOOV</t>
  </si>
  <si>
    <t>LOM-215</t>
  </si>
  <si>
    <t>LEGBASSITO3</t>
  </si>
  <si>
    <t>LOM-025</t>
  </si>
  <si>
    <t>LEGBASSOKPE-MOOV</t>
  </si>
  <si>
    <t>LOM-048</t>
  </si>
  <si>
    <t>LOGOPE</t>
  </si>
  <si>
    <t>LOM-049</t>
  </si>
  <si>
    <t>LOGOPE2</t>
  </si>
  <si>
    <t>LOM-283</t>
  </si>
  <si>
    <t>MADJIKPETO</t>
  </si>
  <si>
    <t>LOM-216</t>
  </si>
  <si>
    <t>MINAMADOU2</t>
  </si>
  <si>
    <t>MAR-002</t>
  </si>
  <si>
    <t>MISSION-TOVE</t>
  </si>
  <si>
    <t>MAR-094</t>
  </si>
  <si>
    <t>MISSION-TOVE4</t>
  </si>
  <si>
    <t>LOM-313</t>
  </si>
  <si>
    <t>NANEGBE</t>
  </si>
  <si>
    <t>LOM-217</t>
  </si>
  <si>
    <t>SOGBOSSITO</t>
  </si>
  <si>
    <t>LOM-345</t>
  </si>
  <si>
    <t>UCAO-MOOV</t>
  </si>
  <si>
    <t>LOM-053</t>
  </si>
  <si>
    <t>ZANGUERA2</t>
  </si>
  <si>
    <t>LOM-280</t>
  </si>
  <si>
    <t>ZANGUERA3</t>
  </si>
  <si>
    <t>LOM-054</t>
  </si>
  <si>
    <t>ZANGUERA-MOOV</t>
  </si>
  <si>
    <t>LOM-055</t>
  </si>
  <si>
    <t>ZANGUERA-PEAGE</t>
  </si>
  <si>
    <t>LOM-284</t>
  </si>
  <si>
    <t>ZONGO3</t>
  </si>
  <si>
    <t>LOM-285</t>
  </si>
  <si>
    <t>ZOPOMAHE</t>
  </si>
  <si>
    <t>LOM-056</t>
  </si>
  <si>
    <t>ZOSSIME</t>
  </si>
  <si>
    <t>LOM-059</t>
  </si>
  <si>
    <t>KLEME</t>
  </si>
  <si>
    <t>LOM-064</t>
  </si>
  <si>
    <t>SAGBADO</t>
  </si>
  <si>
    <t>LOM-065</t>
  </si>
  <si>
    <t>SAGBADO2</t>
  </si>
  <si>
    <t>LOM-074</t>
  </si>
  <si>
    <t>TOTSI</t>
  </si>
  <si>
    <t>LOM-080</t>
  </si>
  <si>
    <t>TOTSI2</t>
  </si>
  <si>
    <t>LOM-061</t>
  </si>
  <si>
    <t>VAKPOSSITO</t>
  </si>
  <si>
    <t>LOM-062</t>
  </si>
  <si>
    <t>ZANGUERA1</t>
  </si>
  <si>
    <t>LOM-373</t>
  </si>
  <si>
    <t>APEDOKOE-GBOMAME</t>
  </si>
  <si>
    <t>LOM-394</t>
  </si>
  <si>
    <t>AWATAME2</t>
  </si>
  <si>
    <t>LOM-398</t>
  </si>
  <si>
    <t>LOGOTE</t>
  </si>
  <si>
    <t xml:space="preserve">LOM-399 </t>
  </si>
  <si>
    <t>SEGBEGAN-MOOV</t>
  </si>
  <si>
    <t>LOM-076</t>
  </si>
  <si>
    <t>ADIDOGOME</t>
  </si>
  <si>
    <t xml:space="preserve">LOME </t>
  </si>
  <si>
    <t>LOM-070</t>
  </si>
  <si>
    <t>ADIDOGOME2</t>
  </si>
  <si>
    <t>LOM-082</t>
  </si>
  <si>
    <t>ADIDOGOME3</t>
  </si>
  <si>
    <t>LOM-357</t>
  </si>
  <si>
    <t>ADIDOGOME4</t>
  </si>
  <si>
    <t>LOM-369</t>
  </si>
  <si>
    <t>ADIDOGOME-ASSIYEYE</t>
  </si>
  <si>
    <t>LOM-294</t>
  </si>
  <si>
    <t>AKATO</t>
  </si>
  <si>
    <t>LOM-057</t>
  </si>
  <si>
    <t>AMANDAHOME</t>
  </si>
  <si>
    <t>LOM-058</t>
  </si>
  <si>
    <t>AMANDAHOME2</t>
  </si>
  <si>
    <t>LOM-270</t>
  </si>
  <si>
    <t>AMANDAHOME3</t>
  </si>
  <si>
    <t>LOM-063</t>
  </si>
  <si>
    <t>APEDOKOE</t>
  </si>
  <si>
    <t>LOM-273</t>
  </si>
  <si>
    <t>APEDOKOE2</t>
  </si>
  <si>
    <t>LOM-072</t>
  </si>
  <si>
    <t>AVEDJI</t>
  </si>
  <si>
    <t>LOM-073</t>
  </si>
  <si>
    <t>AVEDJI2</t>
  </si>
  <si>
    <t>LOM-083</t>
  </si>
  <si>
    <t>AVEMARIA-MOOV</t>
  </si>
  <si>
    <t>LOM-084</t>
  </si>
  <si>
    <t>AVENOU</t>
  </si>
  <si>
    <t>LOM-077</t>
  </si>
  <si>
    <t>AWATAME</t>
  </si>
  <si>
    <t>LOM-039</t>
  </si>
  <si>
    <t>CARREFOUR-MARGOT</t>
  </si>
  <si>
    <t>LOM-085</t>
  </si>
  <si>
    <t>DIDJOLE</t>
  </si>
  <si>
    <t>LOM-111</t>
  </si>
  <si>
    <t>DIDJOLE2</t>
  </si>
  <si>
    <t>LOM-349</t>
  </si>
  <si>
    <t>DJIDJOLE7</t>
  </si>
  <si>
    <t>LOM-361</t>
  </si>
  <si>
    <t>DJIDJOLE8</t>
  </si>
  <si>
    <t>LOM-086</t>
  </si>
  <si>
    <t>GAKLI</t>
  </si>
  <si>
    <t>LOM-106</t>
  </si>
  <si>
    <t>GAKLI2</t>
  </si>
  <si>
    <t>LOM-078</t>
  </si>
  <si>
    <t>GBLINKOME</t>
  </si>
  <si>
    <t>LOM-309</t>
  </si>
  <si>
    <t>KLEME2</t>
  </si>
  <si>
    <t>LOM-305</t>
  </si>
  <si>
    <t>KLEME-AGOKPANOU</t>
  </si>
  <si>
    <t>LOM-308</t>
  </si>
  <si>
    <t>KLEME-YEWEPE</t>
  </si>
  <si>
    <t>LOM-060</t>
  </si>
  <si>
    <t>KOHE</t>
  </si>
  <si>
    <t>LOM-344</t>
  </si>
  <si>
    <t>KPODJI</t>
  </si>
  <si>
    <t>LOM-249</t>
  </si>
  <si>
    <t>LANKOUVI</t>
  </si>
  <si>
    <t>LOM-311</t>
  </si>
  <si>
    <t>LANKOUVI2</t>
  </si>
  <si>
    <t>LOM-079</t>
  </si>
  <si>
    <t>LAPAMPA</t>
  </si>
  <si>
    <t>LOM-222</t>
  </si>
  <si>
    <t>LOGOGOME</t>
  </si>
  <si>
    <t>LOM-355</t>
  </si>
  <si>
    <t>LOGOTE-MOOV</t>
  </si>
  <si>
    <t>LOM-066</t>
  </si>
  <si>
    <t>SAGBADO3-MOOV</t>
  </si>
  <si>
    <t>LOM-223</t>
  </si>
  <si>
    <t>SAGBADO5</t>
  </si>
  <si>
    <t>LOM-392</t>
  </si>
  <si>
    <t>SAGBADO-ZANVI</t>
  </si>
  <si>
    <t>LOM-067</t>
  </si>
  <si>
    <t>SEGBE</t>
  </si>
  <si>
    <t>LOM-236</t>
  </si>
  <si>
    <t>SEGBE2</t>
  </si>
  <si>
    <t>LOM-287</t>
  </si>
  <si>
    <t>SEGBE3</t>
  </si>
  <si>
    <t>LOM-351</t>
  </si>
  <si>
    <t>SEGBE5</t>
  </si>
  <si>
    <t>LOM-068</t>
  </si>
  <si>
    <t>SEGBE-MOOV</t>
  </si>
  <si>
    <t>LOM-241</t>
  </si>
  <si>
    <t>SEGBE-VIETE</t>
  </si>
  <si>
    <t>LOM-087</t>
  </si>
  <si>
    <t>SOVIEPE</t>
  </si>
  <si>
    <t>LOM-354</t>
  </si>
  <si>
    <t>TOTSIVI</t>
  </si>
  <si>
    <t>LOM-075</t>
  </si>
  <si>
    <t>WESSOME</t>
  </si>
  <si>
    <t>LOM-226</t>
  </si>
  <si>
    <t>WESSOME2</t>
  </si>
  <si>
    <t>LOM-229</t>
  </si>
  <si>
    <t>WONYOME</t>
  </si>
  <si>
    <t>LOM-221</t>
  </si>
  <si>
    <t>WONYOME2</t>
  </si>
  <si>
    <t>LOM-288</t>
  </si>
  <si>
    <t>WOUGOMEDEKPO</t>
  </si>
  <si>
    <t>LOM-069</t>
  </si>
  <si>
    <t>WOUGOMEDEKPO-MOOV</t>
  </si>
  <si>
    <t>LOM-081</t>
  </si>
  <si>
    <t>YOKOE</t>
  </si>
  <si>
    <t>LOM-230</t>
  </si>
  <si>
    <t>YOKOE2</t>
  </si>
  <si>
    <t>LOM-315</t>
  </si>
  <si>
    <t>YOKOE-KOPEGAN</t>
  </si>
  <si>
    <t>LOM-121</t>
  </si>
  <si>
    <t>GBADAGO</t>
  </si>
  <si>
    <t>LOM-359</t>
  </si>
  <si>
    <t>AMOUTIEVE</t>
  </si>
  <si>
    <t>LOM-363</t>
  </si>
  <si>
    <t>GBADAGO2</t>
  </si>
  <si>
    <t>LOM-350</t>
  </si>
  <si>
    <t>GBENYEDJI3</t>
  </si>
  <si>
    <t>LOM-169</t>
  </si>
  <si>
    <t>ABLOGAME</t>
  </si>
  <si>
    <t>LOM-161</t>
  </si>
  <si>
    <t>ABOBOKOME</t>
  </si>
  <si>
    <t>LOM-145</t>
  </si>
  <si>
    <t>ADAWLATO</t>
  </si>
  <si>
    <t>LOM-146</t>
  </si>
  <si>
    <t>ADAWLATO2</t>
  </si>
  <si>
    <t>LOM-147</t>
  </si>
  <si>
    <t>ADAWLATO3</t>
  </si>
  <si>
    <t>LOM-148</t>
  </si>
  <si>
    <t>AGBADAHONOU</t>
  </si>
  <si>
    <t>LOM-162</t>
  </si>
  <si>
    <t>AGUIAKOME</t>
  </si>
  <si>
    <t>LOM-171</t>
  </si>
  <si>
    <t>AHLIGO</t>
  </si>
  <si>
    <t>LOM-358</t>
  </si>
  <si>
    <t>AHLIGO2</t>
  </si>
  <si>
    <t>LOM-333</t>
  </si>
  <si>
    <t>BASSADJI2</t>
  </si>
  <si>
    <t>LOM-163</t>
  </si>
  <si>
    <t>BASSADJI-MOOV</t>
  </si>
  <si>
    <t>LOM-299</t>
  </si>
  <si>
    <t>BE-APEYEME</t>
  </si>
  <si>
    <t>LOM-164</t>
  </si>
  <si>
    <t>BEBIS</t>
  </si>
  <si>
    <t>LOM-165</t>
  </si>
  <si>
    <t>BECHATEAU</t>
  </si>
  <si>
    <t>LOM-225</t>
  </si>
  <si>
    <t>BECHATEAU2</t>
  </si>
  <si>
    <t>LOM-149</t>
  </si>
  <si>
    <t>BENIGLATO</t>
  </si>
  <si>
    <t>LOM-150</t>
  </si>
  <si>
    <t>BIA</t>
  </si>
  <si>
    <t>LOM-301</t>
  </si>
  <si>
    <t>BOCA</t>
  </si>
  <si>
    <t>LOM-381</t>
  </si>
  <si>
    <t>BTCI</t>
  </si>
  <si>
    <t>LOM-360</t>
  </si>
  <si>
    <t>LOM-151</t>
  </si>
  <si>
    <t>DECON</t>
  </si>
  <si>
    <t>LOM-120</t>
  </si>
  <si>
    <t>DOGBEAVOU</t>
  </si>
  <si>
    <t>LOM-131</t>
  </si>
  <si>
    <t>DOULASSAME</t>
  </si>
  <si>
    <t>LOM-173</t>
  </si>
  <si>
    <t>GBENYEDI</t>
  </si>
  <si>
    <t>LOM-174</t>
  </si>
  <si>
    <t>GBENYEDI2</t>
  </si>
  <si>
    <t>LOM-175</t>
  </si>
  <si>
    <t>GBENYEDI-MOOV</t>
  </si>
  <si>
    <t>LOM-122</t>
  </si>
  <si>
    <t>GBONVIE</t>
  </si>
  <si>
    <t>LOM-137</t>
  </si>
  <si>
    <t>HANOUKOPE</t>
  </si>
  <si>
    <t>LOM-152</t>
  </si>
  <si>
    <t>HOLLANDO</t>
  </si>
  <si>
    <t>LOM-153</t>
  </si>
  <si>
    <t>HOTEL-DUGOLFE</t>
  </si>
  <si>
    <t>LOM-154</t>
  </si>
  <si>
    <t>HOTEL-FEVRIER-IBS</t>
  </si>
  <si>
    <t>LOM-138</t>
  </si>
  <si>
    <t>KODJOVIAKOPE</t>
  </si>
  <si>
    <t>LOM-124</t>
  </si>
  <si>
    <t>KODOME</t>
  </si>
  <si>
    <t>LOM-125</t>
  </si>
  <si>
    <t>KODOME2</t>
  </si>
  <si>
    <t>LOM-244</t>
  </si>
  <si>
    <t>LAPAIX</t>
  </si>
  <si>
    <t>LOM-166</t>
  </si>
  <si>
    <t>LAROCHE</t>
  </si>
  <si>
    <t>LOM-382</t>
  </si>
  <si>
    <t>LETOGO</t>
  </si>
  <si>
    <t>LOM-155</t>
  </si>
  <si>
    <t>LOME-CENTRE</t>
  </si>
  <si>
    <t>LOM-139</t>
  </si>
  <si>
    <t>LONATO</t>
  </si>
  <si>
    <t>LOM-320</t>
  </si>
  <si>
    <t>LONATO-IBS-SC</t>
  </si>
  <si>
    <t>LOM-156</t>
  </si>
  <si>
    <t>MATERIEL</t>
  </si>
  <si>
    <t>LOM-157</t>
  </si>
  <si>
    <t>MINISTERE</t>
  </si>
  <si>
    <t>LOM-167</t>
  </si>
  <si>
    <t>NETIME-MOOV</t>
  </si>
  <si>
    <t>LOM-140</t>
  </si>
  <si>
    <t>NYEKONAKPOE1</t>
  </si>
  <si>
    <t>LOM-141</t>
  </si>
  <si>
    <t>NYEKONAKPOE2</t>
  </si>
  <si>
    <t>LOM-142</t>
  </si>
  <si>
    <t>OLD-PRESIDENCE</t>
  </si>
  <si>
    <t>LOM-158</t>
  </si>
  <si>
    <t>PALAIS-CONGRES</t>
  </si>
  <si>
    <t>LOM-126</t>
  </si>
  <si>
    <t>SEMINAIRE</t>
  </si>
  <si>
    <t>LOM-159</t>
  </si>
  <si>
    <t>SNI</t>
  </si>
  <si>
    <t>LOM-127</t>
  </si>
  <si>
    <t>SOLIDARITE</t>
  </si>
  <si>
    <t>LOM-135</t>
  </si>
  <si>
    <t>SOTED</t>
  </si>
  <si>
    <t>LOM-168</t>
  </si>
  <si>
    <t>SOUZANETIME</t>
  </si>
  <si>
    <t>LOM-136</t>
  </si>
  <si>
    <t>STREBLER</t>
  </si>
  <si>
    <t>LOM-143</t>
  </si>
  <si>
    <t>TOGOTELECOM</t>
  </si>
  <si>
    <t>LOM-160</t>
  </si>
  <si>
    <t>TVT</t>
  </si>
  <si>
    <t>LOM-144</t>
  </si>
  <si>
    <t>UTB</t>
  </si>
  <si>
    <t>LOM-378</t>
  </si>
  <si>
    <t>YOVOKOME</t>
  </si>
  <si>
    <t>SAV-082</t>
  </si>
  <si>
    <t>TONTONDI</t>
  </si>
  <si>
    <t>MANGO</t>
  </si>
  <si>
    <t>SAV-066</t>
  </si>
  <si>
    <t>DJANGALE</t>
  </si>
  <si>
    <t>SAV-048</t>
  </si>
  <si>
    <t>TCHAMONGA</t>
  </si>
  <si>
    <t>SAV-033</t>
  </si>
  <si>
    <t>BARKOSSI</t>
  </si>
  <si>
    <t>KAR-052</t>
  </si>
  <si>
    <t>KATCHAMBA</t>
  </si>
  <si>
    <t>SAV-046</t>
  </si>
  <si>
    <t>MANGO-DOUANE</t>
  </si>
  <si>
    <t>SAV-104</t>
  </si>
  <si>
    <t>MANGO-PRO</t>
  </si>
  <si>
    <t>SAV-053</t>
  </si>
  <si>
    <t>SABIEBOU</t>
  </si>
  <si>
    <t>SAV-051</t>
  </si>
  <si>
    <t>KOUMONGOU</t>
  </si>
  <si>
    <t>SAV-084</t>
  </si>
  <si>
    <t>KOUNTOUARE</t>
  </si>
  <si>
    <t>SAV-057</t>
  </si>
  <si>
    <t>NALI</t>
  </si>
  <si>
    <t>SAV-058</t>
  </si>
  <si>
    <t>TAKPAMBA</t>
  </si>
  <si>
    <t>SAV-055</t>
  </si>
  <si>
    <t>TCHANWIEKOU</t>
  </si>
  <si>
    <t>SAV-122</t>
  </si>
  <si>
    <t>BIAGA</t>
  </si>
  <si>
    <t>SAV-073</t>
  </si>
  <si>
    <t>AKPOSSOU</t>
  </si>
  <si>
    <t>SAV-034</t>
  </si>
  <si>
    <t>BOULOUGOU</t>
  </si>
  <si>
    <t>KAR-162</t>
  </si>
  <si>
    <t>DJABOKOU</t>
  </si>
  <si>
    <t>SAV-116</t>
  </si>
  <si>
    <t>FARE-MOOV</t>
  </si>
  <si>
    <t>SAV-044</t>
  </si>
  <si>
    <t>GALANGACHI</t>
  </si>
  <si>
    <t>SAV-050</t>
  </si>
  <si>
    <t>GANDO</t>
  </si>
  <si>
    <t>KAR-129</t>
  </si>
  <si>
    <t>KADOGOU</t>
  </si>
  <si>
    <t>SAV-102</t>
  </si>
  <si>
    <t>KANGOUNOU</t>
  </si>
  <si>
    <t>SAV-103</t>
  </si>
  <si>
    <t>KANKANGOU</t>
  </si>
  <si>
    <t>SAV-035</t>
  </si>
  <si>
    <t>KOUDOUGOU</t>
  </si>
  <si>
    <t>KAR-056</t>
  </si>
  <si>
    <t>KOULFIEKOU</t>
  </si>
  <si>
    <t>SAV-052</t>
  </si>
  <si>
    <t>KOUMONGOUKAN</t>
  </si>
  <si>
    <t>SAV-045</t>
  </si>
  <si>
    <t>SAV-089</t>
  </si>
  <si>
    <t>MANGO-MOOV</t>
  </si>
  <si>
    <t>SAV-047</t>
  </si>
  <si>
    <t>MOGOU</t>
  </si>
  <si>
    <t>SAV-065</t>
  </si>
  <si>
    <t>NADOTI</t>
  </si>
  <si>
    <t>SAV-086</t>
  </si>
  <si>
    <t>NAGOUNI</t>
  </si>
  <si>
    <t>SAV-118</t>
  </si>
  <si>
    <t>NAKORKOU</t>
  </si>
  <si>
    <t>SAV-037</t>
  </si>
  <si>
    <t>NANGBENI</t>
  </si>
  <si>
    <t>SAV-105</t>
  </si>
  <si>
    <t>NAOUTIERI</t>
  </si>
  <si>
    <t>SAV-106</t>
  </si>
  <si>
    <t>NATCHO</t>
  </si>
  <si>
    <t>KAR-154</t>
  </si>
  <si>
    <t>NAWAKOU</t>
  </si>
  <si>
    <t>SAV-074</t>
  </si>
  <si>
    <t>PAYOKA</t>
  </si>
  <si>
    <t>SAV-054</t>
  </si>
  <si>
    <t>SADORI</t>
  </si>
  <si>
    <t>SAV-108</t>
  </si>
  <si>
    <t>TABABOU</t>
  </si>
  <si>
    <t>SAV-068</t>
  </si>
  <si>
    <t>TAMONGUE</t>
  </si>
  <si>
    <t>SAV-049</t>
  </si>
  <si>
    <t>TCHANAGA</t>
  </si>
  <si>
    <t>SAV-096</t>
  </si>
  <si>
    <t>WOGOU</t>
  </si>
  <si>
    <t>PLA-028</t>
  </si>
  <si>
    <t>DJEKLOE</t>
  </si>
  <si>
    <t>NOTSE</t>
  </si>
  <si>
    <t>MAR-063</t>
  </si>
  <si>
    <t>GAME</t>
  </si>
  <si>
    <t>PLA-050</t>
  </si>
  <si>
    <t>KPELE</t>
  </si>
  <si>
    <t>PLA-183</t>
  </si>
  <si>
    <t>KPETA</t>
  </si>
  <si>
    <t>PLA-164</t>
  </si>
  <si>
    <t>TCHEKOUNI-KOPE</t>
  </si>
  <si>
    <t>PLA-054</t>
  </si>
  <si>
    <t>AGBATITOE</t>
  </si>
  <si>
    <t>PLA-109</t>
  </si>
  <si>
    <t>ASRAMA</t>
  </si>
  <si>
    <t>PLA-190</t>
  </si>
  <si>
    <t>ATTIOGBE-KOPE-TSAGBA</t>
  </si>
  <si>
    <t>PLA-131</t>
  </si>
  <si>
    <t>KPEGNON</t>
  </si>
  <si>
    <t>PLA-052</t>
  </si>
  <si>
    <t>NOTSE-BERCEAU</t>
  </si>
  <si>
    <t>PLA-114</t>
  </si>
  <si>
    <t>TOHOU</t>
  </si>
  <si>
    <t>PLA-128</t>
  </si>
  <si>
    <t>ADANKA</t>
  </si>
  <si>
    <t>PLA-189</t>
  </si>
  <si>
    <t>ADANYIHOHOE</t>
  </si>
  <si>
    <t>PLA-055</t>
  </si>
  <si>
    <t>AGBODJEKOPE</t>
  </si>
  <si>
    <t>PLA-134</t>
  </si>
  <si>
    <t>AHASSOME</t>
  </si>
  <si>
    <t>PLA-060</t>
  </si>
  <si>
    <t>AYAKOPE</t>
  </si>
  <si>
    <t>PLA-201</t>
  </si>
  <si>
    <t>AZAKPE</t>
  </si>
  <si>
    <t>PLA-056</t>
  </si>
  <si>
    <t>DEVE</t>
  </si>
  <si>
    <t>PLA-203</t>
  </si>
  <si>
    <t>DJEMEGNI</t>
  </si>
  <si>
    <t>PLA-172</t>
  </si>
  <si>
    <t>EHOUI</t>
  </si>
  <si>
    <t>PLA-226</t>
  </si>
  <si>
    <t>EKPEGNON-VAKPO</t>
  </si>
  <si>
    <t>PLA-110</t>
  </si>
  <si>
    <t>GBOWLE-MOOV</t>
  </si>
  <si>
    <t>PLA-057</t>
  </si>
  <si>
    <t>HAHOMEGBE</t>
  </si>
  <si>
    <t>PLA-130</t>
  </si>
  <si>
    <t>HAITO-MOOV</t>
  </si>
  <si>
    <t>PLA-135</t>
  </si>
  <si>
    <t>HUILEHUI</t>
  </si>
  <si>
    <t>PLA-136</t>
  </si>
  <si>
    <t>KPEKPLEME</t>
  </si>
  <si>
    <t>PLA-155</t>
  </si>
  <si>
    <t>KPETCHIHOE</t>
  </si>
  <si>
    <t>PLA-196</t>
  </si>
  <si>
    <t>KPOME2</t>
  </si>
  <si>
    <t>PLA-058</t>
  </si>
  <si>
    <t>KPOVE</t>
  </si>
  <si>
    <t>PLA-051</t>
  </si>
  <si>
    <t>PLA-240</t>
  </si>
  <si>
    <t>NOTSE-ADIME</t>
  </si>
  <si>
    <t>PLA-232</t>
  </si>
  <si>
    <t>NOTSE-CEG</t>
  </si>
  <si>
    <t>PLA-053</t>
  </si>
  <si>
    <t>NOTSE-GAPEDJI</t>
  </si>
  <si>
    <t>PLA-029</t>
  </si>
  <si>
    <t>NOTSE-KPEDOME</t>
  </si>
  <si>
    <t>PLA-175</t>
  </si>
  <si>
    <t>NOTSE-MOOV</t>
  </si>
  <si>
    <t>PLA-147</t>
  </si>
  <si>
    <t>NOTSE-NAOLO</t>
  </si>
  <si>
    <t>PLA-111</t>
  </si>
  <si>
    <t>SALIGBE</t>
  </si>
  <si>
    <t>PLA-027</t>
  </si>
  <si>
    <t>SIYIME</t>
  </si>
  <si>
    <t>PLA-180</t>
  </si>
  <si>
    <t>SOGBOHOE</t>
  </si>
  <si>
    <t>PLA-112</t>
  </si>
  <si>
    <t>TADO</t>
  </si>
  <si>
    <t>PLA-059</t>
  </si>
  <si>
    <t>TCHINIGAN</t>
  </si>
  <si>
    <t>PLA-113</t>
  </si>
  <si>
    <t>TETETOU</t>
  </si>
  <si>
    <t>PLA-185</t>
  </si>
  <si>
    <t>TINKOU</t>
  </si>
  <si>
    <t>PLA-142</t>
  </si>
  <si>
    <t>TOHOUN-DOUANE</t>
  </si>
  <si>
    <t>PLA-132</t>
  </si>
  <si>
    <t>WAHALA</t>
  </si>
  <si>
    <t>PLA-133</t>
  </si>
  <si>
    <t>WAHALA-LAHE</t>
  </si>
  <si>
    <t>CEN-038</t>
  </si>
  <si>
    <t>KANIAMBOUA</t>
  </si>
  <si>
    <t>SOKODE</t>
  </si>
  <si>
    <t>CEN-039</t>
  </si>
  <si>
    <t>KASSIKADE</t>
  </si>
  <si>
    <t>KAR-094</t>
  </si>
  <si>
    <t>KEMENI</t>
  </si>
  <si>
    <t>CEN-004</t>
  </si>
  <si>
    <t>KOUMONIADE</t>
  </si>
  <si>
    <t>CEN-041</t>
  </si>
  <si>
    <t>LAMATESSI</t>
  </si>
  <si>
    <t>CEN-032</t>
  </si>
  <si>
    <t>SOTOUBOUA-UNIVERSITE</t>
  </si>
  <si>
    <t>CEN-047</t>
  </si>
  <si>
    <t>AMAOUDE</t>
  </si>
  <si>
    <t>CEN-096</t>
  </si>
  <si>
    <t>AOUMATCHATOM</t>
  </si>
  <si>
    <t>CEN-089</t>
  </si>
  <si>
    <t>LEDIYO</t>
  </si>
  <si>
    <t>CEN-006</t>
  </si>
  <si>
    <t>SAGBADAI</t>
  </si>
  <si>
    <t>CEN-034</t>
  </si>
  <si>
    <t>TCHOIDE</t>
  </si>
  <si>
    <t>CEN-044</t>
  </si>
  <si>
    <t>TITIGBE</t>
  </si>
  <si>
    <t>CEN-136</t>
  </si>
  <si>
    <t>SOKODE-AVIATION</t>
  </si>
  <si>
    <t>CEN-134</t>
  </si>
  <si>
    <t>SOKODE-KIDEOUDE</t>
  </si>
  <si>
    <t>CEN-139</t>
  </si>
  <si>
    <t>SOKODE KADAMBARA2</t>
  </si>
  <si>
    <t>CEN-036</t>
  </si>
  <si>
    <t>ADJENGRE</t>
  </si>
  <si>
    <t>CEN-121</t>
  </si>
  <si>
    <t>ADJENGRE-MARCHE</t>
  </si>
  <si>
    <t>KAR-093</t>
  </si>
  <si>
    <t>AGBANDAOUDE</t>
  </si>
  <si>
    <t>CEN-049</t>
  </si>
  <si>
    <t>AGOULOUDE</t>
  </si>
  <si>
    <t>CEN-001</t>
  </si>
  <si>
    <t>AKAMADE</t>
  </si>
  <si>
    <t>CEN-103</t>
  </si>
  <si>
    <t>AKAMADE2</t>
  </si>
  <si>
    <t>CEN-046</t>
  </si>
  <si>
    <t>ALEHERIDE</t>
  </si>
  <si>
    <t>CEN-037</t>
  </si>
  <si>
    <t>AOUDA</t>
  </si>
  <si>
    <t>CEN-091</t>
  </si>
  <si>
    <t>AOU-MONO</t>
  </si>
  <si>
    <t>CEN-008</t>
  </si>
  <si>
    <t>BARIKI</t>
  </si>
  <si>
    <t>CEN-002</t>
  </si>
  <si>
    <t>BARRIERE</t>
  </si>
  <si>
    <t>CEN-088</t>
  </si>
  <si>
    <t>BONANGANA</t>
  </si>
  <si>
    <t>KAR-077</t>
  </si>
  <si>
    <t>BOUGABOU</t>
  </si>
  <si>
    <t>CEN-018</t>
  </si>
  <si>
    <t>BOWOUNDA</t>
  </si>
  <si>
    <t>CEN-009</t>
  </si>
  <si>
    <t>CAFEBAZAR</t>
  </si>
  <si>
    <t>CEN-027</t>
  </si>
  <si>
    <t>FAZAO</t>
  </si>
  <si>
    <t>CEN-080</t>
  </si>
  <si>
    <t>HALOUKPABOUNDOU</t>
  </si>
  <si>
    <t>CEN-118</t>
  </si>
  <si>
    <t>KADAMBARA</t>
  </si>
  <si>
    <t>CEN-003</t>
  </si>
  <si>
    <t>KEDIA</t>
  </si>
  <si>
    <t>CEN-010</t>
  </si>
  <si>
    <t>KOMAH</t>
  </si>
  <si>
    <t>CEN-104</t>
  </si>
  <si>
    <t>KOMAH2</t>
  </si>
  <si>
    <t>CEN-011</t>
  </si>
  <si>
    <t>KOULOUNDE</t>
  </si>
  <si>
    <t>CEN-005</t>
  </si>
  <si>
    <t>KPANGALAM</t>
  </si>
  <si>
    <t>CEN-019</t>
  </si>
  <si>
    <t>KPARATAO</t>
  </si>
  <si>
    <t>CEN-048</t>
  </si>
  <si>
    <t>KPAZA</t>
  </si>
  <si>
    <t>CEN-012</t>
  </si>
  <si>
    <t>LAPOSTE</t>
  </si>
  <si>
    <t>KAR-082</t>
  </si>
  <si>
    <t>MALFAKASSA</t>
  </si>
  <si>
    <t>CEN-042</t>
  </si>
  <si>
    <t>MELAMBOUA</t>
  </si>
  <si>
    <t>CEN-013</t>
  </si>
  <si>
    <t>MOSQUEE</t>
  </si>
  <si>
    <t>CEN-043</t>
  </si>
  <si>
    <t>SADA</t>
  </si>
  <si>
    <t>CEN-116</t>
  </si>
  <si>
    <t>SAKALAOUDE</t>
  </si>
  <si>
    <t>CEN-014</t>
  </si>
  <si>
    <t>SALIMDE</t>
  </si>
  <si>
    <t>CEN-117</t>
  </si>
  <si>
    <t>SESSARO</t>
  </si>
  <si>
    <t>CEN-122</t>
  </si>
  <si>
    <t>SOKODE-ADJOROGO</t>
  </si>
  <si>
    <t>CEN-099</t>
  </si>
  <si>
    <t>SOKODE-CENTRE</t>
  </si>
  <si>
    <t>CEN-123</t>
  </si>
  <si>
    <t>SOKODE-KASSENA</t>
  </si>
  <si>
    <t>CEN-119</t>
  </si>
  <si>
    <t>SOKODE-KEDIA</t>
  </si>
  <si>
    <t>CEN-124</t>
  </si>
  <si>
    <t>SOKODE-KOMAH-CIMTOGO</t>
  </si>
  <si>
    <t>CEN-125</t>
  </si>
  <si>
    <t>SOKODE-KOULOUNDE-CEG</t>
  </si>
  <si>
    <t>CEN-083</t>
  </si>
  <si>
    <t>SOKODE-KPANGALAM</t>
  </si>
  <si>
    <t>CEN-126</t>
  </si>
  <si>
    <t>SOKODE-TCHAWANDA</t>
  </si>
  <si>
    <t>CEN-100</t>
  </si>
  <si>
    <t>SOLAO</t>
  </si>
  <si>
    <t>CEN-030</t>
  </si>
  <si>
    <t>SOTOUBOUA</t>
  </si>
  <si>
    <t>CEN-TGT 005</t>
  </si>
  <si>
    <t>SOTOUBOUA-COM</t>
  </si>
  <si>
    <t>CEN-094</t>
  </si>
  <si>
    <t>SOTOUBOUA-MARCHE</t>
  </si>
  <si>
    <t>CEN-031</t>
  </si>
  <si>
    <t>SOTOUBOUA-PEAGE</t>
  </si>
  <si>
    <t>CEN-090</t>
  </si>
  <si>
    <t>SOTOUBOUA-SONDE</t>
  </si>
  <si>
    <t>CEN-015</t>
  </si>
  <si>
    <t>TCHALO</t>
  </si>
  <si>
    <t>CEN-107</t>
  </si>
  <si>
    <t>TCHATAKPA-DAKO</t>
  </si>
  <si>
    <t>CEN-007</t>
  </si>
  <si>
    <t>TCHAWANDA</t>
  </si>
  <si>
    <t>KAR-113</t>
  </si>
  <si>
    <t>TCHIMBERI</t>
  </si>
  <si>
    <t>CEN-056</t>
  </si>
  <si>
    <t>AGBANSIKITI</t>
  </si>
  <si>
    <t>TCHAMBA</t>
  </si>
  <si>
    <t>CEN-057</t>
  </si>
  <si>
    <t>BAGO</t>
  </si>
  <si>
    <t>CEN-060</t>
  </si>
  <si>
    <t>NAMBA-MOOV</t>
  </si>
  <si>
    <t>CEN-085</t>
  </si>
  <si>
    <t>SAMAI2</t>
  </si>
  <si>
    <t>CEN-055</t>
  </si>
  <si>
    <t>AFATCHALAKOPE</t>
  </si>
  <si>
    <t>CEN-059</t>
  </si>
  <si>
    <t>HEZOUDE</t>
  </si>
  <si>
    <t>CEN-051</t>
  </si>
  <si>
    <t>KOULOUMI</t>
  </si>
  <si>
    <t>CEN-052</t>
  </si>
  <si>
    <t>KOUSSOUMTOU</t>
  </si>
  <si>
    <t>CEN-054</t>
  </si>
  <si>
    <t>NTCHOUROU</t>
  </si>
  <si>
    <t>CEN-138</t>
  </si>
  <si>
    <t>TCHAMBA-LARINI</t>
  </si>
  <si>
    <t>CEN-140</t>
  </si>
  <si>
    <t>TCHAMBA USINE</t>
  </si>
  <si>
    <t>CEN-045</t>
  </si>
  <si>
    <t>AFEMKABYE</t>
  </si>
  <si>
    <t>CEN-111</t>
  </si>
  <si>
    <t>AKAWLOU-MOOV</t>
  </si>
  <si>
    <t>CEN-016</t>
  </si>
  <si>
    <t>ALIBI1</t>
  </si>
  <si>
    <t>CEN-017</t>
  </si>
  <si>
    <t>ALIBI2</t>
  </si>
  <si>
    <t>CEN-050</t>
  </si>
  <si>
    <t>BALANKA</t>
  </si>
  <si>
    <t>CEN-086</t>
  </si>
  <si>
    <t>DANTCHO</t>
  </si>
  <si>
    <t>CEN-058</t>
  </si>
  <si>
    <t>GOUBI</t>
  </si>
  <si>
    <t>CEN-067</t>
  </si>
  <si>
    <t>KAMBOLI</t>
  </si>
  <si>
    <t>CEN-092</t>
  </si>
  <si>
    <t>KITANGOULI</t>
  </si>
  <si>
    <t>CEN-020</t>
  </si>
  <si>
    <t>KPASSOUADE</t>
  </si>
  <si>
    <t>CEN-053</t>
  </si>
  <si>
    <t>KRIKRI</t>
  </si>
  <si>
    <t>CEN-021</t>
  </si>
  <si>
    <t>LAREME</t>
  </si>
  <si>
    <t>CEN-022</t>
  </si>
  <si>
    <t>MEDINA</t>
  </si>
  <si>
    <t>CEN-101</t>
  </si>
  <si>
    <t>SOUROUTAWI-I</t>
  </si>
  <si>
    <t>CEN-106</t>
  </si>
  <si>
    <t>TCHAMBA-AKPOWA</t>
  </si>
  <si>
    <t>CEN-127</t>
  </si>
  <si>
    <t>TCHAMBA-DJERIWA</t>
  </si>
  <si>
    <t>CEN-079</t>
  </si>
  <si>
    <t>TCHAMBA-STADE</t>
  </si>
  <si>
    <t>CEN-081</t>
  </si>
  <si>
    <t>WASSARABO</t>
  </si>
  <si>
    <t>MAR-060</t>
  </si>
  <si>
    <t>AGBELOUVE</t>
  </si>
  <si>
    <t>TSEVIE</t>
  </si>
  <si>
    <t>MAR-039</t>
  </si>
  <si>
    <t>AHEPE</t>
  </si>
  <si>
    <t>MAR-003</t>
  </si>
  <si>
    <t>ASSOME</t>
  </si>
  <si>
    <t>MAR-053</t>
  </si>
  <si>
    <t>BADJA</t>
  </si>
  <si>
    <t>MAR-064</t>
  </si>
  <si>
    <t>GAPE</t>
  </si>
  <si>
    <t>MAR-040</t>
  </si>
  <si>
    <t>KOUVE</t>
  </si>
  <si>
    <t>MAR-076</t>
  </si>
  <si>
    <t>TCHEKPO-DEVE</t>
  </si>
  <si>
    <t>MAR-001</t>
  </si>
  <si>
    <t>YOTO-KOPE</t>
  </si>
  <si>
    <t>MAR-074</t>
  </si>
  <si>
    <t>HAVE</t>
  </si>
  <si>
    <t>MAR-082</t>
  </si>
  <si>
    <t>ZAFI</t>
  </si>
  <si>
    <t>MAR-171</t>
  </si>
  <si>
    <t>ESSE-ZOGBEDJI</t>
  </si>
  <si>
    <t>MAR-172</t>
  </si>
  <si>
    <t>TSEVIE-DEMAKPOE</t>
  </si>
  <si>
    <t>MAR-168</t>
  </si>
  <si>
    <t>TSEVIE-GBLAINVIE</t>
  </si>
  <si>
    <t>MAR-144</t>
  </si>
  <si>
    <t>ADZOVE MOOV</t>
  </si>
  <si>
    <t>MAR-061</t>
  </si>
  <si>
    <t>AGBELOUVE-MOOV</t>
  </si>
  <si>
    <t>LOM-327</t>
  </si>
  <si>
    <t>AGOME-MOOV</t>
  </si>
  <si>
    <t>MAR-051</t>
  </si>
  <si>
    <t>ALOKOEGBE</t>
  </si>
  <si>
    <t>MAR-052</t>
  </si>
  <si>
    <t>ASSAHOUN</t>
  </si>
  <si>
    <t>MAR-062</t>
  </si>
  <si>
    <t>AVEDJE</t>
  </si>
  <si>
    <t>MAR-054</t>
  </si>
  <si>
    <t>BATOUME</t>
  </si>
  <si>
    <t>MAR-145</t>
  </si>
  <si>
    <t>BOLOUGAN-MOOV</t>
  </si>
  <si>
    <t>MAR-004</t>
  </si>
  <si>
    <t>DALAVE</t>
  </si>
  <si>
    <t>MAR-141</t>
  </si>
  <si>
    <t>DALAVE-ROUTE</t>
  </si>
  <si>
    <t>MAR-005</t>
  </si>
  <si>
    <t>DAVIE</t>
  </si>
  <si>
    <t>MAR-006</t>
  </si>
  <si>
    <t>DAVIE-MOOV</t>
  </si>
  <si>
    <t>MAR-166</t>
  </si>
  <si>
    <t>DAVIE-VILLAGE</t>
  </si>
  <si>
    <t>MAR-077</t>
  </si>
  <si>
    <t>DZOGBEKPEME-MOOV</t>
  </si>
  <si>
    <t>MAR-055</t>
  </si>
  <si>
    <t>DZOLO</t>
  </si>
  <si>
    <t>MAR-157</t>
  </si>
  <si>
    <t>FOGBE-MOOV</t>
  </si>
  <si>
    <t>MAR-095</t>
  </si>
  <si>
    <t>GAME-LILI</t>
  </si>
  <si>
    <t>MAR-065</t>
  </si>
  <si>
    <t>GAPE-ALOYI</t>
  </si>
  <si>
    <t>MAR-083</t>
  </si>
  <si>
    <t>GAPE-ATCHANVE</t>
  </si>
  <si>
    <t>MAR-056</t>
  </si>
  <si>
    <t>GAPEKPEDI</t>
  </si>
  <si>
    <t>MAR-080</t>
  </si>
  <si>
    <t>GATI-AGODOU</t>
  </si>
  <si>
    <t>MAR-007</t>
  </si>
  <si>
    <t>GBATOPE</t>
  </si>
  <si>
    <t>MAR-057</t>
  </si>
  <si>
    <t>KEVE</t>
  </si>
  <si>
    <t>MAR-156</t>
  </si>
  <si>
    <t>KODJE-MOOV</t>
  </si>
  <si>
    <t>MAR-066</t>
  </si>
  <si>
    <t>KPEVEGO</t>
  </si>
  <si>
    <t>MAR-067</t>
  </si>
  <si>
    <t>LILIKOPE</t>
  </si>
  <si>
    <t>MAR-043</t>
  </si>
  <si>
    <t>TSEKPO</t>
  </si>
  <si>
    <t>MAR-008</t>
  </si>
  <si>
    <t>MAR-149</t>
  </si>
  <si>
    <t>TSEVIE3</t>
  </si>
  <si>
    <t>MAR-009</t>
  </si>
  <si>
    <t>TSEVIE5-MOOV</t>
  </si>
  <si>
    <t>MAR-050</t>
  </si>
  <si>
    <t>TSEVIE-AGENCE</t>
  </si>
  <si>
    <t>MAR-140</t>
  </si>
  <si>
    <t>TSEVIE-BOLOUMODJI</t>
  </si>
  <si>
    <t>MAR-160</t>
  </si>
  <si>
    <t>TSEVIE-CEB</t>
  </si>
  <si>
    <t>MAR-161</t>
  </si>
  <si>
    <t>TSEVIE-DAVIE-MONDJI</t>
  </si>
  <si>
    <t>MAR-010</t>
  </si>
  <si>
    <t>TSEVIE-KPALI</t>
  </si>
  <si>
    <t>MAR-073</t>
  </si>
  <si>
    <t>TSEVIE-TEKANYI</t>
  </si>
  <si>
    <t>MAR-088</t>
  </si>
  <si>
    <t>TSEVIE-WUGBA</t>
  </si>
  <si>
    <t>MAR-165</t>
  </si>
  <si>
    <t>WLI</t>
  </si>
  <si>
    <t>MAR-142</t>
  </si>
  <si>
    <t>YOBO</t>
  </si>
  <si>
    <t>MAR-155</t>
  </si>
  <si>
    <t>YOMETCHIN</t>
  </si>
  <si>
    <t>MAR-084</t>
  </si>
  <si>
    <t>ZEGLE</t>
  </si>
  <si>
    <t>DATE MES</t>
  </si>
  <si>
    <t>BASE</t>
  </si>
  <si>
    <t>Longitude</t>
  </si>
  <si>
    <t>Latitude</t>
  </si>
  <si>
    <t>CONFIG</t>
  </si>
  <si>
    <t>Techno</t>
  </si>
  <si>
    <t>TYP TRANS</t>
  </si>
  <si>
    <t>TYP ENERGIE</t>
  </si>
  <si>
    <t>GE AUTO</t>
  </si>
  <si>
    <t>SITE LITHIUM</t>
  </si>
  <si>
    <t>SITE ESM</t>
  </si>
  <si>
    <t>CONFIG 2G</t>
  </si>
  <si>
    <t>CONFIG 3G</t>
  </si>
  <si>
    <t>CONFIG 4G</t>
  </si>
  <si>
    <t>CLASSIF TECH</t>
  </si>
  <si>
    <t>TYPE SITE</t>
  </si>
  <si>
    <t>NUMERO AGENT</t>
  </si>
  <si>
    <t xml:space="preserve">Société GARDIENS </t>
  </si>
  <si>
    <t>Contacts des surveillants</t>
  </si>
  <si>
    <t>config3</t>
  </si>
  <si>
    <t>2G/3G/4G</t>
  </si>
  <si>
    <t>FO</t>
  </si>
  <si>
    <t>G900</t>
  </si>
  <si>
    <t>U900</t>
  </si>
  <si>
    <t>L800</t>
  </si>
  <si>
    <t>SILVER</t>
  </si>
  <si>
    <t>SubUrbain</t>
  </si>
  <si>
    <t>70996524</t>
  </si>
  <si>
    <t>config5</t>
  </si>
  <si>
    <t>FH</t>
  </si>
  <si>
    <t>G900 &amp; G1800</t>
  </si>
  <si>
    <t>U2100 &amp; U900</t>
  </si>
  <si>
    <t>L800 &amp; L1800</t>
  </si>
  <si>
    <t>BRONZE</t>
  </si>
  <si>
    <t>rural</t>
  </si>
  <si>
    <t>70996585</t>
  </si>
  <si>
    <t>Config1</t>
  </si>
  <si>
    <t>Urbain</t>
  </si>
  <si>
    <t>Config5</t>
  </si>
  <si>
    <t>GOLD</t>
  </si>
  <si>
    <t>Config2</t>
  </si>
  <si>
    <t>L800, L1800 &amp; L2600</t>
  </si>
  <si>
    <t>70996660</t>
  </si>
  <si>
    <t>Config3</t>
  </si>
  <si>
    <t>70996665</t>
  </si>
  <si>
    <t>70996670</t>
  </si>
  <si>
    <t>70996679</t>
  </si>
  <si>
    <t>config2</t>
  </si>
  <si>
    <t>70996814</t>
  </si>
  <si>
    <t>Config4</t>
  </si>
  <si>
    <t>70996966</t>
  </si>
  <si>
    <t>70996558</t>
  </si>
  <si>
    <t>70996583</t>
  </si>
  <si>
    <t>70996587</t>
  </si>
  <si>
    <t>RURAL</t>
  </si>
  <si>
    <t>70996605</t>
  </si>
  <si>
    <t>70996607</t>
  </si>
  <si>
    <t>70996623</t>
  </si>
  <si>
    <t>config1</t>
  </si>
  <si>
    <t>PLATINUM</t>
  </si>
  <si>
    <t>70996629</t>
  </si>
  <si>
    <t>70996630</t>
  </si>
  <si>
    <t>70996632</t>
  </si>
  <si>
    <t>70996634</t>
  </si>
  <si>
    <t>70996737</t>
  </si>
  <si>
    <t>70996781</t>
  </si>
  <si>
    <t>70996815</t>
  </si>
  <si>
    <t>70996827</t>
  </si>
  <si>
    <t>70996828</t>
  </si>
  <si>
    <t>70996955</t>
  </si>
  <si>
    <t>70996962</t>
  </si>
  <si>
    <t>70997004</t>
  </si>
  <si>
    <t>70996486</t>
  </si>
  <si>
    <t>70997112</t>
  </si>
  <si>
    <t>70997114</t>
  </si>
  <si>
    <t>NA</t>
  </si>
  <si>
    <t>70997140</t>
  </si>
  <si>
    <t>70997141</t>
  </si>
  <si>
    <t>70997191</t>
  </si>
  <si>
    <t>70997199</t>
  </si>
  <si>
    <t>70997214</t>
  </si>
  <si>
    <t>70997215</t>
  </si>
  <si>
    <t>70996555</t>
  </si>
  <si>
    <t>70996460</t>
  </si>
  <si>
    <t>70997030</t>
  </si>
  <si>
    <t>70996608</t>
  </si>
  <si>
    <t>config4</t>
  </si>
  <si>
    <t>70996671</t>
  </si>
  <si>
    <t>70996577</t>
  </si>
  <si>
    <t>70996578</t>
  </si>
  <si>
    <t>FTTM</t>
  </si>
  <si>
    <t>70996511</t>
  </si>
  <si>
    <t>URBAN</t>
  </si>
  <si>
    <t>70996586</t>
  </si>
  <si>
    <t>70996455</t>
  </si>
  <si>
    <t>70996601</t>
  </si>
  <si>
    <t>70996624</t>
  </si>
  <si>
    <t>70996625</t>
  </si>
  <si>
    <t>70996628</t>
  </si>
  <si>
    <t>70996651</t>
  </si>
  <si>
    <t>URBAIN</t>
  </si>
  <si>
    <t>70996652</t>
  </si>
  <si>
    <t>70996654</t>
  </si>
  <si>
    <t>70996657</t>
  </si>
  <si>
    <t>70996515</t>
  </si>
  <si>
    <t>70996710</t>
  </si>
  <si>
    <t>70996469</t>
  </si>
  <si>
    <t>70996751</t>
  </si>
  <si>
    <t>70996797</t>
  </si>
  <si>
    <t>70996817</t>
  </si>
  <si>
    <t>70996504</t>
  </si>
  <si>
    <t>70996818</t>
  </si>
  <si>
    <t>70996838</t>
  </si>
  <si>
    <t>70996475</t>
  </si>
  <si>
    <t>70996846</t>
  </si>
  <si>
    <t>25/05/2020</t>
  </si>
  <si>
    <t>70996849</t>
  </si>
  <si>
    <t>70996872</t>
  </si>
  <si>
    <t>70996879</t>
  </si>
  <si>
    <t>70996991</t>
  </si>
  <si>
    <t>70996995</t>
  </si>
  <si>
    <t>70997063</t>
  </si>
  <si>
    <t>70997070</t>
  </si>
  <si>
    <t>70997071</t>
  </si>
  <si>
    <t>70997072</t>
  </si>
  <si>
    <t>70997178</t>
  </si>
  <si>
    <t>26/05/2020</t>
  </si>
  <si>
    <t>70997186</t>
  </si>
  <si>
    <t>70997198</t>
  </si>
  <si>
    <t>70996680</t>
  </si>
  <si>
    <t>70996744</t>
  </si>
  <si>
    <t>70996420</t>
  </si>
  <si>
    <t>70996843</t>
  </si>
  <si>
    <t>70996882</t>
  </si>
  <si>
    <t>70996888</t>
  </si>
  <si>
    <t>70996961</t>
  </si>
  <si>
    <t>70997065</t>
  </si>
  <si>
    <t>70996563</t>
  </si>
  <si>
    <t>70996602</t>
  </si>
  <si>
    <t>70996610</t>
  </si>
  <si>
    <t>70996678</t>
  </si>
  <si>
    <t>70996725</t>
  </si>
  <si>
    <t>70996776</t>
  </si>
  <si>
    <t>70996786</t>
  </si>
  <si>
    <t>70996806</t>
  </si>
  <si>
    <t>70996847</t>
  </si>
  <si>
    <t>70996856</t>
  </si>
  <si>
    <t>70996904</t>
  </si>
  <si>
    <t>70996905</t>
  </si>
  <si>
    <t>70996487</t>
  </si>
  <si>
    <t>70997213</t>
  </si>
  <si>
    <t>70997217</t>
  </si>
  <si>
    <t>70996568</t>
  </si>
  <si>
    <t>70996778</t>
  </si>
  <si>
    <t>70996406</t>
  </si>
  <si>
    <t>70996977</t>
  </si>
  <si>
    <t>70996648</t>
  </si>
  <si>
    <t>70996708</t>
  </si>
  <si>
    <t>70996709</t>
  </si>
  <si>
    <t>70996512</t>
  </si>
  <si>
    <t>70996762</t>
  </si>
  <si>
    <t>70996780</t>
  </si>
  <si>
    <t>70996873</t>
  </si>
  <si>
    <t>70996906</t>
  </si>
  <si>
    <t>70996415</t>
  </si>
  <si>
    <t>70996484</t>
  </si>
  <si>
    <t>70996485</t>
  </si>
  <si>
    <t>70997047</t>
  </si>
  <si>
    <t>70997073</t>
  </si>
  <si>
    <t>70997074</t>
  </si>
  <si>
    <t>70997075</t>
  </si>
  <si>
    <t>70997142</t>
  </si>
  <si>
    <t>70997162</t>
  </si>
  <si>
    <t>70997165</t>
  </si>
  <si>
    <t>70997180</t>
  </si>
  <si>
    <t>70997220</t>
  </si>
  <si>
    <t>70997223</t>
  </si>
  <si>
    <t>70997231</t>
  </si>
  <si>
    <t>70996775</t>
  </si>
  <si>
    <t>70996809</t>
  </si>
  <si>
    <t>70996824</t>
  </si>
  <si>
    <t>70996921</t>
  </si>
  <si>
    <t>70996925</t>
  </si>
  <si>
    <t>70996999</t>
  </si>
  <si>
    <t>70997024</t>
  </si>
  <si>
    <t>70997038</t>
  </si>
  <si>
    <t>70997148</t>
  </si>
  <si>
    <t>70996686</t>
  </si>
  <si>
    <t>70996722</t>
  </si>
  <si>
    <t>70996975</t>
  </si>
  <si>
    <t>70997033</t>
  </si>
  <si>
    <t>NON 2G</t>
  </si>
  <si>
    <t>U2100</t>
  </si>
  <si>
    <t>NON 4G</t>
  </si>
  <si>
    <t>70997083</t>
  </si>
  <si>
    <t>70997171</t>
  </si>
  <si>
    <t>70996713</t>
  </si>
  <si>
    <t>70996779</t>
  </si>
  <si>
    <t>70996899</t>
  </si>
  <si>
    <t>70996993</t>
  </si>
  <si>
    <t>70997028</t>
  </si>
  <si>
    <t>70997046</t>
  </si>
  <si>
    <t>70997117</t>
  </si>
  <si>
    <t>70997151</t>
  </si>
  <si>
    <t>70996715</t>
  </si>
  <si>
    <t>70996413</t>
  </si>
  <si>
    <t>70996996</t>
  </si>
  <si>
    <t>70996998</t>
  </si>
  <si>
    <t>70997015</t>
  </si>
  <si>
    <t>70997020</t>
  </si>
  <si>
    <t>70997062</t>
  </si>
  <si>
    <t>70997084</t>
  </si>
  <si>
    <t>70997088</t>
  </si>
  <si>
    <t>70997104</t>
  </si>
  <si>
    <t>70997182</t>
  </si>
  <si>
    <t>Rural</t>
  </si>
  <si>
    <t>70996720</t>
  </si>
  <si>
    <t>70996731</t>
  </si>
  <si>
    <t>70996732</t>
  </si>
  <si>
    <t>70996733</t>
  </si>
  <si>
    <t>70996734</t>
  </si>
  <si>
    <t>70996735</t>
  </si>
  <si>
    <t>70996746</t>
  </si>
  <si>
    <t>70996467</t>
  </si>
  <si>
    <t>70996747</t>
  </si>
  <si>
    <t>70996748</t>
  </si>
  <si>
    <t>70996749</t>
  </si>
  <si>
    <t>70996750</t>
  </si>
  <si>
    <t>70996915</t>
  </si>
  <si>
    <t>70996923</t>
  </si>
  <si>
    <t>70996990</t>
  </si>
  <si>
    <t>70996482</t>
  </si>
  <si>
    <t>70997019</t>
  </si>
  <si>
    <t>70997031</t>
  </si>
  <si>
    <t>70997081</t>
  </si>
  <si>
    <t>70997147</t>
  </si>
  <si>
    <t>70997150</t>
  </si>
  <si>
    <t>70997181</t>
  </si>
  <si>
    <t>70996497</t>
  </si>
  <si>
    <t>70997227</t>
  </si>
  <si>
    <t>70996510</t>
  </si>
  <si>
    <t>70996639</t>
  </si>
  <si>
    <t>70996788</t>
  </si>
  <si>
    <t>70997067</t>
  </si>
  <si>
    <t>70996636</t>
  </si>
  <si>
    <t>70996637</t>
  </si>
  <si>
    <t>70996787</t>
  </si>
  <si>
    <t>70996844</t>
  </si>
  <si>
    <t>70996561</t>
  </si>
  <si>
    <t>70996562</t>
  </si>
  <si>
    <t>70996635</t>
  </si>
  <si>
    <t>70996638</t>
  </si>
  <si>
    <t>70996471</t>
  </si>
  <si>
    <t>70996799</t>
  </si>
  <si>
    <t>70996807</t>
  </si>
  <si>
    <t>70996808</t>
  </si>
  <si>
    <t>70996971</t>
  </si>
  <si>
    <t>70997006</t>
  </si>
  <si>
    <t>70997045</t>
  </si>
  <si>
    <t>70997060</t>
  </si>
  <si>
    <t>70997064</t>
  </si>
  <si>
    <t>70997080</t>
  </si>
  <si>
    <t>70997103</t>
  </si>
  <si>
    <t>70996697</t>
  </si>
  <si>
    <t>70996819</t>
  </si>
  <si>
    <t>70997012</t>
  </si>
  <si>
    <t>70996676</t>
  </si>
  <si>
    <t>70996845</t>
  </si>
  <si>
    <t>70997232</t>
  </si>
  <si>
    <t>70996603</t>
  </si>
  <si>
    <t>70996516</t>
  </si>
  <si>
    <t>70996503</t>
  </si>
  <si>
    <t>70996956</t>
  </si>
  <si>
    <t>70997166</t>
  </si>
  <si>
    <t>70996691</t>
  </si>
  <si>
    <t>70996707</t>
  </si>
  <si>
    <t>70996770</t>
  </si>
  <si>
    <t>70996886</t>
  </si>
  <si>
    <t>70997000</t>
  </si>
  <si>
    <t>70997040</t>
  </si>
  <si>
    <t>70997099</t>
  </si>
  <si>
    <t>70997106</t>
  </si>
  <si>
    <t>70996566</t>
  </si>
  <si>
    <t>70996684</t>
  </si>
  <si>
    <t>70996692</t>
  </si>
  <si>
    <t>70996698</t>
  </si>
  <si>
    <t>70996699</t>
  </si>
  <si>
    <t>70996700</t>
  </si>
  <si>
    <t>70996763</t>
  </si>
  <si>
    <t>70996771</t>
  </si>
  <si>
    <t>70996842</t>
  </si>
  <si>
    <t>70996848</t>
  </si>
  <si>
    <t>70996852</t>
  </si>
  <si>
    <t>70996854</t>
  </si>
  <si>
    <t>70996477</t>
  </si>
  <si>
    <t>70996891</t>
  </si>
  <si>
    <t>70996900</t>
  </si>
  <si>
    <t>70996907</t>
  </si>
  <si>
    <t>70996908</t>
  </si>
  <si>
    <t>70996922</t>
  </si>
  <si>
    <t>70996928</t>
  </si>
  <si>
    <t>70996940</t>
  </si>
  <si>
    <t>70996959</t>
  </si>
  <si>
    <t>70996483</t>
  </si>
  <si>
    <t>70997025</t>
  </si>
  <si>
    <t>70997026</t>
  </si>
  <si>
    <t>70997034</t>
  </si>
  <si>
    <t>70996488</t>
  </si>
  <si>
    <t>70997105</t>
  </si>
  <si>
    <t>70997136</t>
  </si>
  <si>
    <t>70997152</t>
  </si>
  <si>
    <t>70997160</t>
  </si>
  <si>
    <t>70997163</t>
  </si>
  <si>
    <t>70997183</t>
  </si>
  <si>
    <t>70997229</t>
  </si>
  <si>
    <t>70996836</t>
  </si>
  <si>
    <t>70996858</t>
  </si>
  <si>
    <t>70997069</t>
  </si>
  <si>
    <t>70996755</t>
  </si>
  <si>
    <t>70997042</t>
  </si>
  <si>
    <t>70996596</t>
  </si>
  <si>
    <t>70996655</t>
  </si>
  <si>
    <t>70996823</t>
  </si>
  <si>
    <t>70996850</t>
  </si>
  <si>
    <t>70996927</t>
  </si>
  <si>
    <t>70996957</t>
  </si>
  <si>
    <t>70996970</t>
  </si>
  <si>
    <t>70997014</t>
  </si>
  <si>
    <t>70997016</t>
  </si>
  <si>
    <t>70997032</t>
  </si>
  <si>
    <t>70997035</t>
  </si>
  <si>
    <t>70997039</t>
  </si>
  <si>
    <t>70997082</t>
  </si>
  <si>
    <t>70997176</t>
  </si>
  <si>
    <t>70997230</t>
  </si>
  <si>
    <t>70996865</t>
  </si>
  <si>
    <t>70996881</t>
  </si>
  <si>
    <t>70997115</t>
  </si>
  <si>
    <t>70997125</t>
  </si>
  <si>
    <t>70997116</t>
  </si>
  <si>
    <t>70996500</t>
  </si>
  <si>
    <t>70996683</t>
  </si>
  <si>
    <t>70996712</t>
  </si>
  <si>
    <t>70996716</t>
  </si>
  <si>
    <t>70996790</t>
  </si>
  <si>
    <t>70996863</t>
  </si>
  <si>
    <t>Urban</t>
  </si>
  <si>
    <t>70996867</t>
  </si>
  <si>
    <t>70996411</t>
  </si>
  <si>
    <t>70996869</t>
  </si>
  <si>
    <t>70996883</t>
  </si>
  <si>
    <t>70996884</t>
  </si>
  <si>
    <t>70996916</t>
  </si>
  <si>
    <t>70996929</t>
  </si>
  <si>
    <t>70996981</t>
  </si>
  <si>
    <t>70997005</t>
  </si>
  <si>
    <t>70997043</t>
  </si>
  <si>
    <t>70997044</t>
  </si>
  <si>
    <t>70997076</t>
  </si>
  <si>
    <t>70997077</t>
  </si>
  <si>
    <t>70997087</t>
  </si>
  <si>
    <t>70997090</t>
  </si>
  <si>
    <t>70997091</t>
  </si>
  <si>
    <t>70997092</t>
  </si>
  <si>
    <t>70997135</t>
  </si>
  <si>
    <t>MOOV</t>
  </si>
  <si>
    <t>70997161</t>
  </si>
  <si>
    <t>70997172</t>
  </si>
  <si>
    <t>70997173</t>
  </si>
  <si>
    <t>70997196</t>
  </si>
  <si>
    <t>70997197</t>
  </si>
  <si>
    <t>70996862</t>
  </si>
  <si>
    <t>70996724</t>
  </si>
  <si>
    <t>70997023</t>
  </si>
  <si>
    <t>70997107</t>
  </si>
  <si>
    <t>70996611</t>
  </si>
  <si>
    <t>70996672</t>
  </si>
  <si>
    <t>70996681</t>
  </si>
  <si>
    <t>70996702</t>
  </si>
  <si>
    <t>70996706</t>
  </si>
  <si>
    <t>70996745</t>
  </si>
  <si>
    <t>70996768</t>
  </si>
  <si>
    <t>70996860</t>
  </si>
  <si>
    <t>70996861</t>
  </si>
  <si>
    <t>70996864</t>
  </si>
  <si>
    <t>70996866</t>
  </si>
  <si>
    <t>70996868</t>
  </si>
  <si>
    <t>70996476</t>
  </si>
  <si>
    <t>70996917</t>
  </si>
  <si>
    <t>70996954</t>
  </si>
  <si>
    <t>70996964</t>
  </si>
  <si>
    <t>70996976</t>
  </si>
  <si>
    <t>70997036</t>
  </si>
  <si>
    <t>70997037</t>
  </si>
  <si>
    <t>70997132</t>
  </si>
  <si>
    <t>70997134</t>
  </si>
  <si>
    <t>70997159</t>
  </si>
  <si>
    <t>70997174</t>
  </si>
  <si>
    <t>70996593</t>
  </si>
  <si>
    <t>70996597</t>
  </si>
  <si>
    <t>15/072014</t>
  </si>
  <si>
    <t>70996615</t>
  </si>
  <si>
    <t>70996627</t>
  </si>
  <si>
    <t>70996668</t>
  </si>
  <si>
    <t>70996914</t>
  </si>
  <si>
    <t>70996741</t>
  </si>
  <si>
    <t>70996936</t>
  </si>
  <si>
    <t>70996440</t>
  </si>
  <si>
    <t>70996982</t>
  </si>
  <si>
    <t>70997206</t>
  </si>
  <si>
    <t>70996588</t>
  </si>
  <si>
    <t>70996589</t>
  </si>
  <si>
    <t>70996590</t>
  </si>
  <si>
    <t>70996592</t>
  </si>
  <si>
    <t>70996658</t>
  </si>
  <si>
    <t>70996674</t>
  </si>
  <si>
    <t>70996711</t>
  </si>
  <si>
    <t>70996742</t>
  </si>
  <si>
    <t>70996743</t>
  </si>
  <si>
    <t>70996782</t>
  </si>
  <si>
    <t>70996822</t>
  </si>
  <si>
    <t>70996831</t>
  </si>
  <si>
    <t>GSM900</t>
  </si>
  <si>
    <t>UMTS900</t>
  </si>
  <si>
    <t>70996897</t>
  </si>
  <si>
    <t>70996901</t>
  </si>
  <si>
    <t>70996903</t>
  </si>
  <si>
    <t>70996913</t>
  </si>
  <si>
    <t>70996933</t>
  </si>
  <si>
    <t>70996934</t>
  </si>
  <si>
    <t>70996935</t>
  </si>
  <si>
    <t>70996937</t>
  </si>
  <si>
    <t>70996479</t>
  </si>
  <si>
    <t>70996480</t>
  </si>
  <si>
    <t>70996938</t>
  </si>
  <si>
    <t>70996939</t>
  </si>
  <si>
    <t>70996944</t>
  </si>
  <si>
    <t>70996947</t>
  </si>
  <si>
    <t>70996951</t>
  </si>
  <si>
    <t>70996950</t>
  </si>
  <si>
    <t>70996952</t>
  </si>
  <si>
    <t>70996953</t>
  </si>
  <si>
    <t>70996513</t>
  </si>
  <si>
    <t>70997041</t>
  </si>
  <si>
    <t>70997059</t>
  </si>
  <si>
    <t>22/05/2020</t>
  </si>
  <si>
    <t>70997061</t>
  </si>
  <si>
    <t>70997068</t>
  </si>
  <si>
    <t>70997085</t>
  </si>
  <si>
    <t>70997184</t>
  </si>
  <si>
    <t>70997194</t>
  </si>
  <si>
    <t>70997203</t>
  </si>
  <si>
    <t>70997204</t>
  </si>
  <si>
    <t>70997205</t>
  </si>
  <si>
    <t>70997225</t>
  </si>
  <si>
    <t>70996429</t>
  </si>
  <si>
    <t>70996507</t>
  </si>
  <si>
    <t>70996766</t>
  </si>
  <si>
    <t>70996468</t>
  </si>
  <si>
    <t>70996431</t>
  </si>
  <si>
    <t>70996839</t>
  </si>
  <si>
    <t>70997055</t>
  </si>
  <si>
    <t>70996662</t>
  </si>
  <si>
    <t>70996405</t>
  </si>
  <si>
    <t>70996556</t>
  </si>
  <si>
    <t>70996557</t>
  </si>
  <si>
    <t>70996661</t>
  </si>
  <si>
    <t>config1_5G</t>
  </si>
  <si>
    <t>70996765</t>
  </si>
  <si>
    <t>70996434</t>
  </si>
  <si>
    <t>70996813</t>
  </si>
  <si>
    <t>70996833</t>
  </si>
  <si>
    <t>70996834</t>
  </si>
  <si>
    <t>70996840</t>
  </si>
  <si>
    <t>70996439</t>
  </si>
  <si>
    <t>70996875</t>
  </si>
  <si>
    <t>70996876</t>
  </si>
  <si>
    <t>70996877</t>
  </si>
  <si>
    <t>70996878</t>
  </si>
  <si>
    <t>70996890</t>
  </si>
  <si>
    <t>70996994</t>
  </si>
  <si>
    <t>70997056</t>
  </si>
  <si>
    <t>70996442</t>
  </si>
  <si>
    <t>70996444</t>
  </si>
  <si>
    <t>70996446</t>
  </si>
  <si>
    <t>70996759</t>
  </si>
  <si>
    <t>70996579</t>
  </si>
  <si>
    <t>70996667</t>
  </si>
  <si>
    <t>70996688</t>
  </si>
  <si>
    <t>70996523</t>
  </si>
  <si>
    <t>70996427</t>
  </si>
  <si>
    <t>70996575</t>
  </si>
  <si>
    <t>70996591</t>
  </si>
  <si>
    <t>70996598</t>
  </si>
  <si>
    <t>70996606</t>
  </si>
  <si>
    <t>70996687</t>
  </si>
  <si>
    <t>70996689</t>
  </si>
  <si>
    <t>70996703</t>
  </si>
  <si>
    <t>70996704</t>
  </si>
  <si>
    <t>70996430</t>
  </si>
  <si>
    <t>70996773</t>
  </si>
  <si>
    <t>70996774</t>
  </si>
  <si>
    <t>70996438</t>
  </si>
  <si>
    <t>70996853</t>
  </si>
  <si>
    <t>70996437</t>
  </si>
  <si>
    <t>70996965</t>
  </si>
  <si>
    <t>70996967</t>
  </si>
  <si>
    <t>70997078</t>
  </si>
  <si>
    <t>70997089</t>
  </si>
  <si>
    <t>70996517</t>
  </si>
  <si>
    <t>70996501</t>
  </si>
  <si>
    <t>70996408</t>
  </si>
  <si>
    <t>70997009</t>
  </si>
  <si>
    <t>70997013</t>
  </si>
  <si>
    <t>70997187</t>
  </si>
  <si>
    <t>70996525</t>
  </si>
  <si>
    <t>70996452</t>
  </si>
  <si>
    <t>70996564</t>
  </si>
  <si>
    <t>70996565</t>
  </si>
  <si>
    <t>70996526</t>
  </si>
  <si>
    <t>70996640</t>
  </si>
  <si>
    <t>70996760</t>
  </si>
  <si>
    <t>70996764</t>
  </si>
  <si>
    <t>70996792</t>
  </si>
  <si>
    <t>70996472</t>
  </si>
  <si>
    <t>70996473</t>
  </si>
  <si>
    <t>70996825</t>
  </si>
  <si>
    <t>70996983</t>
  </si>
  <si>
    <t>70996986</t>
  </si>
  <si>
    <t>70996414</t>
  </si>
  <si>
    <t>70997177</t>
  </si>
  <si>
    <t>70997188</t>
  </si>
  <si>
    <t>70996496</t>
  </si>
  <si>
    <t>70997189</t>
  </si>
  <si>
    <t>70996458</t>
  </si>
  <si>
    <t>SUBURBAN</t>
  </si>
  <si>
    <t>70996505</t>
  </si>
  <si>
    <t>70997048</t>
  </si>
  <si>
    <t>30/02/2021</t>
  </si>
  <si>
    <t>70996490</t>
  </si>
  <si>
    <t>70996647</t>
  </si>
  <si>
    <t>70996932</t>
  </si>
  <si>
    <t>70996985</t>
  </si>
  <si>
    <t>70996582</t>
  </si>
  <si>
    <t>70996454</t>
  </si>
  <si>
    <t>70996604</t>
  </si>
  <si>
    <t>70996457</t>
  </si>
  <si>
    <t>70996616</t>
  </si>
  <si>
    <t>70996622</t>
  </si>
  <si>
    <t>70996428</t>
  </si>
  <si>
    <t>70996646</t>
  </si>
  <si>
    <t>70996461</t>
  </si>
  <si>
    <t>70996462</t>
  </si>
  <si>
    <t>70996464</t>
  </si>
  <si>
    <t>70996728</t>
  </si>
  <si>
    <t>70996739</t>
  </si>
  <si>
    <t>70996465</t>
  </si>
  <si>
    <t>70996466</t>
  </si>
  <si>
    <t>70996756</t>
  </si>
  <si>
    <t>70996757</t>
  </si>
  <si>
    <t>70996820</t>
  </si>
  <si>
    <t>70996931</t>
  </si>
  <si>
    <t>70996422</t>
  </si>
  <si>
    <t>70996988</t>
  </si>
  <si>
    <t>70996989</t>
  </si>
  <si>
    <t>70997010</t>
  </si>
  <si>
    <t>70997027</t>
  </si>
  <si>
    <t>70996889</t>
  </si>
  <si>
    <t>70997097</t>
  </si>
  <si>
    <t>70997098</t>
  </si>
  <si>
    <t>70997201</t>
  </si>
  <si>
    <t>70997202</t>
  </si>
  <si>
    <t>70997212</t>
  </si>
  <si>
    <t>70996456</t>
  </si>
  <si>
    <t>70996619</t>
  </si>
  <si>
    <t>70996620</t>
  </si>
  <si>
    <t>70996643</t>
  </si>
  <si>
    <t>04/072011</t>
  </si>
  <si>
    <t>U2100 &amp; U901</t>
  </si>
  <si>
    <t>70996664</t>
  </si>
  <si>
    <t>70996666</t>
  </si>
  <si>
    <t>70996673</t>
  </si>
  <si>
    <t>70996793</t>
  </si>
  <si>
    <t>70996794</t>
  </si>
  <si>
    <t>70996812</t>
  </si>
  <si>
    <t>70996403</t>
  </si>
  <si>
    <t>70996421</t>
  </si>
  <si>
    <t>70996412</t>
  </si>
  <si>
    <t>70996895</t>
  </si>
  <si>
    <t>70996978</t>
  </si>
  <si>
    <t>70996980</t>
  </si>
  <si>
    <t>70997108</t>
  </si>
  <si>
    <t>70997109</t>
  </si>
  <si>
    <t>70996489</t>
  </si>
  <si>
    <t>70996506</t>
  </si>
  <si>
    <t>70997110</t>
  </si>
  <si>
    <t>70997138</t>
  </si>
  <si>
    <t>70997224</t>
  </si>
  <si>
    <t>G900 &amp; G1801</t>
  </si>
  <si>
    <t>L800 &amp; L1801</t>
  </si>
  <si>
    <t>70997226</t>
  </si>
  <si>
    <t>70996499</t>
  </si>
  <si>
    <t>70996805</t>
  </si>
  <si>
    <t>70996695</t>
  </si>
  <si>
    <t>90438959/99009990</t>
  </si>
  <si>
    <t>70996754</t>
  </si>
  <si>
    <t>70996777</t>
  </si>
  <si>
    <t>70996435</t>
  </si>
  <si>
    <t>70996811</t>
  </si>
  <si>
    <t>70996436</t>
  </si>
  <si>
    <t>70996892</t>
  </si>
  <si>
    <t>70996893</t>
  </si>
  <si>
    <t>70996894</t>
  </si>
  <si>
    <t>70996979</t>
  </si>
  <si>
    <t>70996992</t>
  </si>
  <si>
    <t>SmallCells</t>
  </si>
  <si>
    <t>70997057</t>
  </si>
  <si>
    <t>70997058</t>
  </si>
  <si>
    <t>70997066</t>
  </si>
  <si>
    <t>70997079</t>
  </si>
  <si>
    <t>70996441</t>
  </si>
  <si>
    <t>70997126</t>
  </si>
  <si>
    <t>70997127</t>
  </si>
  <si>
    <t>70997139</t>
  </si>
  <si>
    <t>70997211</t>
  </si>
  <si>
    <t>70997200</t>
  </si>
  <si>
    <t>70996769</t>
  </si>
  <si>
    <t>70997156</t>
  </si>
  <si>
    <t>70996693</t>
  </si>
  <si>
    <t>70996871</t>
  </si>
  <si>
    <t>70997003</t>
  </si>
  <si>
    <t>70997093</t>
  </si>
  <si>
    <t>70996918</t>
  </si>
  <si>
    <t>70996924</t>
  </si>
  <si>
    <t>70997021</t>
  </si>
  <si>
    <t>70997144</t>
  </si>
  <si>
    <t>70997158</t>
  </si>
  <si>
    <t>70996609</t>
  </si>
  <si>
    <t>70996719</t>
  </si>
  <si>
    <t>70996795</t>
  </si>
  <si>
    <t>70996798</t>
  </si>
  <si>
    <t>70996851</t>
  </si>
  <si>
    <t>70996902</t>
  </si>
  <si>
    <t>70996909</t>
  </si>
  <si>
    <t>70996919</t>
  </si>
  <si>
    <t>70997001</t>
  </si>
  <si>
    <t>70997011</t>
  </si>
  <si>
    <t>70997017</t>
  </si>
  <si>
    <t>70997018</t>
  </si>
  <si>
    <t>70997029</t>
  </si>
  <si>
    <t>70997086</t>
  </si>
  <si>
    <t>70997095</t>
  </si>
  <si>
    <t>70997149</t>
  </si>
  <si>
    <t>70997157</t>
  </si>
  <si>
    <t>70996498</t>
  </si>
  <si>
    <t>70996772</t>
  </si>
  <si>
    <t>70996796</t>
  </si>
  <si>
    <t>70996949</t>
  </si>
  <si>
    <t>25/06/2020</t>
  </si>
  <si>
    <t>70996958</t>
  </si>
  <si>
    <t>70997167</t>
  </si>
  <si>
    <t>70996572</t>
  </si>
  <si>
    <t>70996644</t>
  </si>
  <si>
    <t>70996946</t>
  </si>
  <si>
    <t>70997050</t>
  </si>
  <si>
    <t>70996576</t>
  </si>
  <si>
    <t>70996599</t>
  </si>
  <si>
    <t>70996675</t>
  </si>
  <si>
    <t>70996463</t>
  </si>
  <si>
    <t>70996758</t>
  </si>
  <si>
    <t>70996470</t>
  </si>
  <si>
    <t>70996826</t>
  </si>
  <si>
    <t>70996841</t>
  </si>
  <si>
    <t>70996948</t>
  </si>
  <si>
    <t>70996960</t>
  </si>
  <si>
    <t>70996481</t>
  </si>
  <si>
    <t>70996968</t>
  </si>
  <si>
    <t>70997049</t>
  </si>
  <si>
    <t>70996509</t>
  </si>
  <si>
    <t>70997051</t>
  </si>
  <si>
    <t>70997052</t>
  </si>
  <si>
    <t>70997053</t>
  </si>
  <si>
    <t>70997100</t>
  </si>
  <si>
    <t>70997119</t>
  </si>
  <si>
    <t>27/05/2020</t>
  </si>
  <si>
    <t>70997120</t>
  </si>
  <si>
    <t>70997143</t>
  </si>
  <si>
    <t>70997170</t>
  </si>
  <si>
    <t>70997179</t>
  </si>
  <si>
    <t>70996443</t>
  </si>
  <si>
    <t>70997193</t>
  </si>
  <si>
    <t>70997218</t>
  </si>
  <si>
    <t>70997219</t>
  </si>
  <si>
    <t>70996857</t>
  </si>
  <si>
    <t>70996870</t>
  </si>
  <si>
    <t>70996880</t>
  </si>
  <si>
    <t>70996920</t>
  </si>
  <si>
    <t>70996974</t>
  </si>
  <si>
    <t>70997131</t>
  </si>
  <si>
    <t>70996621</t>
  </si>
  <si>
    <t>70996459</t>
  </si>
  <si>
    <t>70996984</t>
  </si>
  <si>
    <t>70997096</t>
  </si>
  <si>
    <t>70997175</t>
  </si>
  <si>
    <t>70997185</t>
  </si>
  <si>
    <t>70996554</t>
  </si>
  <si>
    <t>70996567</t>
  </si>
  <si>
    <t>70996595</t>
  </si>
  <si>
    <t>70996407</t>
  </si>
  <si>
    <t>70996612</t>
  </si>
  <si>
    <t>70996641</t>
  </si>
  <si>
    <t>70996642</t>
  </si>
  <si>
    <t>70996694</t>
  </si>
  <si>
    <t>70996714</t>
  </si>
  <si>
    <t>70996717</t>
  </si>
  <si>
    <t>70996723</t>
  </si>
  <si>
    <t>70996791</t>
  </si>
  <si>
    <t>70996830</t>
  </si>
  <si>
    <t>70996874</t>
  </si>
  <si>
    <t>70996478</t>
  </si>
  <si>
    <t>70996941</t>
  </si>
  <si>
    <t>70996942</t>
  </si>
  <si>
    <t>70996945</t>
  </si>
  <si>
    <t>70996997</t>
  </si>
  <si>
    <t>70997008</t>
  </si>
  <si>
    <t>70997094</t>
  </si>
  <si>
    <t>70996514</t>
  </si>
  <si>
    <t>70997101</t>
  </si>
  <si>
    <t>70997123</t>
  </si>
  <si>
    <t>70996491</t>
  </si>
  <si>
    <t>70997128</t>
  </si>
  <si>
    <t>70996492</t>
  </si>
  <si>
    <t>70997129</t>
  </si>
  <si>
    <t>70997130</t>
  </si>
  <si>
    <t>70997153</t>
  </si>
  <si>
    <t>70996495</t>
  </si>
  <si>
    <t>70997164</t>
  </si>
  <si>
    <t>70997169</t>
  </si>
  <si>
    <t>70996570</t>
  </si>
  <si>
    <t>70996685</t>
  </si>
  <si>
    <t>70997102</t>
  </si>
  <si>
    <t>70996559</t>
  </si>
  <si>
    <t>70996837</t>
  </si>
  <si>
    <t>70996910</t>
  </si>
  <si>
    <t>70996926</t>
  </si>
  <si>
    <t>70997054</t>
  </si>
  <si>
    <t>01/12/20229</t>
  </si>
  <si>
    <t>70996560</t>
  </si>
  <si>
    <t>70996613</t>
  </si>
  <si>
    <t>70996614</t>
  </si>
  <si>
    <t>70996690</t>
  </si>
  <si>
    <t>70996740</t>
  </si>
  <si>
    <t>70996821</t>
  </si>
  <si>
    <t>70996855</t>
  </si>
  <si>
    <t>70996887</t>
  </si>
  <si>
    <t>70996943</t>
  </si>
  <si>
    <t>70996969</t>
  </si>
  <si>
    <t>70997007</t>
  </si>
  <si>
    <t>70997221</t>
  </si>
  <si>
    <t>70996573</t>
  </si>
  <si>
    <t>70996600</t>
  </si>
  <si>
    <t>70996649</t>
  </si>
  <si>
    <t>70996677</t>
  </si>
  <si>
    <t>70996800</t>
  </si>
  <si>
    <t>70996930</t>
  </si>
  <si>
    <t>70997168</t>
  </si>
  <si>
    <t>70996832</t>
  </si>
  <si>
    <t>70996617</t>
  </si>
  <si>
    <t>70996645</t>
  </si>
  <si>
    <t>70996663</t>
  </si>
  <si>
    <t>70996701</t>
  </si>
  <si>
    <t>70996738</t>
  </si>
  <si>
    <t>70996502</t>
  </si>
  <si>
    <t>70996752</t>
  </si>
  <si>
    <t>70996783</t>
  </si>
  <si>
    <t>70996474</t>
  </si>
  <si>
    <t>70996801</t>
  </si>
  <si>
    <t>70996802</t>
  </si>
  <si>
    <t>70996804</t>
  </si>
  <si>
    <t>70996810</t>
  </si>
  <si>
    <t>70996885</t>
  </si>
  <si>
    <t>70996963</t>
  </si>
  <si>
    <t>70996987</t>
  </si>
  <si>
    <t>70997207</t>
  </si>
  <si>
    <t>70997208</t>
  </si>
  <si>
    <t>70996417</t>
  </si>
  <si>
    <t>70997210</t>
  </si>
  <si>
    <t>70996445</t>
  </si>
  <si>
    <t>Config rural high</t>
  </si>
  <si>
    <t>OLT</t>
  </si>
  <si>
    <t>NON</t>
  </si>
  <si>
    <t>OUI</t>
  </si>
  <si>
    <t>LOME-EST</t>
  </si>
  <si>
    <t>LOME-SUD</t>
  </si>
  <si>
    <t>LOME-NORD</t>
  </si>
  <si>
    <t>LOME-OUEST2</t>
  </si>
  <si>
    <t>KARA-OUEST</t>
  </si>
  <si>
    <t>LOME-OUEST1</t>
  </si>
  <si>
    <t>KARA-EST</t>
  </si>
  <si>
    <t>MRG-GR</t>
  </si>
  <si>
    <t>EASY CONCEPT</t>
  </si>
  <si>
    <t>SSV</t>
  </si>
  <si>
    <t>3SCA</t>
  </si>
  <si>
    <t>70996633</t>
  </si>
  <si>
    <t>70 99 65 29</t>
  </si>
  <si>
    <t>70 99 65 34</t>
  </si>
  <si>
    <t>70 99 65 36</t>
  </si>
  <si>
    <t>70 99 73 62</t>
  </si>
  <si>
    <t>70996803</t>
  </si>
  <si>
    <t>70 99 65 84</t>
  </si>
  <si>
    <t>70 99 72 63</t>
  </si>
  <si>
    <t>70 99 73 13</t>
  </si>
  <si>
    <t>70 99 73 43</t>
  </si>
  <si>
    <t>70 99 66 53</t>
  </si>
  <si>
    <t>70 81 75 25/70 81 67 75</t>
  </si>
  <si>
    <t>70 81 78 59/70 81 79 58</t>
  </si>
  <si>
    <t>90 34 23 74/90 07 52 20</t>
  </si>
  <si>
    <t>90 11 69 07/70 24 32 60</t>
  </si>
  <si>
    <t>91 26 31 98/96 82 22 27</t>
  </si>
  <si>
    <t>93 88 83 76</t>
  </si>
  <si>
    <t>92 11 57 14/91 50 85 30</t>
  </si>
  <si>
    <t>71 56 70 86/90 86 35 21</t>
  </si>
  <si>
    <t>90 35 91 37</t>
  </si>
  <si>
    <t>92 52 83 41</t>
  </si>
  <si>
    <t>70 59 02 90/92 35 10 98</t>
  </si>
  <si>
    <t>90 68 42 21</t>
  </si>
  <si>
    <t>93 77 27 81</t>
  </si>
  <si>
    <t>70 81 78 59/70 81 79 58/93 88 83 76</t>
  </si>
  <si>
    <t>TECHNOLOGIE FO</t>
  </si>
  <si>
    <t>BACKHALL</t>
  </si>
  <si>
    <t>BACKBONE</t>
  </si>
  <si>
    <t xml:space="preserve">ADAMAVO </t>
  </si>
  <si>
    <t>ADETIKOPE CEG</t>
  </si>
  <si>
    <t xml:space="preserve">ADIDOGOME </t>
  </si>
  <si>
    <t>AEROPORT 2</t>
  </si>
  <si>
    <t xml:space="preserve">AGBALEPEDO </t>
  </si>
  <si>
    <t>AMADAHOME2</t>
  </si>
  <si>
    <t>AVEDJI 1</t>
  </si>
  <si>
    <t>AVEDJI 2</t>
  </si>
  <si>
    <t>BAGUIDA 3</t>
  </si>
  <si>
    <t>BE-CHÂTEAU</t>
  </si>
  <si>
    <t>CACAVELLI</t>
  </si>
  <si>
    <t>CAMPUS MOOV</t>
  </si>
  <si>
    <t>GBENYEDJI 2</t>
  </si>
  <si>
    <t>HEDZRANAWOE</t>
  </si>
  <si>
    <t>HOUNTIGOME 1</t>
  </si>
  <si>
    <t>KEGUE 1</t>
  </si>
  <si>
    <t>KOVE1</t>
  </si>
  <si>
    <t xml:space="preserve">LOM-047 </t>
  </si>
  <si>
    <t>LOGOPE 1</t>
  </si>
  <si>
    <t>MINAMADOU 1</t>
  </si>
  <si>
    <t>NUKAFU 1</t>
  </si>
  <si>
    <t>TOGO 2000</t>
  </si>
  <si>
    <t>TOTSI 2</t>
  </si>
  <si>
    <t>TOTSI 1</t>
  </si>
  <si>
    <t>ZANGUERA PEAGE</t>
  </si>
  <si>
    <t>ZANGUERA</t>
  </si>
  <si>
    <t>ZONGO 2</t>
  </si>
  <si>
    <t>AGBONOU 1</t>
  </si>
  <si>
    <t>ATAKPAME COM</t>
  </si>
  <si>
    <t>PLA-TGT-001</t>
  </si>
  <si>
    <t>CINKASSE 1</t>
  </si>
  <si>
    <t>DAPAONG-RE</t>
  </si>
  <si>
    <t>KAR-TGT-001</t>
  </si>
  <si>
    <t>KARA-RE</t>
  </si>
  <si>
    <t>KARA SUD</t>
  </si>
  <si>
    <t>TOMDE 2</t>
  </si>
  <si>
    <t>KPALIME KPODJI</t>
  </si>
  <si>
    <t>TSEVIE WUGBA</t>
  </si>
  <si>
    <t xml:space="preserve">OLT </t>
  </si>
  <si>
    <t>ATAKPAME RE</t>
  </si>
  <si>
    <t>BLITTA GARE</t>
  </si>
  <si>
    <t xml:space="preserve">CEN-065 </t>
  </si>
  <si>
    <t>CACAVELI-NEW</t>
  </si>
  <si>
    <t>GUERINKOUKA</t>
  </si>
  <si>
    <t>GUERINKOUKA2</t>
  </si>
  <si>
    <t>HEDZRANAWE</t>
  </si>
  <si>
    <t>KARA CENTRAL</t>
  </si>
  <si>
    <t xml:space="preserve">KAR-COM </t>
  </si>
  <si>
    <t xml:space="preserve">KPALIME </t>
  </si>
  <si>
    <t>LOME CENTRE</t>
  </si>
  <si>
    <t>TSEVIE KPALI</t>
  </si>
  <si>
    <t>SITE</t>
  </si>
  <si>
    <t>SITES NAMES</t>
  </si>
  <si>
    <t>70996433  Mobile HS</t>
  </si>
  <si>
    <t>Site Parent 1</t>
  </si>
  <si>
    <t>Site Parent 2</t>
  </si>
  <si>
    <t xml:space="preserve">AKABA </t>
  </si>
  <si>
    <t>ATALOTE</t>
  </si>
  <si>
    <t>LOM-256_TOGBLE2</t>
  </si>
  <si>
    <t>LOM-210-ADET-AGT-IXRec-01</t>
  </si>
  <si>
    <t>BAGO_NE2</t>
  </si>
  <si>
    <t>OKE_NE2</t>
  </si>
  <si>
    <t>MAR-060_AGBEL_NE1</t>
  </si>
  <si>
    <t>AGBONOU2 NE2</t>
  </si>
  <si>
    <t>PLA-001_AGBON_NE2</t>
  </si>
  <si>
    <t>KARA MARCHE</t>
  </si>
  <si>
    <t>LOM-199_AGODE</t>
  </si>
  <si>
    <t>MAR-084_ZEGLE</t>
  </si>
  <si>
    <t>LOM-024_LEGBA_NE2</t>
  </si>
  <si>
    <t>OKE_NE3</t>
  </si>
  <si>
    <t>PLA-021_AGOU-G</t>
  </si>
  <si>
    <t>PLA-046_AGOTIM-AD</t>
  </si>
  <si>
    <t>KAR-040_KANT</t>
  </si>
  <si>
    <t>PLA-023_TOVEAT</t>
  </si>
  <si>
    <t>PLA-112_TADO_NE3</t>
  </si>
  <si>
    <t>LOM-169_ABLOG_NE2</t>
  </si>
  <si>
    <t>TCHAREBOUA</t>
  </si>
  <si>
    <t>AKAMADE_NE2</t>
  </si>
  <si>
    <t>PLA-001_AGBON_NE1</t>
  </si>
  <si>
    <t>SAV-045_MANGO</t>
  </si>
  <si>
    <t>ALIBI2_NE2</t>
  </si>
  <si>
    <t>LOM-024_LEGBA_NE1</t>
  </si>
  <si>
    <t>LOM-028_DEMAKP2_NE2</t>
  </si>
  <si>
    <t>MAR-053_BADJA</t>
  </si>
  <si>
    <t>DATCHA_NE2</t>
  </si>
  <si>
    <t>MAR-013 ANEH_NE3</t>
  </si>
  <si>
    <t>ANIE-MISSION_NE1</t>
  </si>
  <si>
    <t>LAMATESSI_NE1</t>
  </si>
  <si>
    <t>LEGBASSITO 3</t>
  </si>
  <si>
    <t>PLA-042_AVET_NE2</t>
  </si>
  <si>
    <t>AKPARE_NE2</t>
  </si>
  <si>
    <t>TADJAN_NE1</t>
  </si>
  <si>
    <t>LOM-002_ADETK_NE1</t>
  </si>
  <si>
    <t>LOM-242_DJADOU_SA</t>
  </si>
  <si>
    <t>AGBONOU2_NE4</t>
  </si>
  <si>
    <t>KAR-048_HELOTA</t>
  </si>
  <si>
    <t xml:space="preserve">KOLOKOPE </t>
  </si>
  <si>
    <t>PLA-040_ALIKPO</t>
  </si>
  <si>
    <t>MAR-013 ANEH NE2</t>
  </si>
  <si>
    <t>KPOVE_NE2</t>
  </si>
  <si>
    <t>MAR-063_GAME_NE2</t>
  </si>
  <si>
    <t>MAR-026_AKLAK</t>
  </si>
  <si>
    <t>MAR-027 ANFO</t>
  </si>
  <si>
    <t>NOTSE-GAPEDJI NE2</t>
  </si>
  <si>
    <t>BOCCO_SA</t>
  </si>
  <si>
    <t>PLA-071_KPEL-ELE_SA</t>
  </si>
  <si>
    <t>BADOU_NE2</t>
  </si>
  <si>
    <t>MAR-015 ANEH-KP_NE2</t>
  </si>
  <si>
    <t>SAV-040_BORG</t>
  </si>
  <si>
    <t>KABOU_NE2</t>
  </si>
  <si>
    <t>ALOKO</t>
  </si>
  <si>
    <t>KAR-073_BASS-DIG_NE2</t>
  </si>
  <si>
    <t>MAR-052_ASSAH</t>
  </si>
  <si>
    <t>OUNABE_NE2</t>
  </si>
  <si>
    <t>SAV-037_NANGBEN</t>
  </si>
  <si>
    <t>GNAMASSILA_SA</t>
  </si>
  <si>
    <t>KAR-065_IBOBO_NE2</t>
  </si>
  <si>
    <t>BLITTAGARE_NE3</t>
  </si>
  <si>
    <t>NAKI-EST_SA</t>
  </si>
  <si>
    <t>SAV-036_NAKIE</t>
  </si>
  <si>
    <t>SAV-026_BOMBO</t>
  </si>
  <si>
    <t>KAR-054_KOUK_NE1</t>
  </si>
  <si>
    <t>MEDINA_NE1</t>
  </si>
  <si>
    <t>LOM-014_LEADER</t>
  </si>
  <si>
    <t>LOM-105_CAMPUS-M</t>
  </si>
  <si>
    <t>MAR-021_AKOUM</t>
  </si>
  <si>
    <t>LOM-021_ADETK2_NE1</t>
  </si>
  <si>
    <t>LOM-269_AKEP-P</t>
  </si>
  <si>
    <t>PLA-064_NDIGBE</t>
  </si>
  <si>
    <t>RPT_WETRO-M</t>
  </si>
  <si>
    <t>PLA-148_TSAVA_NE1</t>
  </si>
  <si>
    <t>SAV-002_DAPAONG</t>
  </si>
  <si>
    <t>SAV-009_WORGOU</t>
  </si>
  <si>
    <t>DAPAONG-FH</t>
  </si>
  <si>
    <t>NASSABLE_NE3</t>
  </si>
  <si>
    <t>SAV-007_NASSA</t>
  </si>
  <si>
    <t>PLA-081_GLITO_SA</t>
  </si>
  <si>
    <t>MAR-005_DAVIE</t>
  </si>
  <si>
    <t>BAGUIDA_NE1</t>
  </si>
  <si>
    <t>KAR-105_KALAN</t>
  </si>
  <si>
    <t>TAKPAMBA_NE2</t>
  </si>
  <si>
    <t>LOM-023_FIDOKP_NE2</t>
  </si>
  <si>
    <t>DJAGBLE-ZAVADJI_SA</t>
  </si>
  <si>
    <t>SAV-020_YEMBOU</t>
  </si>
  <si>
    <t>SAV-047_MOGOU</t>
  </si>
  <si>
    <t>CEN-024_KAGNIGB_NE1</t>
  </si>
  <si>
    <t>CEN-023_DJARKP</t>
  </si>
  <si>
    <t>SAV-028_NAMOUDJ</t>
  </si>
  <si>
    <t>AGADZA_SA</t>
  </si>
  <si>
    <t xml:space="preserve">KOUGNOHOU </t>
  </si>
  <si>
    <t>MORETAN_NE2</t>
  </si>
  <si>
    <t>SAV-098_BIANK</t>
  </si>
  <si>
    <t>BLITTAGARE_NE2</t>
  </si>
  <si>
    <t>PLA-120_PATATO</t>
  </si>
  <si>
    <t>MAR-057_KEVE_NE2</t>
  </si>
  <si>
    <t>ELAVAGNON_NE4</t>
  </si>
  <si>
    <t>SAGBADAI_SA</t>
  </si>
  <si>
    <t>TCHEKOUNI KOPE</t>
  </si>
  <si>
    <t>GBADJAHE_SA1</t>
  </si>
  <si>
    <t>ELAVAGNON_NE3</t>
  </si>
  <si>
    <t>TADJAN_NE2</t>
  </si>
  <si>
    <t>SAV-116_FARE-M</t>
  </si>
  <si>
    <t>KETAWO_NE1</t>
  </si>
  <si>
    <t>LOM-031_ZONG1_NE2</t>
  </si>
  <si>
    <t>LOM-044_AGOE</t>
  </si>
  <si>
    <t>MAR-088_TSEVIE-WU</t>
  </si>
  <si>
    <t>BAGHAN_NE2</t>
  </si>
  <si>
    <t>SAV-033_BARKO</t>
  </si>
  <si>
    <t>ANIE_NE1</t>
  </si>
  <si>
    <t>MAR-060_AGBEL_NE2</t>
  </si>
  <si>
    <t>SAV-053_SABIEB</t>
  </si>
  <si>
    <t>MAR-056_GAPEKP</t>
  </si>
  <si>
    <t>MAR-007_GBATO</t>
  </si>
  <si>
    <t>LOKPANO_NE2</t>
  </si>
  <si>
    <t>SAV-072_OGARO</t>
  </si>
  <si>
    <t>GBENYEDJI</t>
  </si>
  <si>
    <t>MAR-087_DAGUE</t>
  </si>
  <si>
    <t>MAR-042_TABLI-AKO_NE1</t>
  </si>
  <si>
    <t>DATCHA_NE1</t>
  </si>
  <si>
    <t>MAR-013_ANEH_UBT</t>
  </si>
  <si>
    <t>PLA-136_KPEKPL_NE1</t>
  </si>
  <si>
    <t>LAMA-POUDE</t>
  </si>
  <si>
    <t>SAV-011_CINKA-BOUS</t>
  </si>
  <si>
    <t>PLA-015_KPALI_SA</t>
  </si>
  <si>
    <t>PLA-016_KPALI2_NE1</t>
  </si>
  <si>
    <t>KAR-116_LABARK</t>
  </si>
  <si>
    <t>AFIDENYIGBAN2</t>
  </si>
  <si>
    <t>AGODEKA-MOOV</t>
  </si>
  <si>
    <t>CASSABLANCA2</t>
  </si>
  <si>
    <t>GBADJA</t>
  </si>
  <si>
    <t>TOHOUN</t>
  </si>
  <si>
    <t>TOGBELKOPE</t>
  </si>
  <si>
    <t>ADETIKOPE AGOUTE</t>
  </si>
  <si>
    <t>CASABLANCA1</t>
  </si>
  <si>
    <t>AGOSSIME</t>
  </si>
  <si>
    <t>KANIAMBOU</t>
  </si>
  <si>
    <t>DJADAOUDE</t>
  </si>
  <si>
    <t>GAME_NE1</t>
  </si>
  <si>
    <t xml:space="preserve">CERFER </t>
  </si>
  <si>
    <t>AMEGRAN</t>
  </si>
  <si>
    <t>MAR-032_AFAGNANAN_SA</t>
  </si>
  <si>
    <t>AFIDEGNIGBAN</t>
  </si>
  <si>
    <t xml:space="preserve">NOTSE-GAPEDJI </t>
  </si>
  <si>
    <t xml:space="preserve">WAHALA  </t>
  </si>
  <si>
    <t>ADETKOPE2</t>
  </si>
  <si>
    <t>TEMEDJI</t>
  </si>
  <si>
    <t>AGOME-GLOUZOU</t>
  </si>
  <si>
    <t>AFIDENYIGBA2</t>
  </si>
  <si>
    <t>BE-CHATEAU2</t>
  </si>
  <si>
    <t>HOTEL-FEVRIER</t>
  </si>
  <si>
    <t>TOTSI1</t>
  </si>
  <si>
    <t>PORT1</t>
  </si>
  <si>
    <t>KAR-064_BAPUR</t>
  </si>
  <si>
    <t>MORETAN_NE1</t>
  </si>
  <si>
    <t>ATAKPAME-KAMINA_NE2</t>
  </si>
  <si>
    <t>KAGNIGBARA_NE2</t>
  </si>
  <si>
    <t>KAR-053_KIDJAB</t>
  </si>
  <si>
    <t>LOM-176_ADAM</t>
  </si>
  <si>
    <t>TAKPAMBA_SA</t>
  </si>
  <si>
    <t>BARKOISSI_SA</t>
  </si>
  <si>
    <t>NOTSE_SA</t>
  </si>
  <si>
    <t>KARA3_NE2</t>
  </si>
  <si>
    <t>UBTSA_KARA SITO</t>
  </si>
  <si>
    <t>TOMDE_SA</t>
  </si>
  <si>
    <t>TOMDE2_NE1</t>
  </si>
  <si>
    <t>SAV-058_TAKPAM</t>
  </si>
  <si>
    <t>AKPARE_NE1</t>
  </si>
  <si>
    <t>KAR-054_KOUK_NE2</t>
  </si>
  <si>
    <t>ALIBI1_NE2</t>
  </si>
  <si>
    <t>LOM-008_KELEGO2</t>
  </si>
  <si>
    <t>KAR-065_IBOBO_NE1</t>
  </si>
  <si>
    <t>AMOUSSOUKOPE_SA</t>
  </si>
  <si>
    <t>LOM-024_LEGBA_NE3</t>
  </si>
  <si>
    <t>PLA-042_AVET_NE1</t>
  </si>
  <si>
    <t>NIAMTOUGOU-SA2</t>
  </si>
  <si>
    <t>PLA-062_DANYI</t>
  </si>
  <si>
    <t>KOUKA_SA</t>
  </si>
  <si>
    <t>KAR-052_KATCHA</t>
  </si>
  <si>
    <t>TCHAMBA STADE</t>
  </si>
  <si>
    <t>PLA-049_KOUMAK-M</t>
  </si>
  <si>
    <t>SAV-035_KOUDOU</t>
  </si>
  <si>
    <t>PYAKADJIKA_NE1</t>
  </si>
  <si>
    <t>SAV-046_MANGO-DO</t>
  </si>
  <si>
    <t>SAV-043_MANDOU</t>
  </si>
  <si>
    <t>KAR-083_SANDA</t>
  </si>
  <si>
    <t>KAR-051_OSSAC</t>
  </si>
  <si>
    <t>SAV-017_NADJOU</t>
  </si>
  <si>
    <t>KABOU_NE1</t>
  </si>
  <si>
    <t>MAR-031_VOGAN-AGB</t>
  </si>
  <si>
    <t>MAR-039_AHEP</t>
  </si>
  <si>
    <t>LOM-248_APESS</t>
  </si>
  <si>
    <t>PLA-015_KPALI_NE2</t>
  </si>
  <si>
    <t xml:space="preserve">BOUGABOU </t>
  </si>
  <si>
    <t>GLEI_NE1</t>
  </si>
  <si>
    <t>DEVE_NE1</t>
  </si>
  <si>
    <t>PLA-061_ADET_NE1</t>
  </si>
  <si>
    <t>MAR-092_AGOV_SA</t>
  </si>
  <si>
    <t>BADOU_NE1</t>
  </si>
  <si>
    <t>EKETO-ELAVAGNON_NE2</t>
  </si>
  <si>
    <t>MAR-020_ABOB-M</t>
  </si>
  <si>
    <t>PLA-112_TADO_NE2</t>
  </si>
  <si>
    <t>AWANDJELO_NE2</t>
  </si>
  <si>
    <t>LOM-178_BAGUID_SA2</t>
  </si>
  <si>
    <t>TCHALO_NE1</t>
  </si>
  <si>
    <t>UBT-T_SAGBADO</t>
  </si>
  <si>
    <t>AHOMA MOOV</t>
  </si>
  <si>
    <t>LOM-099_HEDJRA3</t>
  </si>
  <si>
    <t>SAV-008_NIOUPOURMA</t>
  </si>
  <si>
    <t>SAV-042_KOUNDJOARE</t>
  </si>
  <si>
    <t>MAR-036 AVOUT</t>
  </si>
  <si>
    <t>KAR-090_DIMOR_NE2</t>
  </si>
  <si>
    <t>SAV-055_TCHANWI</t>
  </si>
  <si>
    <t>NASSABLE_NE2</t>
  </si>
  <si>
    <t>KAR-044_NATCHAN</t>
  </si>
  <si>
    <t>MANGO-DOUANE_NE2</t>
  </si>
  <si>
    <t xml:space="preserve">SAV-002_DAPAONG </t>
  </si>
  <si>
    <t>KAR-055_KOUK-GBL</t>
  </si>
  <si>
    <t>SAV-016_DONTOU</t>
  </si>
  <si>
    <t>KAR-050_NABOUL</t>
  </si>
  <si>
    <t>KAR-066_MANGA</t>
  </si>
  <si>
    <t>KOUMONGOU_NE2</t>
  </si>
  <si>
    <t>PLA-020_AGOU</t>
  </si>
  <si>
    <t>NIAMTOUGOU_SA1</t>
  </si>
  <si>
    <t>SAV-004_DAPA-LAM</t>
  </si>
  <si>
    <t>AKEPE_NE2</t>
  </si>
  <si>
    <t>NOTSE_NE2</t>
  </si>
  <si>
    <t>PLA-116_AMOBL</t>
  </si>
  <si>
    <t>PLA-247_WOAME-M</t>
  </si>
  <si>
    <t>EKETO-ELAVAGNON_NE1</t>
  </si>
  <si>
    <t>GBADJAHE_SA3</t>
  </si>
  <si>
    <t>PLA-174_DZEYI</t>
  </si>
  <si>
    <t>HIHEATRO_NE1</t>
  </si>
  <si>
    <t>PLA-136_KPEKPL_NE2</t>
  </si>
  <si>
    <t>WADANY</t>
  </si>
  <si>
    <t>SAV-003_DAPA-COL</t>
  </si>
  <si>
    <t>SAV-027_KORBO</t>
  </si>
  <si>
    <t>SAV-073_AKPOS</t>
  </si>
  <si>
    <t>LOM-003_DICAME_SA</t>
  </si>
  <si>
    <t>NIAMTOUGOU_NE1</t>
  </si>
  <si>
    <t>PORT1_ NE1</t>
  </si>
  <si>
    <t>KAGNIKOPE_MssE</t>
  </si>
  <si>
    <t>PYAKADJIKA_SA</t>
  </si>
  <si>
    <t>CEN-025_AGBAMA</t>
  </si>
  <si>
    <t>TCHALO_SA</t>
  </si>
  <si>
    <t>RPT_WETRO-M_NE2</t>
  </si>
  <si>
    <t>SAGBADO_NE1</t>
  </si>
  <si>
    <t>LOM-067_SEGBE</t>
  </si>
  <si>
    <t>MAR-041_TABLI_NE1</t>
  </si>
  <si>
    <t>MAR-049_TOMETI</t>
  </si>
  <si>
    <t xml:space="preserve">ASRAMA </t>
  </si>
  <si>
    <t>KPOVE_NE1</t>
  </si>
  <si>
    <t>SOKODE_NE3</t>
  </si>
  <si>
    <t>TCHALO_NE2</t>
  </si>
  <si>
    <t>LAMATESSI_NE2</t>
  </si>
  <si>
    <t>SAV-059_NANER</t>
  </si>
  <si>
    <t>TANDJOARE</t>
  </si>
  <si>
    <t>MANGO1</t>
  </si>
  <si>
    <t>BASS-DIGBANDI</t>
  </si>
  <si>
    <t>BADOU1</t>
  </si>
  <si>
    <t>ADETA 1</t>
  </si>
  <si>
    <t>ATTIOGBEKOPE-TSAGBA</t>
  </si>
  <si>
    <t>TCHAREBAOU</t>
  </si>
  <si>
    <t>PLA-068_DANYIE</t>
  </si>
  <si>
    <t>MAR-003_ASSOM_NE2</t>
  </si>
  <si>
    <t>ALIKPODJI</t>
  </si>
  <si>
    <t>WESSOME1</t>
  </si>
  <si>
    <t>MAR-005_DAVIE_SA1</t>
  </si>
  <si>
    <t>PLA-015_KPALI_NE1</t>
  </si>
  <si>
    <t>PLA-016_KPALI2_NE2</t>
  </si>
  <si>
    <t>Chef de Base DFO</t>
  </si>
  <si>
    <t>SRT</t>
  </si>
  <si>
    <t xml:space="preserve">Techniciens FIELD Rx Mob </t>
  </si>
  <si>
    <t>Techniciens FIELD FTTX</t>
  </si>
  <si>
    <t xml:space="preserve">Responsable FO BACKBONE &amp; FTTH </t>
  </si>
  <si>
    <t>Techniciens FO BACKBONE &amp; FTTH</t>
  </si>
  <si>
    <t>Chef  de Base Energie</t>
  </si>
  <si>
    <t>Techniciens Energie</t>
  </si>
  <si>
    <t>WALA - 90 011301</t>
  </si>
  <si>
    <t xml:space="preserve">ANANI - 90149918 </t>
  </si>
  <si>
    <t>SAMTOU - 90141238</t>
  </si>
  <si>
    <t>ALEMA - 70401754</t>
  </si>
  <si>
    <t>LAMBIME-90844946/ PIOU-90953632</t>
  </si>
  <si>
    <t>KAO-70451692</t>
  </si>
  <si>
    <t>ALABA-70450485 /AYEWA-90875239 /DJOBO-90961489</t>
  </si>
  <si>
    <t>SAMTOU - 90141238/PADAWOLO - 92021650</t>
  </si>
  <si>
    <t>ALI TOGUIBARA-90808380 /ALLASSANI-93128798 /AWIDJOLO-70453081</t>
  </si>
  <si>
    <t>GAUTIER - 90100634</t>
  </si>
  <si>
    <t>AGBESSI - 92856040</t>
  </si>
  <si>
    <t>AZIAMADJI-93173647 /ISSA TOURE-90189717</t>
  </si>
  <si>
    <t>PADAWOLO - 92021650</t>
  </si>
  <si>
    <t>LARE-90836231 /NZONOU-70448056 /TILBOORA-90694788</t>
  </si>
  <si>
    <t>KADER - 90083528</t>
  </si>
  <si>
    <t>ISSIFOU SAKOUR - 91470840</t>
  </si>
  <si>
    <t>ATOUKOU-90057676 /BAMAZI-90017542 / YAMBA-90742416</t>
  </si>
  <si>
    <t>SAMTOU - 90141238/ISSIFOU SAKOUR - 91470840</t>
  </si>
  <si>
    <t>ALI DOMINIQUE-90126615 /HOUZOU-90312343 /TCHANGAÏ-90196251</t>
  </si>
  <si>
    <t>TODOM -70452290</t>
  </si>
  <si>
    <t>ABOTSI - 90232758</t>
  </si>
  <si>
    <t>TODOM - 70452290</t>
  </si>
  <si>
    <t>TODOM-70452290</t>
  </si>
  <si>
    <t>ASSIH-70441371</t>
  </si>
  <si>
    <t>MANGANI-90420989</t>
  </si>
  <si>
    <t>NATCHABA-79684034</t>
  </si>
  <si>
    <t>MAKOUYA - 93395013/GABIAM - 93340864</t>
  </si>
  <si>
    <t>OUDANOU - 70456126</t>
  </si>
  <si>
    <t>SAMIRE - 90775489/DOSSOU-YOVO - 70704170/OUNADI - 90313847</t>
  </si>
  <si>
    <t>OURO - 93922077</t>
  </si>
  <si>
    <t>OUDANOU-70456126</t>
  </si>
  <si>
    <t>WASSIOU-90359353</t>
  </si>
  <si>
    <t>PALAKI-91219278 /BONFOH- 90619669</t>
  </si>
  <si>
    <t>ADJEYE - 92102174</t>
  </si>
  <si>
    <t xml:space="preserve">DOUTI-70144041 </t>
  </si>
  <si>
    <t>DOSSEKPLI-92859029 /AGOUDA-90833356 /SIVANYO-92307033</t>
  </si>
  <si>
    <t>BOUTIBIYA - 90023013</t>
  </si>
  <si>
    <t>LORA - 90018471</t>
  </si>
  <si>
    <t>AYEDJINOU  - 90353918</t>
  </si>
  <si>
    <t>YODO - 70455593</t>
  </si>
  <si>
    <t>BOUTIBIYA-90023013</t>
  </si>
  <si>
    <t>VENTURA-90019330 /KOUMBOGLE-92803126</t>
  </si>
  <si>
    <t>BADANARO-90093657</t>
  </si>
  <si>
    <t>ISSAKA-93145822 /KEZIRE-91276178</t>
  </si>
  <si>
    <t>KOUEVI - 90032336</t>
  </si>
  <si>
    <t>KOMABOU 93803377</t>
  </si>
  <si>
    <t>LEMOU-70450227</t>
  </si>
  <si>
    <t>IROUKARA-91545316</t>
  </si>
  <si>
    <t>NOVITAGNI-91392459 /ADJOLA-90610299</t>
  </si>
  <si>
    <t>FOFANA MAHROUF - 90023013</t>
  </si>
  <si>
    <t>DJIKPO - 90706714</t>
  </si>
  <si>
    <t>LEMOU - 70450227</t>
  </si>
  <si>
    <t>HARANGA-91128774 /MARALIWA-92519491</t>
  </si>
  <si>
    <t>MOUSSA - 70420111</t>
  </si>
  <si>
    <t>BATTAH - 91395986/AWIY - A90328461/KOELIWA - 91024297</t>
  </si>
  <si>
    <t>VENTURA-90019330 /KOUMBOGLE-92803125</t>
  </si>
  <si>
    <t>DADJA-91411751 /ANANI-90221162</t>
  </si>
  <si>
    <t>DAOUDA - 90043683</t>
  </si>
  <si>
    <t>BEKETI - 90312326</t>
  </si>
  <si>
    <t>KEZIE - 90724560/PORO - 90660232</t>
  </si>
  <si>
    <t xml:space="preserve">DAOUDA - 70447413 </t>
  </si>
  <si>
    <t>DAOUDA-90043683</t>
  </si>
  <si>
    <t>DAOUDA-70447413</t>
  </si>
  <si>
    <t>BRIAND-90210787</t>
  </si>
  <si>
    <t>TAGBA-DJERI-93203562 /KALABINA-91359149</t>
  </si>
  <si>
    <t>DEGLO - 90061851</t>
  </si>
  <si>
    <t>ALAGLO MAURICE - 90762358/TCHINDI - 90143116/TANANG - 90239788</t>
  </si>
  <si>
    <t>YABRE - 90174158 /witcha - 90349969</t>
  </si>
  <si>
    <t>YABRE-90174158</t>
  </si>
  <si>
    <t>KPOGO-90934123</t>
  </si>
  <si>
    <t>KETEKEOU-91605496 /SANOU-90297337</t>
  </si>
  <si>
    <t>DJADAME - 70454032</t>
  </si>
  <si>
    <t>TAIROU - 93230398/BOUKPESSI MALICK - 71299580</t>
  </si>
  <si>
    <t>DJADAME-70454032</t>
  </si>
  <si>
    <t>MOUZOU-90718624 /AYENDO-90562114</t>
  </si>
  <si>
    <t>BILAZA-70453424</t>
  </si>
  <si>
    <t>ADAM - 90279371</t>
  </si>
  <si>
    <t>TIDJANI - 91142014/BALI - 91849360</t>
  </si>
  <si>
    <t>BOYODI-90082672</t>
  </si>
  <si>
    <t>BOUKARI-92579202 /BATHO-70452949</t>
  </si>
  <si>
    <t>LAKOUGNON - 90131332</t>
  </si>
  <si>
    <t>ALEDI - 93200737/DANEKE - 92288105</t>
  </si>
  <si>
    <t>LAKOUGNON-90131332</t>
  </si>
  <si>
    <t>MANGAMANA-91031370</t>
  </si>
  <si>
    <t>HALAWI-90447616 /MAGAMANA-91031370</t>
  </si>
  <si>
    <t>BALAMA - 90008502</t>
  </si>
  <si>
    <t>EDEM - 92731232/BANAVAI - 90 82 01 53/SETEKPO - 90 51 92 02</t>
  </si>
  <si>
    <t>ATILADE - 90316928</t>
  </si>
  <si>
    <t>BALAMA-92145719</t>
  </si>
  <si>
    <t>ADODO - 90224250/ATILADE - 90316929</t>
  </si>
  <si>
    <t>KONDO-70453102 /N'DAKPAZE-90385424 /SEYOU-70453138 /YACOUBOU-90301638</t>
  </si>
  <si>
    <t>KOSSI IDJO - 70422050</t>
  </si>
  <si>
    <t>EDEM - 92731232/BANAVAI - 90 82 01 53/SETEKPO - 90 51 92 01</t>
  </si>
  <si>
    <t>ATILADE - 90316927</t>
  </si>
  <si>
    <t>KOSSI IDJO-70422050</t>
  </si>
  <si>
    <t>ADODO - 90224250/ATILADE - 90316928</t>
  </si>
  <si>
    <t>ESSE-70452292 /KODO-90899905 /KOLA-91995671</t>
  </si>
  <si>
    <t>TAHAR - 90003766</t>
  </si>
  <si>
    <t>OGMA-70458045</t>
  </si>
  <si>
    <t>TAGBA - 91437890/ALAGLO KOKOU - 90 69 96 02/APLA - 90557685</t>
  </si>
  <si>
    <t>TAGBA - 91437890</t>
  </si>
  <si>
    <t>TAHAR-90003766</t>
  </si>
  <si>
    <t>Adabi-90163042</t>
  </si>
  <si>
    <t>EDJEOU-90284065</t>
  </si>
  <si>
    <t>MEMEM-93398863 /KOUMEYI-90877313</t>
  </si>
  <si>
    <t>YERIMA - 90834590</t>
  </si>
  <si>
    <t>MINZA - 91474924/AGNAH - 90180057</t>
  </si>
  <si>
    <t>KELEOU-90829815</t>
  </si>
  <si>
    <t>NAPO-92632872</t>
  </si>
  <si>
    <t>OLT  NOKIA</t>
  </si>
  <si>
    <t>ADRESSES IP</t>
  </si>
  <si>
    <t>LONGITUDE</t>
  </si>
  <si>
    <t>LATITUDE</t>
  </si>
  <si>
    <t>ROUTEUR</t>
  </si>
  <si>
    <t xml:space="preserve">TYP TRANS </t>
  </si>
  <si>
    <t>ABLOGAME     ( DF/SF)</t>
  </si>
  <si>
    <t>10.178.34.50</t>
  </si>
  <si>
    <t>1.257666667</t>
  </si>
  <si>
    <t>6.136388889</t>
  </si>
  <si>
    <t>ABLO-SAR08-01</t>
  </si>
  <si>
    <t>ADAKAPAME    (  FX4 )</t>
  </si>
  <si>
    <t>10.182.129.114</t>
  </si>
  <si>
    <t>1.293333333</t>
  </si>
  <si>
    <t>6.178444444</t>
  </si>
  <si>
    <t>PORT-IXR-R6-03</t>
  </si>
  <si>
    <t>FO/JARRETIERE DISTANTE</t>
  </si>
  <si>
    <t>ADAMAVO_1      (FX4)</t>
  </si>
  <si>
    <t>10.182.129.242</t>
  </si>
  <si>
    <t>1.316138889</t>
  </si>
  <si>
    <t>6.170780556</t>
  </si>
  <si>
    <t>ADAM1-SAR08-01</t>
  </si>
  <si>
    <t>ADAMAVO_2      (FX4)</t>
  </si>
  <si>
    <t>10.182.129.244</t>
  </si>
  <si>
    <t>ADETA-  (FX4)</t>
  </si>
  <si>
    <t>10.197.241.66</t>
  </si>
  <si>
    <t>ADETA-SRa4-01</t>
  </si>
  <si>
    <t>ADETICOPE       ( FX8)</t>
  </si>
  <si>
    <t>10.182.133.98</t>
  </si>
  <si>
    <t>1.219166667</t>
  </si>
  <si>
    <t>6.323055556</t>
  </si>
  <si>
    <t>ADETI1-IXR-R6-01</t>
  </si>
  <si>
    <t>ADETICOPE( FX8)_2</t>
  </si>
  <si>
    <t>10.197.240.194</t>
  </si>
  <si>
    <t>ADETICOPE _CEG ( FX8)</t>
  </si>
  <si>
    <t>10.197.240.210</t>
  </si>
  <si>
    <t>ADETCEG-IXRec-01</t>
  </si>
  <si>
    <t>ADIDOGOME   (7360  FX8)</t>
  </si>
  <si>
    <t>10.182.128.178</t>
  </si>
  <si>
    <t>1.173725</t>
  </si>
  <si>
    <t>6.177911111</t>
  </si>
  <si>
    <t>ADG1-IXRe-01</t>
  </si>
  <si>
    <t>ADIDOGOME-1   (DF/SF)</t>
  </si>
  <si>
    <t>10.178.33.226</t>
  </si>
  <si>
    <t>ADIDO1-FX16</t>
  </si>
  <si>
    <t>10.204.247.2</t>
  </si>
  <si>
    <t>ADIDO2-FX16</t>
  </si>
  <si>
    <t>10.204.247.18</t>
  </si>
  <si>
    <t>ADG2-IXRe-01</t>
  </si>
  <si>
    <t>ADJOUGBA    (FX8)</t>
  </si>
  <si>
    <t>10.182.129.2</t>
  </si>
  <si>
    <t>1.219111111</t>
  </si>
  <si>
    <t>6.225311111</t>
  </si>
  <si>
    <t>KELE1-IXR-R6-01</t>
  </si>
  <si>
    <t>AEROPORT    (FX8)</t>
  </si>
  <si>
    <t>10.182.129.82</t>
  </si>
  <si>
    <t>1.279355556</t>
  </si>
  <si>
    <t>6.181302778</t>
  </si>
  <si>
    <t xml:space="preserve">PORT-IXR-R6-03 </t>
  </si>
  <si>
    <t>AFIDEGNIGBAN    (FX8)</t>
  </si>
  <si>
    <t>10.182.132.34</t>
  </si>
  <si>
    <t>1.389925</t>
  </si>
  <si>
    <t>6.183577778</t>
  </si>
  <si>
    <t>AFID-IXR-R6-01</t>
  </si>
  <si>
    <t>AGBALEPEDO   (FX16)</t>
  </si>
  <si>
    <t>10.182.134.18</t>
  </si>
  <si>
    <t>1.194722222</t>
  </si>
  <si>
    <t>6.193611111</t>
  </si>
  <si>
    <t xml:space="preserve">CACO-SRa4-03 </t>
  </si>
  <si>
    <t>AGBODRAFO   (FX4)</t>
  </si>
  <si>
    <t>10.182.132.50</t>
  </si>
  <si>
    <t>1.487219444</t>
  </si>
  <si>
    <t>6.212730556</t>
  </si>
  <si>
    <t xml:space="preserve">AGBOD-SRa4-01 </t>
  </si>
  <si>
    <t>AGODEKE  (FX8)</t>
  </si>
  <si>
    <t>10.182.132.2</t>
  </si>
  <si>
    <t>1.363138889</t>
  </si>
  <si>
    <t>6.177527778</t>
  </si>
  <si>
    <t xml:space="preserve">AFID-IXR-R6-01 </t>
  </si>
  <si>
    <t>AMADAHOME 2- FX8</t>
  </si>
  <si>
    <t>10.204.247.34</t>
  </si>
  <si>
    <t>1.147222222</t>
  </si>
  <si>
    <t>6.203333333</t>
  </si>
  <si>
    <t xml:space="preserve">AMAD2-IXRe-01 </t>
  </si>
  <si>
    <t>APEDOKOE  ( FX8)</t>
  </si>
  <si>
    <t>10.182.133.242</t>
  </si>
  <si>
    <t>1.131333333</t>
  </si>
  <si>
    <t>6.20125</t>
  </si>
  <si>
    <t xml:space="preserve">AVED1-IXR-R6-02 </t>
  </si>
  <si>
    <t>APESSITO FX8</t>
  </si>
  <si>
    <t>10.204.247.194</t>
  </si>
  <si>
    <t>APES-IXRe-01</t>
  </si>
  <si>
    <t>ASSIGOME   (FX4)</t>
  </si>
  <si>
    <t>10.182.134.178</t>
  </si>
  <si>
    <t>1.166277778</t>
  </si>
  <si>
    <t>6.22525</t>
  </si>
  <si>
    <t>ASSG-SAR08-01</t>
  </si>
  <si>
    <t>AVEDJI 1    ( DF/SF)</t>
  </si>
  <si>
    <t>10.182.7.114</t>
  </si>
  <si>
    <t>1.176111111</t>
  </si>
  <si>
    <t>6.199444444</t>
  </si>
  <si>
    <t>AVEDJI 1     (FX4)</t>
  </si>
  <si>
    <t>10.197.240.162</t>
  </si>
  <si>
    <t>AVED1-IXR-R6-02</t>
  </si>
  <si>
    <t>AVEDJI 1     (FX8)</t>
  </si>
  <si>
    <t>10.204.247.130</t>
  </si>
  <si>
    <t>AVEDJI 2     (DF/SF)</t>
  </si>
  <si>
    <t>10.182.7.242</t>
  </si>
  <si>
    <t>1.177861111</t>
  </si>
  <si>
    <t>6.208305556</t>
  </si>
  <si>
    <t>AVEDJI 2     (FX16)</t>
  </si>
  <si>
    <t>10.204.247.114</t>
  </si>
  <si>
    <t xml:space="preserve">AVED2-IXRe-01 </t>
  </si>
  <si>
    <t>BAGUIDA   (FX8)</t>
  </si>
  <si>
    <t>10.182.129.34</t>
  </si>
  <si>
    <t>1.33825</t>
  </si>
  <si>
    <t>6.176138889</t>
  </si>
  <si>
    <t>BAG3-IXRe-01</t>
  </si>
  <si>
    <t>BE-CHÂTEAU  ( FX8)</t>
  </si>
  <si>
    <t>10.182.128.98</t>
  </si>
  <si>
    <t>1.245694444</t>
  </si>
  <si>
    <t>6.140805556</t>
  </si>
  <si>
    <t>BECH-IXR-R6-02</t>
  </si>
  <si>
    <t>CACN  ( FX4)</t>
  </si>
  <si>
    <t>10.178.35.130</t>
  </si>
  <si>
    <t>CACN-SRa8-01</t>
  </si>
  <si>
    <t>CACAVELLI  ( FX8)</t>
  </si>
  <si>
    <t>10.197.240.242</t>
  </si>
  <si>
    <t>10.182.135.34</t>
  </si>
  <si>
    <t>CAMP-IXR-R6-02</t>
  </si>
  <si>
    <t>DGTG 1   (DF/SF)</t>
  </si>
  <si>
    <t>10.178.33.178</t>
  </si>
  <si>
    <t>TGTNKP-SRa4-01</t>
  </si>
  <si>
    <t>DGTG  FX16</t>
  </si>
  <si>
    <t>10.182.134.162</t>
  </si>
  <si>
    <t>DGTG 2   (DF/SF)</t>
  </si>
  <si>
    <t>10.182.2.98</t>
  </si>
  <si>
    <t>DICAME    (FX8)</t>
  </si>
  <si>
    <t>10.182.133.130</t>
  </si>
  <si>
    <t>1.229790016</t>
  </si>
  <si>
    <t>6.244259021</t>
  </si>
  <si>
    <t>MOTO-SRa4-01</t>
  </si>
  <si>
    <t>DJAGBLE ( FX16)</t>
  </si>
  <si>
    <t>10.182.133.114</t>
  </si>
  <si>
    <t>1.265472222</t>
  </si>
  <si>
    <t>6.276027778</t>
  </si>
  <si>
    <t>DJAG-IXR-R6-01</t>
  </si>
  <si>
    <t>DJIFAKPOTA  (FX8)</t>
  </si>
  <si>
    <t>10.182.134.114</t>
  </si>
  <si>
    <t>1.272083333</t>
  </si>
  <si>
    <t>6.168277778</t>
  </si>
  <si>
    <t>DJIF-IXRe-01</t>
  </si>
  <si>
    <t>GBADAGO  ( FX4)</t>
  </si>
  <si>
    <t>10.182.129.146</t>
  </si>
  <si>
    <t>1.215888889</t>
  </si>
  <si>
    <t>6.147916667</t>
  </si>
  <si>
    <t>GBAD-IXRe-01</t>
  </si>
  <si>
    <t>GBENYEDJI   (FX4)</t>
  </si>
  <si>
    <t>10.182.128.226</t>
  </si>
  <si>
    <t>1.256969444</t>
  </si>
  <si>
    <t>6.1465</t>
  </si>
  <si>
    <t>GBEN2-SRa4-01</t>
  </si>
  <si>
    <t>GTA  (FX8)</t>
  </si>
  <si>
    <t>10.182.128.162</t>
  </si>
  <si>
    <t>1.211111111</t>
  </si>
  <si>
    <t>6.192169444</t>
  </si>
  <si>
    <t>GTA-IXR-R6-06</t>
  </si>
  <si>
    <t>HEDZRANAWOE  ( DF/SF)</t>
  </si>
  <si>
    <t>10.178.39.226</t>
  </si>
  <si>
    <t>1.2355</t>
  </si>
  <si>
    <t>6.172972222</t>
  </si>
  <si>
    <t>HED1-IXR-R6-03</t>
  </si>
  <si>
    <t>HIHEATRO FX4</t>
  </si>
  <si>
    <t>10.204.247.242</t>
  </si>
  <si>
    <t xml:space="preserve">
HIHE-IXRe-01</t>
  </si>
  <si>
    <t>HOUNTIGOME ( DF/SF)</t>
  </si>
  <si>
    <t>10.182.3.82</t>
  </si>
  <si>
    <t>1.246675</t>
  </si>
  <si>
    <t>6.176858333</t>
  </si>
  <si>
    <t>HGOM-SAR8-01</t>
  </si>
  <si>
    <t>HOUNTIGOME  (7330 FTTN-I)</t>
  </si>
  <si>
    <t>10.182.26.210</t>
  </si>
  <si>
    <t>KEGUE 1  ( DF/SF)</t>
  </si>
  <si>
    <t>10.182.3.146</t>
  </si>
  <si>
    <t>1.233811111</t>
  </si>
  <si>
    <t>6.207730556</t>
  </si>
  <si>
    <t>KEG1-IXR-R6-02</t>
  </si>
  <si>
    <t>KEGUE 2  ( DF/SF)</t>
  </si>
  <si>
    <t>10.182.24.50</t>
  </si>
  <si>
    <t>KEGUE FX8</t>
  </si>
  <si>
    <t>10.197.240.146</t>
  </si>
  <si>
    <t>KODJOVIAKOPE-FX8</t>
  </si>
  <si>
    <t>10.182.134.146</t>
  </si>
  <si>
    <t>1.203888889</t>
  </si>
  <si>
    <t>6.118888889</t>
  </si>
  <si>
    <t>KODJ-IXRec-01</t>
  </si>
  <si>
    <t>KELEGOUGAN   (FX4)</t>
  </si>
  <si>
    <t>10.182.133.162</t>
  </si>
  <si>
    <t>1.239627778</t>
  </si>
  <si>
    <t>6.22235</t>
  </si>
  <si>
    <t>KLEME  ( FX8)</t>
  </si>
  <si>
    <t>10.182.133.194</t>
  </si>
  <si>
    <t>1.141972222</t>
  </si>
  <si>
    <t>6.21225</t>
  </si>
  <si>
    <t>KLEM-IXRe-01</t>
  </si>
  <si>
    <t>KLIKAME  (FX16)</t>
  </si>
  <si>
    <t>10.182.134.34</t>
  </si>
  <si>
    <t>KLIK-IXRe-01</t>
  </si>
  <si>
    <t>KOVE1   (FX8)</t>
  </si>
  <si>
    <t>10.182.129.66</t>
  </si>
  <si>
    <t>1.167741667</t>
  </si>
  <si>
    <t>6.244255556</t>
  </si>
  <si>
    <t>KOVE1-IXRe-01</t>
  </si>
  <si>
    <t>LEGBASSITO  (7362  DF/SF)</t>
  </si>
  <si>
    <t>10.182.129.100</t>
  </si>
  <si>
    <t>1.158111111</t>
  </si>
  <si>
    <t>6.265830556</t>
  </si>
  <si>
    <t>LEGB-IXR-R6-01</t>
  </si>
  <si>
    <t>LEGBASSITO    (FX4)</t>
  </si>
  <si>
    <t>10.182.129.98</t>
  </si>
  <si>
    <t>LEGB-IXRe-01</t>
  </si>
  <si>
    <t>LOGOPE  (FX4)</t>
  </si>
  <si>
    <t>10.182.128.242</t>
  </si>
  <si>
    <t>1.174972222</t>
  </si>
  <si>
    <t>6.228416667</t>
  </si>
  <si>
    <t>LOGO1-IXRe-01</t>
  </si>
  <si>
    <t>LOME RP  ( FX8)</t>
  </si>
  <si>
    <t>10.182.128.210</t>
  </si>
  <si>
    <t>1.224166667</t>
  </si>
  <si>
    <t>6.133611111</t>
  </si>
  <si>
    <t>LOME-IXRec-01</t>
  </si>
  <si>
    <t>LOME_RP-FX16</t>
  </si>
  <si>
    <t>10.182.134.82</t>
  </si>
  <si>
    <t>LOME-sra8-10</t>
  </si>
  <si>
    <t>MADJIKPETO-FX8</t>
  </si>
  <si>
    <t>10.204.247.178</t>
  </si>
  <si>
    <t>MADJ-IXRe-01</t>
  </si>
  <si>
    <t>MINAMADOU  ( FX8)</t>
  </si>
  <si>
    <t>10.182.128.146</t>
  </si>
  <si>
    <t>1.186111111</t>
  </si>
  <si>
    <t>6.224305556</t>
  </si>
  <si>
    <t>MINA-SRa4-01</t>
  </si>
  <si>
    <t>MINAMADOU 1 ( FX16)</t>
  </si>
  <si>
    <t>10.204.247.98</t>
  </si>
  <si>
    <t>NUKAFU   (DF/SF)</t>
  </si>
  <si>
    <t>10.182.26.18</t>
  </si>
  <si>
    <t xml:space="preserve">
NUK1-SRa4-01</t>
  </si>
  <si>
    <t>NUKAFU   (FX4)</t>
  </si>
  <si>
    <t>10.182.134.98</t>
  </si>
  <si>
    <t>PORT   (FTTN-I)</t>
  </si>
  <si>
    <t>10.178.38.114</t>
  </si>
  <si>
    <t>1.275536111</t>
  </si>
  <si>
    <t>6.144297222</t>
  </si>
  <si>
    <t>PORT    (FX8)</t>
  </si>
  <si>
    <t>10.182.134.130</t>
  </si>
  <si>
    <t>SAGBADO 1   (FX8)</t>
  </si>
  <si>
    <t>10.182.133.226</t>
  </si>
  <si>
    <t>1.128616667</t>
  </si>
  <si>
    <t>6.185522222</t>
  </si>
  <si>
    <t>SAGB1-IXRe-01</t>
  </si>
  <si>
    <t>SEGBE  ( FX4)</t>
  </si>
  <si>
    <t>10.182.134.2</t>
  </si>
  <si>
    <t>1.099044444</t>
  </si>
  <si>
    <t>6.180722222</t>
  </si>
  <si>
    <t>SEMINAIRE  ( FX8)</t>
  </si>
  <si>
    <t>10.182.128.130</t>
  </si>
  <si>
    <t>SEMI-IXRe-01</t>
  </si>
  <si>
    <t>SOS   ( FX8)</t>
  </si>
  <si>
    <t>10.182.128.194</t>
  </si>
  <si>
    <t>1.226138889</t>
  </si>
  <si>
    <t>6.165219444</t>
  </si>
  <si>
    <t>SOS-SRa4-01</t>
  </si>
  <si>
    <t>SOVIEPE FX8</t>
  </si>
  <si>
    <t>10.204.247.50</t>
  </si>
  <si>
    <t>SOVI-IXRe-01</t>
  </si>
  <si>
    <t>TELESSOU FX8</t>
  </si>
  <si>
    <t>10.204.247.146</t>
  </si>
  <si>
    <t>1.172861111</t>
  </si>
  <si>
    <t>6.220722222</t>
  </si>
  <si>
    <t>TELE1-IXRe-01</t>
  </si>
  <si>
    <t>TOGO2000 1  (DF/SF)</t>
  </si>
  <si>
    <t>10.182.3.18</t>
  </si>
  <si>
    <t>1.251111111</t>
  </si>
  <si>
    <t>6.191861111</t>
  </si>
  <si>
    <t>TOGO2000 2  (DF/SF)</t>
  </si>
  <si>
    <t>10.182.26.34</t>
  </si>
  <si>
    <t>T2000-IXRe-01</t>
  </si>
  <si>
    <t>TOGO2000 FX8</t>
  </si>
  <si>
    <t>TOTSI 1  ( FX16)</t>
  </si>
  <si>
    <t>10.182.134.50</t>
  </si>
  <si>
    <t>1.1837</t>
  </si>
  <si>
    <t>6.196136111</t>
  </si>
  <si>
    <t>TOTS1-IXRe-01</t>
  </si>
  <si>
    <t>TOTSI 2  ( FX8)</t>
  </si>
  <si>
    <t>10.182.134.66</t>
  </si>
  <si>
    <t>1.186444444</t>
  </si>
  <si>
    <t>6.188388889</t>
  </si>
  <si>
    <t>TOTS2-IXRe-01</t>
  </si>
  <si>
    <t>YOKOE  ( FX8)</t>
  </si>
  <si>
    <t>10.182.129.18</t>
  </si>
  <si>
    <t>1.159138889</t>
  </si>
  <si>
    <t>6.174583333</t>
  </si>
  <si>
    <t>YOKO-IXRe-01</t>
  </si>
  <si>
    <t>ZANGUERA PEAGE  ( FX4)</t>
  </si>
  <si>
    <t>10.182.133.210</t>
  </si>
  <si>
    <t>1.101194444</t>
  </si>
  <si>
    <t>6.229555556</t>
  </si>
  <si>
    <t>VAKPO-IXR-R6-02</t>
  </si>
  <si>
    <t>ZANGUERA 2 ( FX8)</t>
  </si>
  <si>
    <t>10.182.133.178</t>
  </si>
  <si>
    <t>1.12106</t>
  </si>
  <si>
    <t>6.230824</t>
  </si>
  <si>
    <t>ZONGO</t>
  </si>
  <si>
    <t>10.182.129.132</t>
  </si>
  <si>
    <t>1.205944444</t>
  </si>
  <si>
    <t>6.253027778</t>
  </si>
  <si>
    <t>ZON2-IXRe-01</t>
  </si>
  <si>
    <t>ZONGO    (FX4)</t>
  </si>
  <si>
    <t>10.182.129.130</t>
  </si>
  <si>
    <t>ZOSSIME  ( FX8)</t>
  </si>
  <si>
    <t>10.182.129.50</t>
  </si>
  <si>
    <t>1.149166667</t>
  </si>
  <si>
    <t>6.235583333</t>
  </si>
  <si>
    <t>ZOSS-IXR-R6-01</t>
  </si>
  <si>
    <t>AGBONOU 1   ( FX4)</t>
  </si>
  <si>
    <t>10.182.132.242</t>
  </si>
  <si>
    <t>1.148666667</t>
  </si>
  <si>
    <t>AGB2-IXR-R6-01</t>
  </si>
  <si>
    <t>AGBONOU 1   ( FX4)-2</t>
  </si>
  <si>
    <t>10.197.240.114</t>
  </si>
  <si>
    <t>AGBO1-IXRe-01</t>
  </si>
  <si>
    <t>AGBELOUVE-FX4</t>
  </si>
  <si>
    <t>10.204.247.82</t>
  </si>
  <si>
    <t>1.169525</t>
  </si>
  <si>
    <t>6.689897222</t>
  </si>
  <si>
    <t>AGBEL-IXRec-01</t>
  </si>
  <si>
    <t>AGOU-GARE FX4</t>
  </si>
  <si>
    <t>10.204.247.66</t>
  </si>
  <si>
    <t>0.719388889</t>
  </si>
  <si>
    <t>6.847388889</t>
  </si>
  <si>
    <t>AGOG-IXRe-01</t>
  </si>
  <si>
    <t>ANEHO  PEAGE 1   ( DF/SF)</t>
  </si>
  <si>
    <t>10.182.132.130</t>
  </si>
  <si>
    <t>1.568277778</t>
  </si>
  <si>
    <t>6.228</t>
  </si>
  <si>
    <t>ANEHP-SAR08-01</t>
  </si>
  <si>
    <t>ANEHO  PEAGE 2    (DF/SF)</t>
  </si>
  <si>
    <t>10.182.133.2</t>
  </si>
  <si>
    <t>ANEHO 1 RE  ( FX4)</t>
  </si>
  <si>
    <t>10.182.132.66</t>
  </si>
  <si>
    <t>ANEHO 1</t>
  </si>
  <si>
    <t>1.608638889</t>
  </si>
  <si>
    <t>6.253111111</t>
  </si>
  <si>
    <t>ANEH1-IXR-R6-01</t>
  </si>
  <si>
    <t>ANEHO 2      7362   (DF/SF)</t>
  </si>
  <si>
    <t>10.182.132.82</t>
  </si>
  <si>
    <t>ANEH2-SAR08-01</t>
  </si>
  <si>
    <t>ANEHO 3     7362-1   (DF/SF)</t>
  </si>
  <si>
    <t>10.182.132.98</t>
  </si>
  <si>
    <t>ANEH3-SAR08-01</t>
  </si>
  <si>
    <t>ANEHO 3     7362-2  ( DF/SF)</t>
  </si>
  <si>
    <t>10.182.132.114</t>
  </si>
  <si>
    <t>1.615305556</t>
  </si>
  <si>
    <t>6.235333333</t>
  </si>
  <si>
    <t>ANIE-FX4</t>
  </si>
  <si>
    <t>10.197.240.178</t>
  </si>
  <si>
    <t>ANIE1-SRa4-01</t>
  </si>
  <si>
    <t>ATAKPAME- RE  ( FX4)</t>
  </si>
  <si>
    <t>10.182.132.226</t>
  </si>
  <si>
    <t>1.122944444</t>
  </si>
  <si>
    <t>ATKCOM-IXR-R6-01</t>
  </si>
  <si>
    <t>BASSAR-FX4</t>
  </si>
  <si>
    <t>10.182.135.98</t>
  </si>
  <si>
    <t>0.782805556</t>
  </si>
  <si>
    <t>9.255194444</t>
  </si>
  <si>
    <t>BASS1-SRa4-02</t>
  </si>
  <si>
    <t>BLITTA-FX4</t>
  </si>
  <si>
    <t>10.182.135.146</t>
  </si>
  <si>
    <t>1.010555556</t>
  </si>
  <si>
    <t>BLIT-IXR-R6-01</t>
  </si>
  <si>
    <t>CINKASSE  ( FX4)</t>
  </si>
  <si>
    <t>10.182.132.178</t>
  </si>
  <si>
    <t>0.013111111</t>
  </si>
  <si>
    <t>11.10797222</t>
  </si>
  <si>
    <t>CINK-SRa4-01</t>
  </si>
  <si>
    <t>DAPAONG 1    ( FX4)</t>
  </si>
  <si>
    <t>10.182.132.146</t>
  </si>
  <si>
    <t>0.19694</t>
  </si>
  <si>
    <t>10.87563</t>
  </si>
  <si>
    <t>DAPA-SRa4-02</t>
  </si>
  <si>
    <t>DAPAONG 1    ( FX8)</t>
  </si>
  <si>
    <t>10.197.241.18</t>
  </si>
  <si>
    <t>DAPAONG  LAMIREL  (FX4)</t>
  </si>
  <si>
    <t>10.182.132.162</t>
  </si>
  <si>
    <t>DAPAONG  LAMIREL_2  (FX4)</t>
  </si>
  <si>
    <t>DAPAONG  NASSABLE (FX8)</t>
  </si>
  <si>
    <t>10.197.241.34</t>
  </si>
  <si>
    <t>NASB-IXR-R6-01</t>
  </si>
  <si>
    <t>KANTE   (FX4)</t>
  </si>
  <si>
    <t>10.182.135.66</t>
  </si>
  <si>
    <t>1.046805556</t>
  </si>
  <si>
    <t>9.9545</t>
  </si>
  <si>
    <t>KANT-SRa4-02</t>
  </si>
  <si>
    <t>KARA-RE   (FX4)</t>
  </si>
  <si>
    <t>10.182.129.178</t>
  </si>
  <si>
    <t>1.1743</t>
  </si>
  <si>
    <t>9.5499</t>
  </si>
  <si>
    <t>KCOM-IXR-R6-01</t>
  </si>
  <si>
    <t>KARA_RE-FX8</t>
  </si>
  <si>
    <t>10.182.134.194</t>
  </si>
  <si>
    <t>KARA-SUD  (DF/SF)</t>
  </si>
  <si>
    <t>10.182.129.162</t>
  </si>
  <si>
    <t>1.203</t>
  </si>
  <si>
    <t>9.528</t>
  </si>
  <si>
    <t>NON ACTIF</t>
  </si>
  <si>
    <t>KARA_SUD-FX4</t>
  </si>
  <si>
    <t>10.182.134.226</t>
  </si>
  <si>
    <t>KSUD-IXRe-01</t>
  </si>
  <si>
    <t>KARA_SUD-FX8</t>
  </si>
  <si>
    <t>10.182.134.210</t>
  </si>
  <si>
    <t>KARA-TOMDE  (FX4)</t>
  </si>
  <si>
    <t>10.182.129.194</t>
  </si>
  <si>
    <t>1.207666667</t>
  </si>
  <si>
    <t>9.558527778</t>
  </si>
  <si>
    <t>TOMD2-SARM-01</t>
  </si>
  <si>
    <t>KARA_TOMDE-FX4_2</t>
  </si>
  <si>
    <t>10.182.134.242</t>
  </si>
  <si>
    <t>KPALIME 2   (FX4)</t>
  </si>
  <si>
    <t>10.182.133.34</t>
  </si>
  <si>
    <t>0.639916667</t>
  </si>
  <si>
    <t>6.915527778</t>
  </si>
  <si>
    <t>KPAL2-IXRe-01</t>
  </si>
  <si>
    <t>KPALIME KPODJI    (FX4)</t>
  </si>
  <si>
    <t>10.182.133.50</t>
  </si>
  <si>
    <t>0.633583333</t>
  </si>
  <si>
    <t>6.929916667</t>
  </si>
  <si>
    <t>KPAL_KP-IXR-R6-01</t>
  </si>
  <si>
    <t>KPALIME-RE   (FX8)</t>
  </si>
  <si>
    <t>10.182.133.18</t>
  </si>
  <si>
    <t>KPALIME 1</t>
  </si>
  <si>
    <t>0.631277778</t>
  </si>
  <si>
    <t>6.907833333</t>
  </si>
  <si>
    <t>KPAL-IXR-R6-01</t>
  </si>
  <si>
    <t>MANGO-FX4</t>
  </si>
  <si>
    <t>10.182.135.50</t>
  </si>
  <si>
    <t>0.472222222</t>
  </si>
  <si>
    <t>10.35607778</t>
  </si>
  <si>
    <t>MANG-IXR-R6-01</t>
  </si>
  <si>
    <t>NIAMTOUGOU-FX4</t>
  </si>
  <si>
    <t>10.182.135.82</t>
  </si>
  <si>
    <t>1.10985</t>
  </si>
  <si>
    <t>9.759150009</t>
  </si>
  <si>
    <t>NIAM-SRa4-02</t>
  </si>
  <si>
    <t>NOTSE_GAPEDJI-FX8</t>
  </si>
  <si>
    <t>10.182.135.194</t>
  </si>
  <si>
    <t>1.1745</t>
  </si>
  <si>
    <t>6.944194444</t>
  </si>
  <si>
    <t>NOTS-SRa4-01</t>
  </si>
  <si>
    <t>PYA    FX4)</t>
  </si>
  <si>
    <t>10.182.133.146</t>
  </si>
  <si>
    <t>1.148875982</t>
  </si>
  <si>
    <t>9.674654298</t>
  </si>
  <si>
    <t>PYAB-SRa4-01</t>
  </si>
  <si>
    <t>SOKODE  KOMA   (FX4)</t>
  </si>
  <si>
    <t>10.182.132.210</t>
  </si>
  <si>
    <t>1.14711</t>
  </si>
  <si>
    <t>AKAM-IXR-R6-01</t>
  </si>
  <si>
    <t>SOKODE  KOMA-2   (FX4)</t>
  </si>
  <si>
    <t>10.182.135.18</t>
  </si>
  <si>
    <t>SOKODE_POSTE-FX4</t>
  </si>
  <si>
    <t>10.182.135.2</t>
  </si>
  <si>
    <t>1.140277778</t>
  </si>
  <si>
    <t>SOK5-IXR6-01</t>
  </si>
  <si>
    <t>SOKODE  POSTE  ( FX8)</t>
  </si>
  <si>
    <t>10.182.132.194</t>
  </si>
  <si>
    <t>SOTOUBOUA-FX4</t>
  </si>
  <si>
    <t>10.182.135.178</t>
  </si>
  <si>
    <t>0.994913889</t>
  </si>
  <si>
    <t>SOTO-SRa4-02</t>
  </si>
  <si>
    <t>TEMEDJA-FX4</t>
  </si>
  <si>
    <t>10.204.247.226</t>
  </si>
  <si>
    <t>TEME-IXRe-01</t>
  </si>
  <si>
    <t>TABLIGBO1-FX4</t>
  </si>
  <si>
    <t>10.197.240.226</t>
  </si>
  <si>
    <t>TABL1-IXR-R6-01</t>
  </si>
  <si>
    <t>TCHAMBA-FX4</t>
  </si>
  <si>
    <t>10.182.135.162</t>
  </si>
  <si>
    <t>1.4307</t>
  </si>
  <si>
    <t>9.0238</t>
  </si>
  <si>
    <t>TCHBS-IXRe-01</t>
  </si>
  <si>
    <t>TSEVIE1  ( FX8)</t>
  </si>
  <si>
    <t>10.197.241.2</t>
  </si>
  <si>
    <t>1.210278</t>
  </si>
  <si>
    <t>6.423886</t>
  </si>
  <si>
    <t>TSEV-IXR-R6-01</t>
  </si>
  <si>
    <t>TSEVIE-RE  ( FX4)</t>
  </si>
  <si>
    <t>10.182.133.66</t>
  </si>
  <si>
    <t>TSEVIE- WUGBA   (FX4)</t>
  </si>
  <si>
    <t>10.182.133.82</t>
  </si>
  <si>
    <t>1°13'31.44"</t>
  </si>
  <si>
    <t>6°25'20.6"</t>
  </si>
  <si>
    <t>VOGAN FX4</t>
  </si>
  <si>
    <t>10.204.247.162</t>
  </si>
  <si>
    <t>VOGA-IXRec-01</t>
  </si>
  <si>
    <t>AWANDJELO (DF/SF)</t>
  </si>
  <si>
    <t>10.182.135.114</t>
  </si>
  <si>
    <t>1.214083333</t>
  </si>
  <si>
    <t>9.440388889</t>
  </si>
  <si>
    <t>AWAND-IXRec-01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</si>
</sst>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"/>
    <numFmt numFmtId="165" formatCode="dd/mm/yy;@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Raleway"/>
    </font>
    <font>
      <sz val="12"/>
      <color theme="1"/>
      <name val="Raleway"/>
    </font>
    <font>
      <b/>
      <sz val="16"/>
      <color theme="0"/>
      <name val="Raleway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color theme="1"/>
      <name val="Raleway"/>
    </font>
    <font>
      <sz val="9"/>
      <color rgb="FF000000"/>
      <name val="Raleway"/>
    </font>
    <font>
      <b/>
      <sz val="16"/>
      <color theme="1"/>
      <name val="Raleway"/>
    </font>
    <font>
      <sz val="18"/>
      <color theme="1"/>
      <name val="Raleway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left"/>
    </xf>
    <xf numFmtId="0" fontId="3" fillId="3" borderId="5" xfId="0" applyFont="1" applyFill="1" applyBorder="1"/>
    <xf numFmtId="0" fontId="3" fillId="4" borderId="5" xfId="0" applyFont="1" applyFill="1" applyBorder="1"/>
    <xf numFmtId="0" fontId="0" fillId="0" borderId="5" xfId="0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0" fillId="5" borderId="1" xfId="0" applyFill="1" applyBorder="1"/>
    <xf numFmtId="0" fontId="0" fillId="0" borderId="6" xfId="0" applyBorder="1"/>
    <xf numFmtId="0" fontId="0" fillId="6" borderId="1" xfId="0" applyFill="1" applyBorder="1"/>
    <xf numFmtId="0" fontId="4" fillId="0" borderId="1" xfId="0" applyFont="1" applyBorder="1"/>
    <xf numFmtId="0" fontId="5" fillId="8" borderId="1" xfId="0" applyFont="1" applyFill="1" applyBorder="1"/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/>
    <xf numFmtId="0" fontId="7" fillId="7" borderId="1" xfId="0" applyFont="1" applyFill="1" applyBorder="1" applyAlignment="1">
      <alignment horizontal="left" vertical="center"/>
    </xf>
    <xf numFmtId="0" fontId="8" fillId="0" borderId="1" xfId="0" applyFont="1" applyBorder="1"/>
    <xf numFmtId="0" fontId="0" fillId="9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43" fontId="0" fillId="0" borderId="1" xfId="1" applyFont="1" applyBorder="1"/>
    <xf numFmtId="43" fontId="0" fillId="0" borderId="1" xfId="1" applyFont="1" applyBorder="1" applyAlignment="1">
      <alignment horizontal="left"/>
    </xf>
    <xf numFmtId="43" fontId="0" fillId="0" borderId="0" xfId="1" applyFont="1"/>
    <xf numFmtId="0" fontId="10" fillId="0" borderId="0" xfId="0" applyFont="1"/>
    <xf numFmtId="0" fontId="11" fillId="2" borderId="0" xfId="0" applyFont="1" applyFill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0" fillId="0" borderId="8" xfId="0" applyBorder="1"/>
    <xf numFmtId="0" fontId="12" fillId="0" borderId="1" xfId="0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0" fillId="0" borderId="4" xfId="0" applyFont="1" applyBorder="1"/>
    <xf numFmtId="165" fontId="10" fillId="0" borderId="4" xfId="0" applyNumberFormat="1" applyFont="1" applyBorder="1"/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2" fillId="0" borderId="9" xfId="0" applyFont="1" applyBorder="1" applyAlignment="1">
      <alignment vertical="center"/>
    </xf>
    <xf numFmtId="0" fontId="14" fillId="7" borderId="10" xfId="0" applyFont="1" applyFill="1" applyBorder="1" applyAlignment="1">
      <alignment horizontal="left" vertical="center"/>
    </xf>
    <xf numFmtId="0" fontId="14" fillId="7" borderId="11" xfId="0" applyFont="1" applyFill="1" applyBorder="1" applyAlignment="1">
      <alignment horizontal="left" vertical="center"/>
    </xf>
    <xf numFmtId="0" fontId="14" fillId="7" borderId="12" xfId="0" applyFont="1" applyFill="1" applyBorder="1" applyAlignment="1">
      <alignment horizontal="left" vertical="center"/>
    </xf>
    <xf numFmtId="0" fontId="14" fillId="7" borderId="13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5" fillId="10" borderId="1" xfId="0" applyFont="1" applyFill="1" applyBorder="1"/>
    <xf numFmtId="0" fontId="15" fillId="8" borderId="1" xfId="0" applyFont="1" applyFill="1" applyBorder="1"/>
    <xf numFmtId="0" fontId="5" fillId="8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16" fillId="0" borderId="1" xfId="2" applyBorder="1"/>
    <xf numFmtId="0" fontId="5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5" fillId="12" borderId="1" xfId="0" applyFont="1" applyFill="1" applyBorder="1" applyAlignment="1">
      <alignment horizontal="left"/>
    </xf>
    <xf numFmtId="0" fontId="0" fillId="13" borderId="0" xfId="0" applyFill="1"/>
  </cellXfs>
  <cellStyles count="3">
    <cellStyle name="Lien hypertexte" xfId="2" builtinId="8"/>
    <cellStyle name="Milliers" xfId="1" builtinId="3"/>
    <cellStyle name="Normal" xfId="0" builtinId="0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A9D08E"/>
          <bgColor rgb="FFA9D08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C7CE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/mm/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7030A0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reau%20gbati\ENERGIE%20BASE%20DE%20DONNE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tchen\Downloads\Annuaire%20actualis&#233;%20des%20sites_26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>
        <row r="1">
          <cell r="A1" t="str">
            <v>SITE NAME</v>
          </cell>
          <cell r="B1" t="str">
            <v>DATE MES</v>
          </cell>
          <cell r="C1" t="str">
            <v>SITE ID</v>
          </cell>
          <cell r="D1" t="str">
            <v>REGION</v>
          </cell>
          <cell r="E1" t="str">
            <v>BASE</v>
          </cell>
          <cell r="F1" t="str">
            <v>TYP TRANS</v>
          </cell>
          <cell r="G1" t="str">
            <v>TYP ENERGIE</v>
          </cell>
          <cell r="H1" t="str">
            <v>GE AUTO</v>
          </cell>
          <cell r="I1" t="str">
            <v>SITE LITHIUM</v>
          </cell>
          <cell r="J1" t="str">
            <v>SITE ESM</v>
          </cell>
          <cell r="K1" t="str">
            <v>CLASSIF TECH</v>
          </cell>
          <cell r="L1" t="str">
            <v>TYPE SITE</v>
          </cell>
          <cell r="M1" t="str">
            <v>NUMERO AGENT</v>
          </cell>
          <cell r="N1" t="str">
            <v>ZONE</v>
          </cell>
        </row>
        <row r="2">
          <cell r="A2" t="str">
            <v>ABLOGAME</v>
          </cell>
          <cell r="B2">
            <v>38200</v>
          </cell>
          <cell r="C2" t="str">
            <v>LOM-169</v>
          </cell>
          <cell r="D2" t="str">
            <v>LOME</v>
          </cell>
          <cell r="E2" t="str">
            <v>LOME-SUD</v>
          </cell>
          <cell r="F2" t="str">
            <v>FO</v>
          </cell>
          <cell r="G2" t="str">
            <v>Grid-DG-Batt.</v>
          </cell>
          <cell r="H2" t="str">
            <v>OK</v>
          </cell>
          <cell r="I2" t="str">
            <v>NO</v>
          </cell>
          <cell r="J2" t="str">
            <v>NO</v>
          </cell>
          <cell r="K2" t="str">
            <v>PLATINUM</v>
          </cell>
          <cell r="L2" t="str">
            <v>Urbain</v>
          </cell>
          <cell r="M2" t="str">
            <v>70996518</v>
          </cell>
          <cell r="N2" t="str">
            <v>LOME SUD</v>
          </cell>
        </row>
        <row r="3">
          <cell r="A3" t="str">
            <v>ABOBOKOME</v>
          </cell>
          <cell r="B3">
            <v>42879</v>
          </cell>
          <cell r="C3" t="str">
            <v>LOM-161</v>
          </cell>
          <cell r="D3" t="str">
            <v>LOME</v>
          </cell>
          <cell r="E3" t="str">
            <v>LOME-SUD</v>
          </cell>
          <cell r="F3" t="str">
            <v>FO</v>
          </cell>
          <cell r="G3" t="str">
            <v>Grid-Batt.</v>
          </cell>
          <cell r="H3" t="str">
            <v>N/A</v>
          </cell>
          <cell r="I3" t="str">
            <v>YES</v>
          </cell>
          <cell r="J3" t="str">
            <v>YES</v>
          </cell>
          <cell r="K3" t="str">
            <v>GOLD</v>
          </cell>
          <cell r="L3" t="str">
            <v>Urbain</v>
          </cell>
          <cell r="M3">
            <v>0</v>
          </cell>
          <cell r="N3" t="str">
            <v>LOME SUD</v>
          </cell>
        </row>
        <row r="4">
          <cell r="A4" t="str">
            <v>ABOBO-MOOV</v>
          </cell>
          <cell r="B4">
            <v>43557</v>
          </cell>
          <cell r="C4" t="str">
            <v>MAR-020</v>
          </cell>
          <cell r="D4" t="str">
            <v>MARITIME</v>
          </cell>
          <cell r="E4" t="str">
            <v>ANEHO</v>
          </cell>
          <cell r="F4" t="str">
            <v>FH</v>
          </cell>
          <cell r="G4" t="str">
            <v>Grid-DG-Batt.</v>
          </cell>
          <cell r="H4" t="str">
            <v>OK</v>
          </cell>
          <cell r="I4" t="str">
            <v>NO</v>
          </cell>
          <cell r="J4" t="str">
            <v>YES</v>
          </cell>
          <cell r="K4" t="str">
            <v>BRONZE</v>
          </cell>
          <cell r="L4" t="str">
            <v>rural</v>
          </cell>
          <cell r="M4">
            <v>70996542</v>
          </cell>
          <cell r="N4" t="str">
            <v>ANEHO</v>
          </cell>
        </row>
        <row r="5">
          <cell r="A5" t="str">
            <v>ABOTCHI</v>
          </cell>
          <cell r="B5">
            <v>45048</v>
          </cell>
          <cell r="C5" t="str">
            <v>PLA-244</v>
          </cell>
          <cell r="D5" t="str">
            <v>PLATEAUX</v>
          </cell>
          <cell r="E5" t="str">
            <v>ATAKPAME-EST</v>
          </cell>
          <cell r="F5" t="str">
            <v>FH</v>
          </cell>
          <cell r="G5" t="str">
            <v>DG-Solar-Batt.</v>
          </cell>
          <cell r="H5" t="str">
            <v>OK</v>
          </cell>
          <cell r="I5" t="str">
            <v>NO</v>
          </cell>
          <cell r="J5" t="str">
            <v>YES</v>
          </cell>
          <cell r="K5" t="str">
            <v>BRONZE</v>
          </cell>
          <cell r="L5" t="str">
            <v>rural</v>
          </cell>
          <cell r="M5">
            <v>70997361</v>
          </cell>
          <cell r="N5" t="str">
            <v>ELAVAGNON</v>
          </cell>
        </row>
        <row r="6">
          <cell r="A6" t="str">
            <v>ACOLE</v>
          </cell>
          <cell r="B6">
            <v>43802</v>
          </cell>
          <cell r="C6" t="str">
            <v>PLA-090</v>
          </cell>
          <cell r="D6" t="str">
            <v>CENTRALE</v>
          </cell>
          <cell r="E6" t="str">
            <v>BLITTA</v>
          </cell>
          <cell r="F6" t="str">
            <v>FH</v>
          </cell>
          <cell r="G6" t="str">
            <v>DG-Solar-Batt.</v>
          </cell>
          <cell r="H6" t="str">
            <v>OK</v>
          </cell>
          <cell r="I6" t="str">
            <v>NO</v>
          </cell>
          <cell r="J6" t="str">
            <v>NO</v>
          </cell>
          <cell r="K6" t="str">
            <v>BRONZE</v>
          </cell>
          <cell r="L6" t="str">
            <v>rural</v>
          </cell>
          <cell r="M6">
            <v>0</v>
          </cell>
          <cell r="N6" t="str">
            <v>ELAVAGNON</v>
          </cell>
        </row>
        <row r="7">
          <cell r="A7" t="str">
            <v>ADAKPAME</v>
          </cell>
          <cell r="B7">
            <v>43247</v>
          </cell>
          <cell r="C7" t="str">
            <v>LOM-184</v>
          </cell>
          <cell r="D7" t="str">
            <v>LOME</v>
          </cell>
          <cell r="E7" t="str">
            <v>LOME-EST</v>
          </cell>
          <cell r="F7" t="str">
            <v>FO</v>
          </cell>
          <cell r="G7" t="str">
            <v>Grid-DG-Batt.</v>
          </cell>
          <cell r="H7" t="str">
            <v>OK</v>
          </cell>
          <cell r="I7" t="str">
            <v>NO</v>
          </cell>
          <cell r="J7" t="str">
            <v>NO</v>
          </cell>
          <cell r="K7" t="str">
            <v>SILVER</v>
          </cell>
          <cell r="L7" t="str">
            <v>Urbain</v>
          </cell>
          <cell r="M7" t="str">
            <v>70996543</v>
          </cell>
          <cell r="N7" t="str">
            <v>LOME EST</v>
          </cell>
        </row>
        <row r="8">
          <cell r="A8" t="str">
            <v>ADAKPAME2</v>
          </cell>
          <cell r="B8">
            <v>43187</v>
          </cell>
          <cell r="C8" t="str">
            <v>LOM-291</v>
          </cell>
          <cell r="D8" t="str">
            <v>LOME</v>
          </cell>
          <cell r="E8" t="str">
            <v>LOME-EST</v>
          </cell>
          <cell r="F8" t="str">
            <v>FTTM</v>
          </cell>
          <cell r="G8" t="str">
            <v>Grid-DG-Batt.</v>
          </cell>
          <cell r="H8" t="str">
            <v>OK</v>
          </cell>
          <cell r="I8" t="str">
            <v>NO</v>
          </cell>
          <cell r="J8" t="str">
            <v>YES</v>
          </cell>
          <cell r="K8" t="str">
            <v>SILVER</v>
          </cell>
          <cell r="L8" t="str">
            <v>SubUrbain</v>
          </cell>
          <cell r="M8" t="str">
            <v>70996449</v>
          </cell>
          <cell r="N8" t="str">
            <v>LOME EST</v>
          </cell>
        </row>
        <row r="9">
          <cell r="A9" t="str">
            <v>ADAMAVO</v>
          </cell>
          <cell r="B9">
            <v>43247</v>
          </cell>
          <cell r="C9" t="str">
            <v>LOM-176</v>
          </cell>
          <cell r="D9" t="str">
            <v>LOME</v>
          </cell>
          <cell r="E9" t="str">
            <v>LOME-EST</v>
          </cell>
          <cell r="F9" t="str">
            <v>FO</v>
          </cell>
          <cell r="G9" t="str">
            <v>Grid-DG-Batt.</v>
          </cell>
          <cell r="H9" t="str">
            <v>NOK</v>
          </cell>
          <cell r="I9" t="str">
            <v>NO</v>
          </cell>
          <cell r="J9" t="str">
            <v>NO</v>
          </cell>
          <cell r="K9" t="str">
            <v>SILVER</v>
          </cell>
          <cell r="L9" t="str">
            <v>Urbain</v>
          </cell>
          <cell r="M9" t="str">
            <v>70996519</v>
          </cell>
          <cell r="N9" t="str">
            <v>LOME EST</v>
          </cell>
        </row>
        <row r="10">
          <cell r="A10" t="str">
            <v>ADAMAVO2</v>
          </cell>
          <cell r="B10">
            <v>43247</v>
          </cell>
          <cell r="C10" t="str">
            <v>LOM-185</v>
          </cell>
          <cell r="D10" t="str">
            <v>LOME</v>
          </cell>
          <cell r="E10" t="str">
            <v>LOME-EST</v>
          </cell>
          <cell r="F10" t="str">
            <v>FO</v>
          </cell>
          <cell r="G10" t="str">
            <v>Grid-DG-Batt.</v>
          </cell>
          <cell r="H10" t="str">
            <v>OK</v>
          </cell>
          <cell r="I10" t="str">
            <v>NO</v>
          </cell>
          <cell r="J10" t="str">
            <v>NO</v>
          </cell>
          <cell r="K10" t="str">
            <v>GOLD</v>
          </cell>
          <cell r="L10" t="str">
            <v>Urbain</v>
          </cell>
          <cell r="M10" t="str">
            <v>70996544</v>
          </cell>
          <cell r="N10" t="str">
            <v>LOME EST</v>
          </cell>
        </row>
        <row r="11">
          <cell r="A11" t="str">
            <v>ADAMAVO3</v>
          </cell>
          <cell r="B11">
            <v>43238</v>
          </cell>
          <cell r="C11" t="str">
            <v>LOM-177</v>
          </cell>
          <cell r="D11" t="str">
            <v>LOME</v>
          </cell>
          <cell r="E11" t="str">
            <v>LOME-EST</v>
          </cell>
          <cell r="F11" t="str">
            <v>FO</v>
          </cell>
          <cell r="G11" t="str">
            <v>Grid-DG-Batt.</v>
          </cell>
          <cell r="H11" t="str">
            <v>OK</v>
          </cell>
          <cell r="I11" t="str">
            <v>NO</v>
          </cell>
          <cell r="J11" t="str">
            <v>NO</v>
          </cell>
          <cell r="K11" t="str">
            <v>GOLD</v>
          </cell>
          <cell r="L11" t="str">
            <v>Urbain</v>
          </cell>
          <cell r="M11" t="str">
            <v>70996545</v>
          </cell>
          <cell r="N11" t="str">
            <v>LOME EST</v>
          </cell>
        </row>
        <row r="12">
          <cell r="A12" t="str">
            <v>ADAMAVO4</v>
          </cell>
          <cell r="B12">
            <v>44847</v>
          </cell>
          <cell r="C12" t="str">
            <v>LOM-331</v>
          </cell>
          <cell r="D12" t="str">
            <v>LOME</v>
          </cell>
          <cell r="E12" t="str">
            <v>LOME-EST</v>
          </cell>
          <cell r="F12" t="str">
            <v>FH</v>
          </cell>
          <cell r="G12" t="str">
            <v>Grid-DG-Batt.</v>
          </cell>
          <cell r="H12" t="str">
            <v>OK</v>
          </cell>
          <cell r="I12" t="str">
            <v>NO</v>
          </cell>
          <cell r="J12" t="str">
            <v>YES</v>
          </cell>
          <cell r="K12" t="str">
            <v>SILVER</v>
          </cell>
          <cell r="L12" t="str">
            <v>Urbain</v>
          </cell>
          <cell r="M12">
            <v>0</v>
          </cell>
          <cell r="N12" t="str">
            <v>LOME EST</v>
          </cell>
        </row>
        <row r="13">
          <cell r="A13" t="str">
            <v>ADANKA</v>
          </cell>
          <cell r="B13">
            <v>43783</v>
          </cell>
          <cell r="C13" t="str">
            <v>PLA-128</v>
          </cell>
          <cell r="D13" t="str">
            <v>PLATEAUX</v>
          </cell>
          <cell r="E13" t="str">
            <v>NOTSE</v>
          </cell>
          <cell r="F13" t="str">
            <v>FH</v>
          </cell>
          <cell r="G13" t="str">
            <v>Grid-DG-Batt.</v>
          </cell>
          <cell r="H13" t="str">
            <v>OK</v>
          </cell>
          <cell r="I13" t="str">
            <v>NO</v>
          </cell>
          <cell r="J13" t="str">
            <v>NO</v>
          </cell>
          <cell r="K13" t="str">
            <v>BRONZE</v>
          </cell>
          <cell r="L13" t="str">
            <v>rural</v>
          </cell>
          <cell r="M13" t="str">
            <v>70996546</v>
          </cell>
          <cell r="N13" t="str">
            <v>NOTSE</v>
          </cell>
        </row>
        <row r="14">
          <cell r="A14" t="str">
            <v>ADANYIHOHOE</v>
          </cell>
          <cell r="B14">
            <v>44561</v>
          </cell>
          <cell r="C14" t="str">
            <v>PLA-189</v>
          </cell>
          <cell r="D14" t="str">
            <v>PLATEAUX</v>
          </cell>
          <cell r="E14" t="str">
            <v>NOTSE</v>
          </cell>
          <cell r="F14" t="str">
            <v>FH</v>
          </cell>
          <cell r="G14" t="str">
            <v>DG-Solar-Batt.</v>
          </cell>
          <cell r="H14" t="str">
            <v>OK</v>
          </cell>
          <cell r="I14" t="str">
            <v>NO</v>
          </cell>
          <cell r="J14" t="str">
            <v>YES</v>
          </cell>
          <cell r="K14" t="str">
            <v>BRONZE</v>
          </cell>
          <cell r="L14" t="str">
            <v>rural</v>
          </cell>
          <cell r="M14" t="str">
            <v>70996404</v>
          </cell>
          <cell r="N14" t="str">
            <v>NOTSE</v>
          </cell>
        </row>
        <row r="15">
          <cell r="A15" t="str">
            <v>ADAWLATO</v>
          </cell>
          <cell r="B15">
            <v>39753</v>
          </cell>
          <cell r="C15" t="str">
            <v>LOM-145</v>
          </cell>
          <cell r="D15" t="str">
            <v>LOME</v>
          </cell>
          <cell r="E15" t="str">
            <v>LOME-SUD</v>
          </cell>
          <cell r="F15" t="str">
            <v>FH</v>
          </cell>
          <cell r="G15" t="str">
            <v>Grid-Batt.</v>
          </cell>
          <cell r="H15" t="str">
            <v>N/A</v>
          </cell>
          <cell r="I15" t="str">
            <v>YES</v>
          </cell>
          <cell r="J15" t="str">
            <v>YES</v>
          </cell>
          <cell r="K15" t="str">
            <v>PLATINUM</v>
          </cell>
          <cell r="L15" t="str">
            <v>Urbain</v>
          </cell>
          <cell r="M15">
            <v>0</v>
          </cell>
          <cell r="N15" t="str">
            <v>LOME SUD</v>
          </cell>
        </row>
        <row r="16">
          <cell r="A16" t="str">
            <v>ADAWLATO2</v>
          </cell>
          <cell r="B16"/>
          <cell r="C16" t="str">
            <v>LOM-146</v>
          </cell>
          <cell r="D16" t="str">
            <v>LOME</v>
          </cell>
          <cell r="E16" t="str">
            <v>LOME-SUD</v>
          </cell>
          <cell r="F16" t="str">
            <v>FH</v>
          </cell>
          <cell r="G16" t="str">
            <v>Grid-Batt.</v>
          </cell>
          <cell r="H16" t="str">
            <v>N/A</v>
          </cell>
          <cell r="I16" t="str">
            <v>NO</v>
          </cell>
          <cell r="J16" t="e">
            <v>#N/A</v>
          </cell>
          <cell r="K16" t="str">
            <v>GOLD</v>
          </cell>
          <cell r="L16" t="str">
            <v>Urbain</v>
          </cell>
          <cell r="M16"/>
          <cell r="N16" t="str">
            <v>LOME-SUD</v>
          </cell>
        </row>
        <row r="17">
          <cell r="A17" t="str">
            <v>ADAWLATO2_PENTA</v>
          </cell>
          <cell r="B17">
            <v>39814</v>
          </cell>
          <cell r="C17" t="str">
            <v>LOM-146</v>
          </cell>
          <cell r="D17" t="str">
            <v>LOME</v>
          </cell>
          <cell r="E17" t="str">
            <v>LOME-SUD</v>
          </cell>
          <cell r="F17" t="str">
            <v>FO</v>
          </cell>
          <cell r="G17" t="str">
            <v>Grid-Batt.</v>
          </cell>
          <cell r="H17" t="str">
            <v>N/A</v>
          </cell>
          <cell r="I17" t="str">
            <v>YES</v>
          </cell>
          <cell r="J17" t="str">
            <v>NO</v>
          </cell>
          <cell r="K17" t="e">
            <v>#N/A</v>
          </cell>
          <cell r="L17" t="e">
            <v>#N/A</v>
          </cell>
          <cell r="M17" t="str">
            <v>91111353 /92653319</v>
          </cell>
          <cell r="N17" t="str">
            <v>LOME SUD</v>
          </cell>
        </row>
        <row r="18">
          <cell r="A18" t="str">
            <v>ADAWLATO3</v>
          </cell>
          <cell r="B18">
            <v>40548</v>
          </cell>
          <cell r="C18" t="str">
            <v>LOM-147</v>
          </cell>
          <cell r="D18" t="str">
            <v>LOME</v>
          </cell>
          <cell r="E18" t="str">
            <v>LOME-SUD</v>
          </cell>
          <cell r="F18" t="str">
            <v>FO</v>
          </cell>
          <cell r="G18" t="str">
            <v>Grid-Batt.</v>
          </cell>
          <cell r="H18" t="str">
            <v>N/A</v>
          </cell>
          <cell r="I18" t="str">
            <v>YES</v>
          </cell>
          <cell r="J18" t="str">
            <v>YES</v>
          </cell>
          <cell r="K18" t="str">
            <v>PLATINUM</v>
          </cell>
          <cell r="L18" t="str">
            <v>Urbain</v>
          </cell>
          <cell r="M18" t="str">
            <v>70996547</v>
          </cell>
          <cell r="N18" t="str">
            <v>LOME SUD</v>
          </cell>
        </row>
        <row r="19">
          <cell r="A19" t="str">
            <v>ADELO</v>
          </cell>
          <cell r="B19">
            <v>43790</v>
          </cell>
          <cell r="C19" t="str">
            <v>KAR-100</v>
          </cell>
          <cell r="D19" t="str">
            <v>KARA</v>
          </cell>
          <cell r="E19" t="str">
            <v>KANTE</v>
          </cell>
          <cell r="F19" t="str">
            <v>FH</v>
          </cell>
          <cell r="G19" t="str">
            <v>DG-Solar-Batt.</v>
          </cell>
          <cell r="H19" t="str">
            <v>NOK</v>
          </cell>
          <cell r="I19" t="str">
            <v>NO</v>
          </cell>
          <cell r="J19" t="str">
            <v>NO</v>
          </cell>
          <cell r="K19" t="str">
            <v>BRONZE</v>
          </cell>
          <cell r="L19" t="str">
            <v>rural</v>
          </cell>
          <cell r="M19" t="str">
            <v>70996548</v>
          </cell>
          <cell r="N19" t="str">
            <v>KANTE</v>
          </cell>
        </row>
        <row r="20">
          <cell r="A20" t="str">
            <v>ADETA</v>
          </cell>
          <cell r="B20"/>
          <cell r="C20" t="str">
            <v>PLA-061</v>
          </cell>
          <cell r="D20" t="str">
            <v>MARITIME</v>
          </cell>
          <cell r="E20" t="str">
            <v>KPALIME</v>
          </cell>
          <cell r="F20" t="str">
            <v>FO</v>
          </cell>
          <cell r="G20" t="str">
            <v>Grid-DG-Batt.</v>
          </cell>
          <cell r="H20" t="str">
            <v>NOK</v>
          </cell>
          <cell r="I20" t="str">
            <v>NO</v>
          </cell>
          <cell r="J20" t="str">
            <v>YES</v>
          </cell>
          <cell r="K20" t="str">
            <v>GOLD</v>
          </cell>
          <cell r="L20" t="str">
            <v>SubUrbain</v>
          </cell>
          <cell r="M20" t="str">
            <v>70996549</v>
          </cell>
          <cell r="N20" t="str">
            <v>KPALIME</v>
          </cell>
        </row>
        <row r="21">
          <cell r="A21" t="str">
            <v>ADETA2-MOOV</v>
          </cell>
          <cell r="B21">
            <v>44826</v>
          </cell>
          <cell r="C21" t="str">
            <v>PLA-209</v>
          </cell>
          <cell r="D21" t="str">
            <v>MARITIME</v>
          </cell>
          <cell r="E21" t="str">
            <v>KPALIME</v>
          </cell>
          <cell r="F21" t="str">
            <v>FH</v>
          </cell>
          <cell r="G21" t="str">
            <v>Grid-DG-Batt.</v>
          </cell>
          <cell r="H21" t="str">
            <v>OK</v>
          </cell>
          <cell r="I21" t="str">
            <v>NO</v>
          </cell>
          <cell r="J21" t="str">
            <v>YES</v>
          </cell>
          <cell r="K21" t="str">
            <v>SILVER</v>
          </cell>
          <cell r="L21" t="str">
            <v>Urbain</v>
          </cell>
          <cell r="M21" t="e">
            <v>#N/A</v>
          </cell>
          <cell r="N21" t="str">
            <v>KPALIME</v>
          </cell>
        </row>
        <row r="22">
          <cell r="A22" t="str">
            <v>ADETIKOPE</v>
          </cell>
          <cell r="B22">
            <v>43800</v>
          </cell>
          <cell r="C22" t="str">
            <v>LOM-002</v>
          </cell>
          <cell r="D22" t="str">
            <v>LOME</v>
          </cell>
          <cell r="E22" t="str">
            <v>LOME-NORD</v>
          </cell>
          <cell r="F22" t="str">
            <v>FO</v>
          </cell>
          <cell r="G22" t="str">
            <v>Grid-DG-Batt.</v>
          </cell>
          <cell r="H22" t="str">
            <v>OK</v>
          </cell>
          <cell r="I22" t="str">
            <v>NO</v>
          </cell>
          <cell r="J22" t="str">
            <v>YES</v>
          </cell>
          <cell r="K22" t="str">
            <v>GOLD</v>
          </cell>
          <cell r="L22" t="str">
            <v>Urbain</v>
          </cell>
          <cell r="M22" t="str">
            <v>70996520</v>
          </cell>
          <cell r="N22" t="str">
            <v>LOME NORD</v>
          </cell>
        </row>
        <row r="23">
          <cell r="A23" t="str">
            <v>ADETIKOPE5</v>
          </cell>
          <cell r="B23">
            <v>45262</v>
          </cell>
          <cell r="C23" t="str">
            <v>LOM-356</v>
          </cell>
          <cell r="D23" t="str">
            <v>LOME</v>
          </cell>
          <cell r="E23" t="str">
            <v>LOME-NORD</v>
          </cell>
          <cell r="F23" t="str">
            <v>FH</v>
          </cell>
          <cell r="G23" t="str">
            <v>Grid-DG-Batt.</v>
          </cell>
          <cell r="H23" t="str">
            <v>OK</v>
          </cell>
          <cell r="I23" t="str">
            <v>NO</v>
          </cell>
          <cell r="J23" t="str">
            <v>NO</v>
          </cell>
          <cell r="K23" t="str">
            <v>GOLD</v>
          </cell>
          <cell r="L23" t="str">
            <v>URBAN</v>
          </cell>
          <cell r="M23" t="e">
            <v>#N/A</v>
          </cell>
          <cell r="N23" t="str">
            <v>LOME NORD</v>
          </cell>
        </row>
        <row r="24">
          <cell r="A24" t="str">
            <v>ADETIKOPE2</v>
          </cell>
          <cell r="B24">
            <v>41445</v>
          </cell>
          <cell r="C24" t="str">
            <v>LOM-021</v>
          </cell>
          <cell r="D24" t="str">
            <v>LOME</v>
          </cell>
          <cell r="E24" t="str">
            <v>LOME-NORD</v>
          </cell>
          <cell r="F24" t="str">
            <v>FO</v>
          </cell>
          <cell r="G24" t="str">
            <v>Grid-DG-Batt.</v>
          </cell>
          <cell r="H24" t="str">
            <v>OK</v>
          </cell>
          <cell r="I24" t="str">
            <v>NO</v>
          </cell>
          <cell r="J24" t="str">
            <v>NO</v>
          </cell>
          <cell r="K24" t="str">
            <v>GOLD</v>
          </cell>
          <cell r="L24" t="str">
            <v>Urbain</v>
          </cell>
          <cell r="M24" t="str">
            <v>70996550</v>
          </cell>
          <cell r="N24" t="str">
            <v>LOME NORD</v>
          </cell>
        </row>
        <row r="25">
          <cell r="A25" t="str">
            <v>ADETIKOPE3</v>
          </cell>
          <cell r="B25">
            <v>43265</v>
          </cell>
          <cell r="C25" t="str">
            <v>LOM-211</v>
          </cell>
          <cell r="D25" t="str">
            <v>LOME</v>
          </cell>
          <cell r="E25" t="str">
            <v>LOME-NORD</v>
          </cell>
          <cell r="F25" t="str">
            <v>FH</v>
          </cell>
          <cell r="G25" t="str">
            <v>Grid-DG-Batt.</v>
          </cell>
          <cell r="H25" t="str">
            <v>OK</v>
          </cell>
          <cell r="I25" t="str">
            <v>NO</v>
          </cell>
          <cell r="J25" t="str">
            <v>NO</v>
          </cell>
          <cell r="K25" t="str">
            <v>SILVER</v>
          </cell>
          <cell r="L25" t="str">
            <v>Urbain</v>
          </cell>
          <cell r="M25" t="str">
            <v>70996551</v>
          </cell>
          <cell r="N25" t="str">
            <v>LOME NORD</v>
          </cell>
        </row>
        <row r="26">
          <cell r="A26" t="str">
            <v>ADETIKOPE7</v>
          </cell>
          <cell r="B26">
            <v>44608</v>
          </cell>
          <cell r="C26" t="str">
            <v>LOM-293</v>
          </cell>
          <cell r="D26" t="str">
            <v>LOME</v>
          </cell>
          <cell r="E26" t="str">
            <v>LOME-NORD</v>
          </cell>
          <cell r="F26" t="str">
            <v>FH</v>
          </cell>
          <cell r="G26" t="str">
            <v>Grid-DG-Batt.</v>
          </cell>
          <cell r="H26" t="str">
            <v>OK</v>
          </cell>
          <cell r="I26" t="str">
            <v>NO</v>
          </cell>
          <cell r="J26" t="str">
            <v>YES</v>
          </cell>
          <cell r="K26" t="str">
            <v>SILVER</v>
          </cell>
          <cell r="L26" t="str">
            <v>SubUrbain</v>
          </cell>
          <cell r="M26" t="str">
            <v>70996450</v>
          </cell>
          <cell r="N26" t="str">
            <v>LOME NORD</v>
          </cell>
        </row>
        <row r="27">
          <cell r="A27" t="str">
            <v>ADETIKOPE-AGBEKOVI</v>
          </cell>
          <cell r="B27">
            <v>44608</v>
          </cell>
          <cell r="C27" t="str">
            <v>LOM-292</v>
          </cell>
          <cell r="D27" t="str">
            <v>LOME</v>
          </cell>
          <cell r="E27" t="str">
            <v>LOME-NORD</v>
          </cell>
          <cell r="F27" t="str">
            <v>FH</v>
          </cell>
          <cell r="G27" t="str">
            <v>Grid-DG-Batt.</v>
          </cell>
          <cell r="H27" t="str">
            <v>OK</v>
          </cell>
          <cell r="I27" t="str">
            <v>NO</v>
          </cell>
          <cell r="J27" t="str">
            <v>YES</v>
          </cell>
          <cell r="K27" t="str">
            <v>BRONZE</v>
          </cell>
          <cell r="L27" t="str">
            <v>SubUrbain</v>
          </cell>
          <cell r="M27" t="str">
            <v>70996451</v>
          </cell>
          <cell r="N27" t="str">
            <v>LOME NORD</v>
          </cell>
        </row>
        <row r="28">
          <cell r="A28" t="str">
            <v>ADETIKOPE-AGOUTE</v>
          </cell>
          <cell r="B28">
            <v>44130</v>
          </cell>
          <cell r="C28" t="str">
            <v>LOM-210</v>
          </cell>
          <cell r="D28" t="str">
            <v>LOME</v>
          </cell>
          <cell r="E28" t="str">
            <v>LOME-NORD</v>
          </cell>
          <cell r="F28" t="str">
            <v>FH</v>
          </cell>
          <cell r="G28" t="str">
            <v>Grid-DG-Batt.</v>
          </cell>
          <cell r="H28" t="str">
            <v>N/A</v>
          </cell>
          <cell r="I28" t="str">
            <v>NO</v>
          </cell>
          <cell r="J28" t="e">
            <v>#N/A</v>
          </cell>
          <cell r="K28" t="str">
            <v>GOLD</v>
          </cell>
          <cell r="L28" t="str">
            <v>SubUrbain</v>
          </cell>
          <cell r="M28" t="e">
            <v>#N/A</v>
          </cell>
          <cell r="N28" t="str">
            <v>LOME-NORD</v>
          </cell>
        </row>
        <row r="29">
          <cell r="A29" t="str">
            <v>ADETIKOPE-CEG</v>
          </cell>
          <cell r="B29">
            <v>45282</v>
          </cell>
          <cell r="C29" t="str">
            <v>LOM-391</v>
          </cell>
          <cell r="D29" t="str">
            <v>LOME</v>
          </cell>
          <cell r="E29" t="str">
            <v>LOME-NORD</v>
          </cell>
          <cell r="F29" t="str">
            <v>FH</v>
          </cell>
          <cell r="G29" t="str">
            <v>Grid-DG-Batt.</v>
          </cell>
          <cell r="H29" t="str">
            <v>OK</v>
          </cell>
          <cell r="I29" t="str">
            <v>NO</v>
          </cell>
          <cell r="J29" t="str">
            <v>NO</v>
          </cell>
          <cell r="K29" t="str">
            <v>SILVER</v>
          </cell>
          <cell r="L29" t="str">
            <v>Urban</v>
          </cell>
          <cell r="M29">
            <v>0</v>
          </cell>
          <cell r="N29" t="str">
            <v>LOME NORD</v>
          </cell>
        </row>
        <row r="30">
          <cell r="A30" t="str">
            <v>ADETIKOPE-KLADJEME</v>
          </cell>
          <cell r="B30">
            <v>43876</v>
          </cell>
          <cell r="C30" t="str">
            <v>LOM-239</v>
          </cell>
          <cell r="D30" t="str">
            <v>LOME</v>
          </cell>
          <cell r="E30" t="str">
            <v>LOME-NORD</v>
          </cell>
          <cell r="F30" t="str">
            <v>FH</v>
          </cell>
          <cell r="G30" t="str">
            <v>Grid-DG-Batt.</v>
          </cell>
          <cell r="H30" t="str">
            <v>OK</v>
          </cell>
          <cell r="I30" t="str">
            <v>NO</v>
          </cell>
          <cell r="J30" t="str">
            <v>NO</v>
          </cell>
          <cell r="K30" t="str">
            <v>GOLD</v>
          </cell>
          <cell r="L30" t="str">
            <v>Urbain</v>
          </cell>
          <cell r="M30" t="str">
            <v>70996552</v>
          </cell>
          <cell r="N30" t="str">
            <v>LOME NORD</v>
          </cell>
        </row>
        <row r="31">
          <cell r="A31" t="str">
            <v>ADEWI</v>
          </cell>
          <cell r="B31">
            <v>37926</v>
          </cell>
          <cell r="C31" t="str">
            <v>LOM-128</v>
          </cell>
          <cell r="D31" t="str">
            <v>LOME</v>
          </cell>
          <cell r="E31" t="str">
            <v>LOME-CENTRE</v>
          </cell>
          <cell r="F31" t="str">
            <v>FO</v>
          </cell>
          <cell r="G31" t="str">
            <v>Grid-DG-Batt.</v>
          </cell>
          <cell r="H31" t="str">
            <v>OK</v>
          </cell>
          <cell r="I31" t="str">
            <v>NO</v>
          </cell>
          <cell r="J31" t="str">
            <v>YES</v>
          </cell>
          <cell r="K31" t="str">
            <v>SILVER</v>
          </cell>
          <cell r="L31" t="str">
            <v>Urbain</v>
          </cell>
          <cell r="M31" t="str">
            <v>70996521</v>
          </cell>
          <cell r="N31" t="str">
            <v>LOME CENTRE</v>
          </cell>
        </row>
        <row r="32">
          <cell r="A32" t="str">
            <v>ADIDOADIN</v>
          </cell>
          <cell r="B32">
            <v>40455</v>
          </cell>
          <cell r="C32" t="str">
            <v>LOM-015</v>
          </cell>
          <cell r="D32" t="str">
            <v>LOME</v>
          </cell>
          <cell r="E32" t="str">
            <v>LOME-NORD</v>
          </cell>
          <cell r="F32" t="str">
            <v>FO</v>
          </cell>
          <cell r="G32" t="str">
            <v>Grid-Batt.</v>
          </cell>
          <cell r="H32" t="str">
            <v>N/A</v>
          </cell>
          <cell r="I32" t="str">
            <v>YES</v>
          </cell>
          <cell r="J32" t="str">
            <v>YES</v>
          </cell>
          <cell r="K32" t="str">
            <v>GOLD</v>
          </cell>
          <cell r="L32" t="str">
            <v>Urbain</v>
          </cell>
          <cell r="M32">
            <v>0</v>
          </cell>
          <cell r="N32" t="str">
            <v>LOME NORD</v>
          </cell>
        </row>
        <row r="33">
          <cell r="A33" t="str">
            <v>ADIDOGOME</v>
          </cell>
          <cell r="B33"/>
          <cell r="C33" t="str">
            <v>LOM-076</v>
          </cell>
          <cell r="D33" t="str">
            <v>LOME</v>
          </cell>
          <cell r="E33" t="str">
            <v>LOME-OUEST 2</v>
          </cell>
          <cell r="F33" t="str">
            <v>FO</v>
          </cell>
          <cell r="G33" t="str">
            <v>Grid-DG-Batt.</v>
          </cell>
          <cell r="H33" t="str">
            <v>OK</v>
          </cell>
          <cell r="I33" t="str">
            <v>YES</v>
          </cell>
          <cell r="J33" t="str">
            <v>NO</v>
          </cell>
          <cell r="K33" t="str">
            <v>GOLD</v>
          </cell>
          <cell r="L33" t="str">
            <v>Urbain</v>
          </cell>
          <cell r="M33">
            <v>0</v>
          </cell>
          <cell r="N33" t="str">
            <v>LOME OUEST2</v>
          </cell>
        </row>
        <row r="34">
          <cell r="A34" t="str">
            <v>ADIDOGOME2</v>
          </cell>
          <cell r="B34">
            <v>38687</v>
          </cell>
          <cell r="C34" t="str">
            <v>LOM-070</v>
          </cell>
          <cell r="D34" t="str">
            <v>LOME</v>
          </cell>
          <cell r="E34" t="str">
            <v>LOME-OUEST 2</v>
          </cell>
          <cell r="F34" t="str">
            <v>FO</v>
          </cell>
          <cell r="G34" t="str">
            <v>Grid-DG-Batt.</v>
          </cell>
          <cell r="H34" t="str">
            <v>OK</v>
          </cell>
          <cell r="I34" t="str">
            <v>NO</v>
          </cell>
          <cell r="J34" t="str">
            <v>NO</v>
          </cell>
          <cell r="K34" t="str">
            <v>GOLD</v>
          </cell>
          <cell r="L34" t="str">
            <v>Urbain</v>
          </cell>
          <cell r="M34" t="str">
            <v>70996553</v>
          </cell>
          <cell r="N34" t="str">
            <v>LOME OUEST2</v>
          </cell>
        </row>
        <row r="35">
          <cell r="A35" t="str">
            <v>ADIDOGOME3</v>
          </cell>
          <cell r="B35">
            <v>40192</v>
          </cell>
          <cell r="C35" t="str">
            <v>LOM-082</v>
          </cell>
          <cell r="D35" t="str">
            <v>LOME</v>
          </cell>
          <cell r="E35" t="str">
            <v>LOME-OUEST 2</v>
          </cell>
          <cell r="F35" t="str">
            <v>FH</v>
          </cell>
          <cell r="G35" t="str">
            <v>Grid-DG-Batt.</v>
          </cell>
          <cell r="H35" t="str">
            <v>NOK</v>
          </cell>
          <cell r="I35" t="str">
            <v>NO</v>
          </cell>
          <cell r="J35" t="str">
            <v>NO</v>
          </cell>
          <cell r="K35" t="str">
            <v>BRONZE</v>
          </cell>
          <cell r="L35" t="str">
            <v>Urbain</v>
          </cell>
          <cell r="M35">
            <v>0</v>
          </cell>
          <cell r="N35" t="str">
            <v>LOME OUEST2</v>
          </cell>
        </row>
        <row r="36">
          <cell r="A36" t="str">
            <v>ADIDOGOME4</v>
          </cell>
          <cell r="B36">
            <v>45098</v>
          </cell>
          <cell r="C36" t="str">
            <v>LOM-357</v>
          </cell>
          <cell r="D36" t="str">
            <v>LOME</v>
          </cell>
          <cell r="E36" t="str">
            <v>LOME-OUEST 2</v>
          </cell>
          <cell r="F36" t="str">
            <v>FH</v>
          </cell>
          <cell r="G36" t="str">
            <v>Grid-DG-Batt.</v>
          </cell>
          <cell r="H36" t="str">
            <v>OK</v>
          </cell>
          <cell r="I36" t="str">
            <v>NO</v>
          </cell>
          <cell r="J36" t="str">
            <v>NO</v>
          </cell>
          <cell r="K36" t="str">
            <v>BRONZE</v>
          </cell>
          <cell r="L36" t="str">
            <v>Urbain</v>
          </cell>
          <cell r="M36">
            <v>70997311</v>
          </cell>
          <cell r="N36" t="str">
            <v>LOME OUEST2</v>
          </cell>
        </row>
        <row r="37">
          <cell r="A37" t="str">
            <v>ADIDOGOME-ASSIYEYE</v>
          </cell>
          <cell r="B37">
            <v>45237</v>
          </cell>
          <cell r="C37" t="str">
            <v>LOM-369</v>
          </cell>
          <cell r="D37" t="str">
            <v>LOME</v>
          </cell>
          <cell r="E37" t="str">
            <v>LOME-OUEST 2</v>
          </cell>
          <cell r="F37" t="str">
            <v>FH</v>
          </cell>
          <cell r="G37" t="str">
            <v>Grid-DG-Batt.</v>
          </cell>
          <cell r="H37" t="str">
            <v>OK</v>
          </cell>
          <cell r="I37" t="str">
            <v>NO</v>
          </cell>
          <cell r="J37" t="str">
            <v>NO</v>
          </cell>
          <cell r="K37" t="str">
            <v>SILVER</v>
          </cell>
          <cell r="L37" t="str">
            <v>URBAN</v>
          </cell>
          <cell r="M37">
            <v>0</v>
          </cell>
          <cell r="N37" t="str">
            <v>LOME OUEST2</v>
          </cell>
        </row>
        <row r="38">
          <cell r="A38" t="str">
            <v>ADJAGOUDA-KOPE</v>
          </cell>
          <cell r="B38">
            <v>45015</v>
          </cell>
          <cell r="C38" t="str">
            <v>PLA-210</v>
          </cell>
          <cell r="D38" t="e">
            <v>#N/A</v>
          </cell>
          <cell r="E38" t="e">
            <v>#N/A</v>
          </cell>
          <cell r="F38" t="str">
            <v>FH</v>
          </cell>
          <cell r="G38" t="str">
            <v>DG-Solar-Batt.</v>
          </cell>
          <cell r="H38" t="str">
            <v>OK</v>
          </cell>
          <cell r="I38" t="str">
            <v>NO</v>
          </cell>
          <cell r="J38" t="str">
            <v>YES</v>
          </cell>
          <cell r="K38" t="str">
            <v>BRONZE</v>
          </cell>
          <cell r="L38" t="str">
            <v>rural</v>
          </cell>
          <cell r="M38" t="e">
            <v>#N/A</v>
          </cell>
          <cell r="N38" t="str">
            <v>ELAVAGNON</v>
          </cell>
        </row>
        <row r="39">
          <cell r="A39" t="str">
            <v>ADJAMGBADE</v>
          </cell>
          <cell r="B39">
            <v>38626</v>
          </cell>
          <cell r="C39" t="str">
            <v>KAR-034</v>
          </cell>
          <cell r="D39" t="str">
            <v>KARA</v>
          </cell>
          <cell r="E39" t="str">
            <v>KARA-OUEST</v>
          </cell>
          <cell r="F39" t="str">
            <v>FO</v>
          </cell>
          <cell r="G39" t="str">
            <v>Grid-DG-Batt.</v>
          </cell>
          <cell r="H39" t="str">
            <v>OK</v>
          </cell>
          <cell r="I39" t="str">
            <v>NO</v>
          </cell>
          <cell r="J39" t="str">
            <v>NO</v>
          </cell>
          <cell r="K39" t="str">
            <v>BRONZE</v>
          </cell>
          <cell r="L39" t="str">
            <v>SubUrbain</v>
          </cell>
          <cell r="M39">
            <v>0</v>
          </cell>
          <cell r="N39" t="str">
            <v>KARA OUEST</v>
          </cell>
        </row>
        <row r="40">
          <cell r="A40" t="str">
            <v>ADJENGRE</v>
          </cell>
          <cell r="B40"/>
          <cell r="C40" t="str">
            <v>CEN-036</v>
          </cell>
          <cell r="D40" t="str">
            <v>CENTRALE</v>
          </cell>
          <cell r="E40" t="str">
            <v>SOKODE</v>
          </cell>
          <cell r="F40" t="str">
            <v>FO</v>
          </cell>
          <cell r="G40" t="str">
            <v>Grid-DG-Batt.</v>
          </cell>
          <cell r="H40" t="str">
            <v>OK</v>
          </cell>
          <cell r="I40" t="str">
            <v>NO</v>
          </cell>
          <cell r="J40" t="str">
            <v>NO</v>
          </cell>
          <cell r="K40" t="str">
            <v>SILVER</v>
          </cell>
          <cell r="L40" t="str">
            <v>SubUrbain</v>
          </cell>
          <cell r="M40" t="str">
            <v>70996554</v>
          </cell>
          <cell r="N40" t="str">
            <v>SOKODE</v>
          </cell>
        </row>
        <row r="41">
          <cell r="A41" t="str">
            <v>ADJENGRE-MARCHE</v>
          </cell>
          <cell r="B41">
            <v>45251</v>
          </cell>
          <cell r="C41" t="str">
            <v>CEN-121</v>
          </cell>
          <cell r="D41" t="str">
            <v>CENTRALE</v>
          </cell>
          <cell r="E41" t="str">
            <v>SOKODE</v>
          </cell>
          <cell r="F41" t="str">
            <v>FH</v>
          </cell>
          <cell r="G41" t="str">
            <v>Grid-DG-Batt.</v>
          </cell>
          <cell r="H41" t="str">
            <v>OK</v>
          </cell>
          <cell r="I41" t="str">
            <v>NO</v>
          </cell>
          <cell r="J41" t="str">
            <v>NO</v>
          </cell>
          <cell r="K41" t="str">
            <v>SILVER</v>
          </cell>
          <cell r="L41" t="str">
            <v>URBAN</v>
          </cell>
          <cell r="M41" t="e">
            <v>#N/A</v>
          </cell>
          <cell r="N41" t="str">
            <v>SOKODE</v>
          </cell>
        </row>
        <row r="42">
          <cell r="A42" t="str">
            <v>ADJOGUIDI</v>
          </cell>
          <cell r="B42">
            <v>44540</v>
          </cell>
          <cell r="C42" t="str">
            <v>LOM-286</v>
          </cell>
          <cell r="D42" t="str">
            <v>LOME</v>
          </cell>
          <cell r="E42" t="str">
            <v>LOME-CENTRE</v>
          </cell>
          <cell r="F42" t="str">
            <v>FH</v>
          </cell>
          <cell r="G42" t="str">
            <v>DG-Solar-Batt.</v>
          </cell>
          <cell r="H42" t="str">
            <v>OK</v>
          </cell>
          <cell r="I42" t="str">
            <v>NO</v>
          </cell>
          <cell r="J42" t="str">
            <v>YES</v>
          </cell>
          <cell r="K42" t="str">
            <v>BRONZE</v>
          </cell>
          <cell r="L42" t="str">
            <v>SubUrbain</v>
          </cell>
          <cell r="M42" t="str">
            <v>70996405</v>
          </cell>
          <cell r="N42" t="str">
            <v>LOME CENTRE</v>
          </cell>
        </row>
        <row r="43">
          <cell r="A43" t="str">
            <v>ADJOUGBA</v>
          </cell>
          <cell r="B43">
            <v>37926</v>
          </cell>
          <cell r="C43" t="str">
            <v>LOM-005</v>
          </cell>
          <cell r="D43" t="str">
            <v>LOME</v>
          </cell>
          <cell r="E43" t="str">
            <v>LOME-NORD</v>
          </cell>
          <cell r="F43" t="str">
            <v>FO</v>
          </cell>
          <cell r="G43" t="str">
            <v>Grid-DG-Batt.</v>
          </cell>
          <cell r="H43" t="str">
            <v>NOK</v>
          </cell>
          <cell r="I43" t="str">
            <v>NO</v>
          </cell>
          <cell r="J43" t="str">
            <v>YES</v>
          </cell>
          <cell r="K43" t="str">
            <v>SILVER</v>
          </cell>
          <cell r="L43" t="str">
            <v>Urbain</v>
          </cell>
          <cell r="M43" t="str">
            <v>70996525</v>
          </cell>
          <cell r="N43" t="str">
            <v>LOME NORD</v>
          </cell>
        </row>
        <row r="44">
          <cell r="A44" t="str">
            <v>ADJOUGBA2</v>
          </cell>
          <cell r="B44">
            <v>43124</v>
          </cell>
          <cell r="C44" t="str">
            <v>LOM-033</v>
          </cell>
          <cell r="D44" t="str">
            <v>LOME</v>
          </cell>
          <cell r="E44" t="str">
            <v>LOME-CENTRE</v>
          </cell>
          <cell r="F44" t="str">
            <v>FH</v>
          </cell>
          <cell r="G44" t="str">
            <v>Grid-Batt.</v>
          </cell>
          <cell r="H44" t="str">
            <v>N/A</v>
          </cell>
          <cell r="I44" t="str">
            <v>YES</v>
          </cell>
          <cell r="J44" t="str">
            <v>NO</v>
          </cell>
          <cell r="K44" t="str">
            <v>BRONZE</v>
          </cell>
          <cell r="L44" t="str">
            <v>Urbain</v>
          </cell>
          <cell r="M44">
            <v>0</v>
          </cell>
          <cell r="N44" t="str">
            <v>LOME CENTRE</v>
          </cell>
        </row>
        <row r="45">
          <cell r="A45" t="str">
            <v>ADJOUGBA3</v>
          </cell>
          <cell r="B45">
            <v>44848</v>
          </cell>
          <cell r="C45" t="str">
            <v>LOM-367</v>
          </cell>
          <cell r="D45" t="str">
            <v>LOME</v>
          </cell>
          <cell r="E45" t="str">
            <v>LOME-NORD</v>
          </cell>
          <cell r="F45" t="str">
            <v>FTTM</v>
          </cell>
          <cell r="G45" t="str">
            <v>Grid-DG-Batt.</v>
          </cell>
          <cell r="H45" t="str">
            <v>OK</v>
          </cell>
          <cell r="I45" t="str">
            <v>NO</v>
          </cell>
          <cell r="J45" t="str">
            <v>YES</v>
          </cell>
          <cell r="K45" t="str">
            <v>SILVER</v>
          </cell>
          <cell r="L45" t="str">
            <v>Urbain</v>
          </cell>
          <cell r="M45" t="e">
            <v>#N/A</v>
          </cell>
          <cell r="N45" t="str">
            <v>LOME NORD</v>
          </cell>
        </row>
        <row r="46">
          <cell r="A46" t="str">
            <v>ADOMI-ABRA</v>
          </cell>
          <cell r="B46">
            <v>45147</v>
          </cell>
          <cell r="C46" t="str">
            <v>PLA-241</v>
          </cell>
          <cell r="D46" t="str">
            <v>PLATEAUX</v>
          </cell>
          <cell r="E46" t="str">
            <v>BADOU</v>
          </cell>
          <cell r="F46" t="str">
            <v>FH</v>
          </cell>
          <cell r="G46" t="str">
            <v>DG-Solar-Batt.</v>
          </cell>
          <cell r="H46" t="str">
            <v>OK</v>
          </cell>
          <cell r="I46" t="str">
            <v>NO</v>
          </cell>
          <cell r="J46" t="str">
            <v>NO</v>
          </cell>
          <cell r="K46" t="str">
            <v>BRONZE</v>
          </cell>
          <cell r="L46" t="str">
            <v>rural</v>
          </cell>
          <cell r="M46">
            <v>0</v>
          </cell>
          <cell r="N46" t="str">
            <v>BADOU</v>
          </cell>
        </row>
        <row r="47">
          <cell r="A47" t="str">
            <v>ADOUGBELAN</v>
          </cell>
          <cell r="B47">
            <v>43888</v>
          </cell>
          <cell r="C47" t="str">
            <v>PLA-153</v>
          </cell>
          <cell r="D47" t="str">
            <v>PLATEAUX</v>
          </cell>
          <cell r="E47" t="str">
            <v>ATAKPAME-EST</v>
          </cell>
          <cell r="F47" t="str">
            <v>FH</v>
          </cell>
          <cell r="G47" t="str">
            <v>DG-Batt.</v>
          </cell>
          <cell r="H47" t="str">
            <v>NOK</v>
          </cell>
          <cell r="I47" t="str">
            <v>YES</v>
          </cell>
          <cell r="J47" t="str">
            <v>YES</v>
          </cell>
          <cell r="K47" t="str">
            <v>BRONZE</v>
          </cell>
          <cell r="L47" t="str">
            <v>rural</v>
          </cell>
          <cell r="M47" t="str">
            <v>70996555</v>
          </cell>
          <cell r="N47" t="str">
            <v>ATAKPAME</v>
          </cell>
        </row>
        <row r="48">
          <cell r="A48" t="str">
            <v>ADZOVE</v>
          </cell>
          <cell r="B48">
            <v>44548</v>
          </cell>
          <cell r="C48" t="str">
            <v>LOM-266</v>
          </cell>
          <cell r="D48" t="str">
            <v>LOME</v>
          </cell>
          <cell r="E48" t="str">
            <v>LOME-NORD</v>
          </cell>
          <cell r="F48" t="str">
            <v>FH</v>
          </cell>
          <cell r="G48" t="str">
            <v>Grid-DG-Batt.</v>
          </cell>
          <cell r="H48" t="str">
            <v>OK</v>
          </cell>
          <cell r="I48" t="str">
            <v>NO</v>
          </cell>
          <cell r="J48" t="str">
            <v>YES</v>
          </cell>
          <cell r="K48" t="str">
            <v>SILVER</v>
          </cell>
          <cell r="L48" t="str">
            <v>Urbain</v>
          </cell>
          <cell r="M48" t="str">
            <v>70996452</v>
          </cell>
          <cell r="N48" t="str">
            <v>LOME NORD</v>
          </cell>
        </row>
        <row r="49">
          <cell r="A49" t="str">
            <v>ADZOVE-MOOV</v>
          </cell>
          <cell r="B49">
            <v>45143</v>
          </cell>
          <cell r="C49" t="str">
            <v>MAR-144</v>
          </cell>
          <cell r="D49" t="str">
            <v>MARITIME</v>
          </cell>
          <cell r="E49" t="str">
            <v>TSEVIE</v>
          </cell>
          <cell r="F49" t="str">
            <v>FH</v>
          </cell>
          <cell r="G49" t="str">
            <v>DG-Solar-Batt.</v>
          </cell>
          <cell r="H49" t="str">
            <v>OK</v>
          </cell>
          <cell r="I49" t="str">
            <v>NO</v>
          </cell>
          <cell r="J49" t="str">
            <v>YES</v>
          </cell>
          <cell r="K49" t="str">
            <v>BRONZE</v>
          </cell>
          <cell r="L49" t="str">
            <v>rural</v>
          </cell>
          <cell r="M49">
            <v>0</v>
          </cell>
          <cell r="N49" t="str">
            <v>TSEVIE</v>
          </cell>
        </row>
        <row r="50">
          <cell r="A50" t="str">
            <v>AEROGARE</v>
          </cell>
          <cell r="B50">
            <v>43020</v>
          </cell>
          <cell r="C50" t="str">
            <v>LOM-202</v>
          </cell>
          <cell r="D50" t="str">
            <v>LOME</v>
          </cell>
          <cell r="E50" t="str">
            <v>LOME-CENTRE</v>
          </cell>
          <cell r="F50" t="str">
            <v>FO</v>
          </cell>
          <cell r="G50" t="str">
            <v>Grid-Batt.</v>
          </cell>
          <cell r="H50" t="str">
            <v>N/A</v>
          </cell>
          <cell r="I50" t="str">
            <v>NO</v>
          </cell>
          <cell r="J50" t="str">
            <v>NO</v>
          </cell>
          <cell r="K50" t="str">
            <v>PLATINUM</v>
          </cell>
          <cell r="L50" t="str">
            <v>Urbain</v>
          </cell>
          <cell r="M50">
            <v>0</v>
          </cell>
          <cell r="N50" t="str">
            <v>LOME CENTRE</v>
          </cell>
        </row>
        <row r="51">
          <cell r="A51" t="str">
            <v>AEROGARE-IBS</v>
          </cell>
          <cell r="B51"/>
          <cell r="C51" t="str">
            <v>LOM-203</v>
          </cell>
          <cell r="D51" t="str">
            <v>LOME</v>
          </cell>
          <cell r="E51" t="str">
            <v>LOME-CENTRE</v>
          </cell>
          <cell r="F51" t="str">
            <v>FO</v>
          </cell>
          <cell r="G51" t="str">
            <v>Grid-Batt.</v>
          </cell>
          <cell r="H51" t="str">
            <v>N/A</v>
          </cell>
          <cell r="I51" t="str">
            <v>NO</v>
          </cell>
          <cell r="J51" t="str">
            <v>NO</v>
          </cell>
          <cell r="K51" t="str">
            <v>PLATINUM</v>
          </cell>
          <cell r="L51" t="str">
            <v>Urbain</v>
          </cell>
          <cell r="M51">
            <v>0</v>
          </cell>
          <cell r="N51" t="str">
            <v>LOME CENTRE</v>
          </cell>
        </row>
        <row r="52">
          <cell r="A52" t="str">
            <v>AEROPORT</v>
          </cell>
          <cell r="B52">
            <v>39417</v>
          </cell>
          <cell r="C52" t="str">
            <v>LOM-204</v>
          </cell>
          <cell r="D52" t="str">
            <v>LOME</v>
          </cell>
          <cell r="E52" t="str">
            <v>LOME-CENTRE</v>
          </cell>
          <cell r="F52" t="str">
            <v>FO</v>
          </cell>
          <cell r="G52" t="str">
            <v>Grid-DG-Batt.</v>
          </cell>
          <cell r="H52" t="str">
            <v>OK</v>
          </cell>
          <cell r="I52" t="str">
            <v>YES</v>
          </cell>
          <cell r="J52" t="str">
            <v>NO</v>
          </cell>
          <cell r="K52" t="str">
            <v>PLATINUM</v>
          </cell>
          <cell r="L52" t="str">
            <v>Urbain</v>
          </cell>
          <cell r="M52" t="str">
            <v>70996556</v>
          </cell>
          <cell r="N52" t="str">
            <v>LOME CENTRE</v>
          </cell>
        </row>
        <row r="53">
          <cell r="A53" t="str">
            <v>AEROPORT2</v>
          </cell>
          <cell r="B53">
            <v>41815</v>
          </cell>
          <cell r="C53" t="str">
            <v>LOM-205</v>
          </cell>
          <cell r="D53" t="str">
            <v>LOME</v>
          </cell>
          <cell r="E53" t="str">
            <v>LOME-CENTRE</v>
          </cell>
          <cell r="F53" t="str">
            <v>FO</v>
          </cell>
          <cell r="G53" t="str">
            <v>Grid-DG-Batt.</v>
          </cell>
          <cell r="H53" t="str">
            <v>OK</v>
          </cell>
          <cell r="I53" t="str">
            <v>NO</v>
          </cell>
          <cell r="J53" t="str">
            <v>NO</v>
          </cell>
          <cell r="K53" t="str">
            <v>PLATINUM</v>
          </cell>
          <cell r="L53" t="str">
            <v>Urbain</v>
          </cell>
          <cell r="M53" t="str">
            <v>70996557</v>
          </cell>
          <cell r="N53" t="str">
            <v>LOME CENTRE</v>
          </cell>
        </row>
        <row r="54">
          <cell r="A54" t="str">
            <v>AEROPORT3</v>
          </cell>
          <cell r="B54">
            <v>44851</v>
          </cell>
          <cell r="C54" t="str">
            <v>LOM-326</v>
          </cell>
          <cell r="D54" t="str">
            <v>LOME</v>
          </cell>
          <cell r="E54" t="str">
            <v>LOME-CENTRE</v>
          </cell>
          <cell r="F54" t="str">
            <v>FTTM</v>
          </cell>
          <cell r="G54" t="str">
            <v>Grid-DG-Batt.</v>
          </cell>
          <cell r="H54" t="str">
            <v>OK</v>
          </cell>
          <cell r="I54" t="str">
            <v>NO</v>
          </cell>
          <cell r="J54" t="str">
            <v>YES</v>
          </cell>
          <cell r="K54" t="str">
            <v>SILVER</v>
          </cell>
          <cell r="L54" t="str">
            <v>Urbain</v>
          </cell>
          <cell r="M54">
            <v>0</v>
          </cell>
          <cell r="N54" t="str">
            <v>LOME CENTRE</v>
          </cell>
        </row>
        <row r="55">
          <cell r="A55" t="str">
            <v>AFAGNAN</v>
          </cell>
          <cell r="B55"/>
          <cell r="C55" t="str">
            <v>MAR-032</v>
          </cell>
          <cell r="D55" t="str">
            <v>MARITIME</v>
          </cell>
          <cell r="E55" t="str">
            <v>ANEHO</v>
          </cell>
          <cell r="F55" t="str">
            <v>FH</v>
          </cell>
          <cell r="G55" t="str">
            <v>Grid-DG-Batt.</v>
          </cell>
          <cell r="H55" t="str">
            <v>OK</v>
          </cell>
          <cell r="I55" t="str">
            <v>NO</v>
          </cell>
          <cell r="J55" t="str">
            <v>NO</v>
          </cell>
          <cell r="K55" t="str">
            <v>BRONZE</v>
          </cell>
          <cell r="L55" t="str">
            <v>SubUrbain</v>
          </cell>
          <cell r="M55" t="str">
            <v>70996558</v>
          </cell>
          <cell r="N55" t="str">
            <v>ANEHO</v>
          </cell>
        </row>
        <row r="56">
          <cell r="A56" t="str">
            <v>AFAGNAN-MOOV</v>
          </cell>
          <cell r="B56">
            <v>44853</v>
          </cell>
          <cell r="C56" t="str">
            <v>MAR-146</v>
          </cell>
          <cell r="D56" t="str">
            <v>MARITIME</v>
          </cell>
          <cell r="E56" t="str">
            <v>ANEHO</v>
          </cell>
          <cell r="F56" t="str">
            <v>FH</v>
          </cell>
          <cell r="G56" t="str">
            <v>Grid-DG-Batt.</v>
          </cell>
          <cell r="H56" t="str">
            <v>OK</v>
          </cell>
          <cell r="I56" t="str">
            <v>NO</v>
          </cell>
          <cell r="J56" t="str">
            <v>YES</v>
          </cell>
          <cell r="K56" t="str">
            <v>GOLD</v>
          </cell>
          <cell r="L56" t="str">
            <v>Urbain</v>
          </cell>
          <cell r="M56">
            <v>0</v>
          </cell>
          <cell r="N56" t="str">
            <v>ANEHO</v>
          </cell>
        </row>
        <row r="57">
          <cell r="A57" t="str">
            <v>AFATCHALAKOPE</v>
          </cell>
          <cell r="B57">
            <v>41244</v>
          </cell>
          <cell r="C57" t="str">
            <v>CEN-055</v>
          </cell>
          <cell r="D57" t="str">
            <v>CENTRALE</v>
          </cell>
          <cell r="E57" t="str">
            <v>TCHAMBA</v>
          </cell>
          <cell r="F57" t="str">
            <v>FH</v>
          </cell>
          <cell r="G57" t="str">
            <v>DG-Solar-Batt.</v>
          </cell>
          <cell r="H57" t="str">
            <v>OK</v>
          </cell>
          <cell r="I57" t="str">
            <v>NO</v>
          </cell>
          <cell r="J57" t="str">
            <v>NO</v>
          </cell>
          <cell r="K57" t="str">
            <v>BRONZE</v>
          </cell>
          <cell r="L57" t="str">
            <v>rural</v>
          </cell>
          <cell r="M57" t="str">
            <v>70996559</v>
          </cell>
          <cell r="N57" t="str">
            <v>TCHAMBA</v>
          </cell>
        </row>
        <row r="58">
          <cell r="A58" t="str">
            <v>AFEMKABYE</v>
          </cell>
          <cell r="B58" t="str">
            <v>01/12/20229</v>
          </cell>
          <cell r="C58" t="str">
            <v>CEN-045</v>
          </cell>
          <cell r="D58" t="str">
            <v>CENTRALE</v>
          </cell>
          <cell r="E58" t="str">
            <v>TCHAMBA</v>
          </cell>
          <cell r="F58" t="str">
            <v>FH</v>
          </cell>
          <cell r="G58" t="str">
            <v>Grid-DG-Solar-Batt.</v>
          </cell>
          <cell r="H58" t="str">
            <v>OK</v>
          </cell>
          <cell r="I58" t="str">
            <v>NO</v>
          </cell>
          <cell r="J58" t="str">
            <v>YES</v>
          </cell>
          <cell r="K58" t="str">
            <v>BRONZE</v>
          </cell>
          <cell r="L58" t="str">
            <v>rural</v>
          </cell>
          <cell r="M58" t="str">
            <v>70996560</v>
          </cell>
          <cell r="N58" t="str">
            <v>TCHAMBA</v>
          </cell>
        </row>
        <row r="59">
          <cell r="A59" t="str">
            <v>AFIDENYIGBAN</v>
          </cell>
          <cell r="B59">
            <v>41609</v>
          </cell>
          <cell r="C59" t="str">
            <v>LOM-197</v>
          </cell>
          <cell r="D59" t="str">
            <v>LOME</v>
          </cell>
          <cell r="E59" t="str">
            <v>LOME-EST</v>
          </cell>
          <cell r="F59" t="str">
            <v>FO</v>
          </cell>
          <cell r="G59" t="str">
            <v>Grid-DG-Batt.</v>
          </cell>
          <cell r="H59" t="str">
            <v>OK</v>
          </cell>
          <cell r="I59" t="str">
            <v>NO</v>
          </cell>
          <cell r="J59" t="str">
            <v>YES</v>
          </cell>
          <cell r="K59" t="str">
            <v>GOLD</v>
          </cell>
          <cell r="L59" t="str">
            <v>Urbain</v>
          </cell>
          <cell r="M59" t="str">
            <v>70996523</v>
          </cell>
          <cell r="N59" t="str">
            <v>LOME EST</v>
          </cell>
        </row>
        <row r="60">
          <cell r="A60" t="str">
            <v>AFIDENYIGBA2</v>
          </cell>
          <cell r="B60">
            <v>44847</v>
          </cell>
          <cell r="C60" t="str">
            <v>LOM-321</v>
          </cell>
          <cell r="D60" t="str">
            <v>LOME</v>
          </cell>
          <cell r="E60" t="str">
            <v>LOME-EST</v>
          </cell>
          <cell r="F60" t="str">
            <v>FTTM</v>
          </cell>
          <cell r="G60" t="str">
            <v>Grid-DG-Batt.</v>
          </cell>
          <cell r="H60" t="str">
            <v>OK</v>
          </cell>
          <cell r="I60" t="str">
            <v>NO</v>
          </cell>
          <cell r="J60" t="str">
            <v>YES</v>
          </cell>
          <cell r="K60" t="str">
            <v>BRONZE</v>
          </cell>
          <cell r="L60" t="str">
            <v>SubUrbain</v>
          </cell>
          <cell r="M60" t="e">
            <v>#N/A</v>
          </cell>
          <cell r="N60" t="str">
            <v>LOME EST</v>
          </cell>
        </row>
        <row r="61">
          <cell r="A61" t="str">
            <v>AFODJI</v>
          </cell>
          <cell r="B61">
            <v>42156</v>
          </cell>
          <cell r="C61" t="str">
            <v>PLA-077</v>
          </cell>
          <cell r="D61" t="str">
            <v>PLATEAUX</v>
          </cell>
          <cell r="E61" t="str">
            <v>ATAKPAME-EST</v>
          </cell>
          <cell r="F61" t="str">
            <v>FH</v>
          </cell>
          <cell r="G61" t="str">
            <v>DG-Solar-Batt.</v>
          </cell>
          <cell r="H61" t="str">
            <v>OK</v>
          </cell>
          <cell r="I61" t="str">
            <v>NO</v>
          </cell>
          <cell r="J61" t="str">
            <v>NO</v>
          </cell>
          <cell r="K61" t="str">
            <v>BRONZE</v>
          </cell>
          <cell r="L61" t="str">
            <v>rural</v>
          </cell>
          <cell r="M61" t="str">
            <v>70996561</v>
          </cell>
          <cell r="N61" t="str">
            <v>ELAVAGNON</v>
          </cell>
        </row>
        <row r="62">
          <cell r="A62" t="str">
            <v>AFOLE</v>
          </cell>
          <cell r="B62">
            <v>41244</v>
          </cell>
          <cell r="C62" t="str">
            <v>PLA-078</v>
          </cell>
          <cell r="D62" t="str">
            <v>PLATEAUX</v>
          </cell>
          <cell r="E62" t="str">
            <v>ATAKPAME-EST</v>
          </cell>
          <cell r="F62" t="str">
            <v>FH</v>
          </cell>
          <cell r="G62" t="str">
            <v>DG-Solar-Batt.</v>
          </cell>
          <cell r="H62" t="str">
            <v>OK</v>
          </cell>
          <cell r="I62" t="str">
            <v>NO</v>
          </cell>
          <cell r="J62" t="str">
            <v>NO</v>
          </cell>
          <cell r="K62" t="str">
            <v>BRONZE</v>
          </cell>
          <cell r="L62" t="str">
            <v>rural</v>
          </cell>
          <cell r="M62" t="str">
            <v>70996562</v>
          </cell>
          <cell r="N62" t="str">
            <v>ELAVAGNON</v>
          </cell>
        </row>
        <row r="63">
          <cell r="A63" t="str">
            <v>AGADZA</v>
          </cell>
          <cell r="B63">
            <v>41746</v>
          </cell>
          <cell r="C63" t="str">
            <v>PLA-115</v>
          </cell>
          <cell r="D63" t="str">
            <v>PLATEAUX</v>
          </cell>
          <cell r="E63" t="str">
            <v>BADOU</v>
          </cell>
          <cell r="F63" t="str">
            <v>FH</v>
          </cell>
          <cell r="G63" t="str">
            <v>DG-Solar-Batt.</v>
          </cell>
          <cell r="H63" t="str">
            <v>NOK</v>
          </cell>
          <cell r="I63" t="str">
            <v>NO</v>
          </cell>
          <cell r="J63" t="str">
            <v>NO</v>
          </cell>
          <cell r="K63" t="str">
            <v>BRONZE</v>
          </cell>
          <cell r="L63" t="str">
            <v>rural</v>
          </cell>
          <cell r="M63" t="str">
            <v>70996563</v>
          </cell>
          <cell r="N63" t="str">
            <v>BADOU</v>
          </cell>
        </row>
        <row r="64">
          <cell r="A64" t="str">
            <v>AGBADAHONOU</v>
          </cell>
          <cell r="B64">
            <v>41703</v>
          </cell>
          <cell r="C64" t="str">
            <v>LOM-148</v>
          </cell>
          <cell r="D64" t="str">
            <v>LOME</v>
          </cell>
          <cell r="E64" t="str">
            <v>LOME-SUD</v>
          </cell>
          <cell r="F64" t="str">
            <v>FO</v>
          </cell>
          <cell r="G64" t="str">
            <v>Grid-Batt.</v>
          </cell>
          <cell r="H64" t="str">
            <v>N/A</v>
          </cell>
          <cell r="I64" t="str">
            <v>YES</v>
          </cell>
          <cell r="J64" t="str">
            <v>YES</v>
          </cell>
          <cell r="K64" t="str">
            <v>PLATINUM</v>
          </cell>
          <cell r="L64" t="str">
            <v>Urbain</v>
          </cell>
          <cell r="M64">
            <v>0</v>
          </cell>
          <cell r="N64" t="str">
            <v>LOME SUD</v>
          </cell>
        </row>
        <row r="65">
          <cell r="A65" t="str">
            <v>AGBALEPEDO</v>
          </cell>
          <cell r="B65">
            <v>38931</v>
          </cell>
          <cell r="C65" t="str">
            <v>LOM-103</v>
          </cell>
          <cell r="D65" t="str">
            <v>LOME</v>
          </cell>
          <cell r="E65" t="str">
            <v>LOME-NORD</v>
          </cell>
          <cell r="F65" t="str">
            <v>FO</v>
          </cell>
          <cell r="G65" t="str">
            <v>Grid-DG-Batt.</v>
          </cell>
          <cell r="H65" t="str">
            <v>OK</v>
          </cell>
          <cell r="I65" t="str">
            <v>NO</v>
          </cell>
          <cell r="J65" t="str">
            <v>NO</v>
          </cell>
          <cell r="K65" t="str">
            <v>GOLD</v>
          </cell>
          <cell r="L65" t="str">
            <v>Urbain</v>
          </cell>
          <cell r="M65" t="str">
            <v>70996564</v>
          </cell>
          <cell r="N65" t="str">
            <v>LOME NORD</v>
          </cell>
        </row>
        <row r="66">
          <cell r="A66" t="str">
            <v>AGBALEPEDO2</v>
          </cell>
          <cell r="B66">
            <v>41759</v>
          </cell>
          <cell r="C66" t="str">
            <v>LOM-016</v>
          </cell>
          <cell r="D66" t="str">
            <v>LOME</v>
          </cell>
          <cell r="E66" t="str">
            <v>LOME-NORD</v>
          </cell>
          <cell r="F66" t="str">
            <v>FO</v>
          </cell>
          <cell r="G66" t="str">
            <v>Grid-DG-Batt.</v>
          </cell>
          <cell r="H66" t="str">
            <v>OK</v>
          </cell>
          <cell r="I66" t="str">
            <v>NO</v>
          </cell>
          <cell r="J66" t="str">
            <v>NO</v>
          </cell>
          <cell r="K66" t="str">
            <v>GOLD</v>
          </cell>
          <cell r="L66" t="str">
            <v>Urbain</v>
          </cell>
          <cell r="M66" t="str">
            <v>70996565</v>
          </cell>
          <cell r="N66" t="str">
            <v>LOME NORD</v>
          </cell>
        </row>
        <row r="67">
          <cell r="A67" t="str">
            <v>AGBALEPEDO-MOOV</v>
          </cell>
          <cell r="B67"/>
          <cell r="C67" t="str">
            <v>LOM-104</v>
          </cell>
          <cell r="D67" t="str">
            <v>LOME</v>
          </cell>
          <cell r="E67" t="str">
            <v>LOME-NORD</v>
          </cell>
          <cell r="F67" t="str">
            <v>FH</v>
          </cell>
          <cell r="G67" t="str">
            <v>Grid-DG-Batt.</v>
          </cell>
          <cell r="H67" t="str">
            <v>OK</v>
          </cell>
          <cell r="I67" t="str">
            <v>NO</v>
          </cell>
          <cell r="J67" t="str">
            <v>NO</v>
          </cell>
          <cell r="K67" t="str">
            <v>SILVER</v>
          </cell>
          <cell r="L67" t="str">
            <v>Urbain</v>
          </cell>
          <cell r="M67">
            <v>0</v>
          </cell>
          <cell r="N67" t="str">
            <v>LOME NORD</v>
          </cell>
        </row>
        <row r="68">
          <cell r="A68" t="str">
            <v>STATION-AGBALEPEDO</v>
          </cell>
          <cell r="B68">
            <v>44066</v>
          </cell>
          <cell r="C68" t="str">
            <v>LOM-246</v>
          </cell>
          <cell r="D68" t="str">
            <v>LOME</v>
          </cell>
          <cell r="E68" t="str">
            <v>LOME-NORD</v>
          </cell>
          <cell r="F68" t="str">
            <v>FH</v>
          </cell>
          <cell r="G68" t="str">
            <v>Grid-Batt.</v>
          </cell>
          <cell r="H68" t="str">
            <v>N/A</v>
          </cell>
          <cell r="I68" t="str">
            <v>YES</v>
          </cell>
          <cell r="J68" t="str">
            <v>NO</v>
          </cell>
          <cell r="K68" t="str">
            <v>GOLD</v>
          </cell>
          <cell r="L68" t="str">
            <v>Urbain</v>
          </cell>
          <cell r="M68" t="e">
            <v>#N/A</v>
          </cell>
          <cell r="N68" t="str">
            <v>LOME NORD</v>
          </cell>
        </row>
        <row r="69">
          <cell r="A69" t="str">
            <v>AGBAMASSOMOU</v>
          </cell>
          <cell r="B69">
            <v>41609</v>
          </cell>
          <cell r="C69" t="str">
            <v>CEN-025</v>
          </cell>
          <cell r="D69" t="str">
            <v>KARA</v>
          </cell>
          <cell r="E69" t="str">
            <v>KABOU</v>
          </cell>
          <cell r="F69" t="str">
            <v>FH</v>
          </cell>
          <cell r="G69" t="str">
            <v>DG-Solar-Batt.</v>
          </cell>
          <cell r="H69" t="str">
            <v>OK</v>
          </cell>
          <cell r="I69" t="str">
            <v>NO</v>
          </cell>
          <cell r="J69" t="str">
            <v>NO</v>
          </cell>
          <cell r="K69" t="str">
            <v>BRONZE</v>
          </cell>
          <cell r="L69" t="str">
            <v>rural</v>
          </cell>
          <cell r="M69" t="str">
            <v>70996566</v>
          </cell>
          <cell r="N69" t="str">
            <v>KABOU</v>
          </cell>
        </row>
        <row r="70">
          <cell r="A70" t="str">
            <v>AGBANDAOUDE</v>
          </cell>
          <cell r="B70">
            <v>43610</v>
          </cell>
          <cell r="C70" t="str">
            <v>KAR-093</v>
          </cell>
          <cell r="D70" t="str">
            <v>CENTRALE</v>
          </cell>
          <cell r="E70" t="str">
            <v>SOKODE</v>
          </cell>
          <cell r="F70" t="str">
            <v>FH</v>
          </cell>
          <cell r="G70" t="str">
            <v>DG-Solar-Batt.</v>
          </cell>
          <cell r="H70" t="str">
            <v>OK</v>
          </cell>
          <cell r="I70" t="str">
            <v>NO</v>
          </cell>
          <cell r="J70" t="str">
            <v>NO</v>
          </cell>
          <cell r="K70" t="str">
            <v>BRONZE</v>
          </cell>
          <cell r="L70" t="str">
            <v>rural</v>
          </cell>
          <cell r="M70" t="str">
            <v>70996567</v>
          </cell>
          <cell r="N70" t="str">
            <v>SOKODE</v>
          </cell>
        </row>
        <row r="71">
          <cell r="A71" t="str">
            <v>AGBANDI</v>
          </cell>
          <cell r="B71">
            <v>39052</v>
          </cell>
          <cell r="C71" t="str">
            <v>PLA-032</v>
          </cell>
          <cell r="D71" t="str">
            <v>CENTRALE</v>
          </cell>
          <cell r="E71" t="str">
            <v>BLITTA</v>
          </cell>
          <cell r="F71" t="str">
            <v>FO</v>
          </cell>
          <cell r="G71" t="str">
            <v>Grid-DG-Batt.</v>
          </cell>
          <cell r="H71" t="str">
            <v>OK</v>
          </cell>
          <cell r="I71" t="str">
            <v>NO</v>
          </cell>
          <cell r="J71" t="str">
            <v>NO</v>
          </cell>
          <cell r="K71" t="str">
            <v>GOLD</v>
          </cell>
          <cell r="L71" t="str">
            <v>rural</v>
          </cell>
          <cell r="M71" t="str">
            <v>70996568</v>
          </cell>
          <cell r="N71" t="str">
            <v>BLITTA</v>
          </cell>
        </row>
        <row r="72">
          <cell r="A72" t="str">
            <v>AGBANSIKITI</v>
          </cell>
          <cell r="B72">
            <v>41244</v>
          </cell>
          <cell r="C72" t="str">
            <v>CEN-056</v>
          </cell>
          <cell r="D72" t="str">
            <v>CENTRALE</v>
          </cell>
          <cell r="E72" t="str">
            <v>TCHAMBA</v>
          </cell>
          <cell r="F72" t="str">
            <v>FH</v>
          </cell>
          <cell r="G72" t="str">
            <v>DG-Solar-Batt.</v>
          </cell>
          <cell r="H72" t="str">
            <v>OK</v>
          </cell>
          <cell r="I72" t="str">
            <v>NO</v>
          </cell>
          <cell r="J72" t="str">
            <v>NO</v>
          </cell>
          <cell r="K72" t="str">
            <v>SILVER</v>
          </cell>
          <cell r="L72" t="str">
            <v>rural</v>
          </cell>
          <cell r="M72" t="str">
            <v>70996570</v>
          </cell>
          <cell r="N72" t="str">
            <v>TCHAMBA</v>
          </cell>
        </row>
        <row r="73">
          <cell r="A73" t="str">
            <v>AGBATA</v>
          </cell>
          <cell r="B73">
            <v>44111</v>
          </cell>
          <cell r="C73" t="str">
            <v>MAR-130</v>
          </cell>
          <cell r="D73" t="str">
            <v>LOME</v>
          </cell>
          <cell r="E73" t="str">
            <v>LOME-EST</v>
          </cell>
          <cell r="F73" t="str">
            <v>FH</v>
          </cell>
          <cell r="G73" t="str">
            <v>Grid-DG-Batt.</v>
          </cell>
          <cell r="H73" t="str">
            <v>OK</v>
          </cell>
          <cell r="I73" t="str">
            <v>NO</v>
          </cell>
          <cell r="J73" t="str">
            <v>NO</v>
          </cell>
          <cell r="K73" t="str">
            <v>GOLD</v>
          </cell>
          <cell r="L73" t="str">
            <v>SubUrbain</v>
          </cell>
          <cell r="M73" t="str">
            <v>70996427</v>
          </cell>
          <cell r="N73" t="str">
            <v>LOME EST</v>
          </cell>
        </row>
        <row r="74">
          <cell r="A74" t="str">
            <v>AGBATITOE</v>
          </cell>
          <cell r="B74">
            <v>40148</v>
          </cell>
          <cell r="C74" t="str">
            <v>PLA-054</v>
          </cell>
          <cell r="D74" t="str">
            <v>PLATEAUX</v>
          </cell>
          <cell r="E74" t="str">
            <v>NOTSE</v>
          </cell>
          <cell r="F74" t="str">
            <v>FH</v>
          </cell>
          <cell r="G74" t="str">
            <v>Grid-DG-Batt.</v>
          </cell>
          <cell r="H74" t="str">
            <v>OK</v>
          </cell>
          <cell r="I74" t="str">
            <v>NO</v>
          </cell>
          <cell r="J74" t="str">
            <v>NO</v>
          </cell>
          <cell r="K74" t="str">
            <v>SILVER</v>
          </cell>
          <cell r="L74" t="str">
            <v>rural</v>
          </cell>
          <cell r="M74" t="str">
            <v>70996572</v>
          </cell>
          <cell r="N74" t="str">
            <v>NOTSE</v>
          </cell>
        </row>
        <row r="75">
          <cell r="A75" t="str">
            <v>AGBAVI</v>
          </cell>
          <cell r="B75">
            <v>44865</v>
          </cell>
          <cell r="C75" t="str">
            <v>LOM-322</v>
          </cell>
          <cell r="D75" t="str">
            <v>LOME</v>
          </cell>
          <cell r="E75" t="str">
            <v>LOME-EST</v>
          </cell>
          <cell r="F75" t="str">
            <v>FTTM</v>
          </cell>
          <cell r="G75" t="str">
            <v>Grid-DG-Batt.</v>
          </cell>
          <cell r="H75" t="str">
            <v>OK</v>
          </cell>
          <cell r="I75" t="str">
            <v>NO</v>
          </cell>
          <cell r="J75" t="str">
            <v>YES</v>
          </cell>
          <cell r="K75" t="str">
            <v>SILVER</v>
          </cell>
          <cell r="L75" t="str">
            <v>SubUrbain</v>
          </cell>
          <cell r="M75">
            <v>70997251</v>
          </cell>
          <cell r="N75" t="str">
            <v>LOME EST</v>
          </cell>
        </row>
        <row r="76">
          <cell r="A76" t="str">
            <v>AGBAVI-MOOV</v>
          </cell>
          <cell r="B76">
            <v>45150</v>
          </cell>
          <cell r="C76" t="str">
            <v>LOM-380</v>
          </cell>
          <cell r="D76" t="str">
            <v>LOME</v>
          </cell>
          <cell r="E76" t="str">
            <v>LOME-EST</v>
          </cell>
          <cell r="F76" t="str">
            <v>FH</v>
          </cell>
          <cell r="G76" t="str">
            <v>Grid-DG-Batt.</v>
          </cell>
          <cell r="H76" t="str">
            <v>OK</v>
          </cell>
          <cell r="I76" t="str">
            <v>NO</v>
          </cell>
          <cell r="J76" t="str">
            <v>NO</v>
          </cell>
          <cell r="K76" t="str">
            <v>SILVER</v>
          </cell>
          <cell r="L76" t="str">
            <v>SubUrbain</v>
          </cell>
          <cell r="M76">
            <v>0</v>
          </cell>
          <cell r="N76" t="str">
            <v>LOME EST</v>
          </cell>
        </row>
        <row r="77">
          <cell r="A77" t="str">
            <v>AGBELIKO</v>
          </cell>
          <cell r="B77">
            <v>44865</v>
          </cell>
          <cell r="C77" t="str">
            <v>LOM-323</v>
          </cell>
          <cell r="D77" t="str">
            <v>LOME</v>
          </cell>
          <cell r="E77" t="str">
            <v>LOME-OUEST 1</v>
          </cell>
          <cell r="F77" t="str">
            <v>FTTM</v>
          </cell>
          <cell r="G77" t="str">
            <v>DG-Batt.</v>
          </cell>
          <cell r="H77" t="str">
            <v>OK</v>
          </cell>
          <cell r="I77" t="str">
            <v>NO</v>
          </cell>
          <cell r="J77" t="str">
            <v>YES</v>
          </cell>
          <cell r="K77" t="str">
            <v>BRONZE</v>
          </cell>
          <cell r="L77" t="str">
            <v>SubUrbain</v>
          </cell>
          <cell r="M77">
            <v>70997315</v>
          </cell>
          <cell r="N77" t="str">
            <v>LOME OUEST1</v>
          </cell>
        </row>
        <row r="78">
          <cell r="A78" t="str">
            <v>AGBELOUVE</v>
          </cell>
          <cell r="B78">
            <v>39934</v>
          </cell>
          <cell r="C78" t="str">
            <v>MAR-060</v>
          </cell>
          <cell r="D78" t="str">
            <v>MARITIME</v>
          </cell>
          <cell r="E78" t="str">
            <v>TSEVIE</v>
          </cell>
          <cell r="F78" t="str">
            <v>FH</v>
          </cell>
          <cell r="G78" t="str">
            <v>Grid-DG-Batt.</v>
          </cell>
          <cell r="H78" t="str">
            <v>OK</v>
          </cell>
          <cell r="I78" t="str">
            <v>NO</v>
          </cell>
          <cell r="J78" t="str">
            <v>NO</v>
          </cell>
          <cell r="K78" t="str">
            <v>SILVER</v>
          </cell>
          <cell r="L78" t="str">
            <v>SubUrbain</v>
          </cell>
          <cell r="M78" t="str">
            <v>70996573</v>
          </cell>
          <cell r="N78" t="str">
            <v>TSEVIE</v>
          </cell>
        </row>
        <row r="79">
          <cell r="A79" t="str">
            <v>AGBELOUVE-MOOV</v>
          </cell>
          <cell r="B79"/>
          <cell r="C79" t="str">
            <v>MAR-061</v>
          </cell>
          <cell r="D79" t="str">
            <v>MARITIME</v>
          </cell>
          <cell r="E79" t="str">
            <v>TSEVIE</v>
          </cell>
          <cell r="F79" t="str">
            <v>FH</v>
          </cell>
          <cell r="G79" t="str">
            <v>Grid-DG-Batt.</v>
          </cell>
          <cell r="H79" t="str">
            <v>OK</v>
          </cell>
          <cell r="I79" t="str">
            <v>NO</v>
          </cell>
          <cell r="J79" t="str">
            <v>NO</v>
          </cell>
          <cell r="K79" t="str">
            <v>GOLD</v>
          </cell>
          <cell r="L79" t="str">
            <v>SubUrbain</v>
          </cell>
          <cell r="M79">
            <v>70996574</v>
          </cell>
          <cell r="N79" t="str">
            <v>TSEVIE</v>
          </cell>
        </row>
        <row r="80">
          <cell r="A80" t="str">
            <v>AGBODANKOPE</v>
          </cell>
          <cell r="B80">
            <v>40254</v>
          </cell>
          <cell r="C80" t="str">
            <v>LOM-198</v>
          </cell>
          <cell r="D80" t="str">
            <v>LOME</v>
          </cell>
          <cell r="E80" t="str">
            <v>LOME-EST</v>
          </cell>
          <cell r="F80" t="str">
            <v>FH</v>
          </cell>
          <cell r="G80" t="str">
            <v>Grid-DG-Batt.</v>
          </cell>
          <cell r="H80" t="str">
            <v>NOK</v>
          </cell>
          <cell r="I80" t="str">
            <v>NO</v>
          </cell>
          <cell r="J80" t="str">
            <v>NO</v>
          </cell>
          <cell r="K80" t="str">
            <v>SILVER</v>
          </cell>
          <cell r="L80" t="str">
            <v>Urbain</v>
          </cell>
          <cell r="M80" t="str">
            <v>70996575</v>
          </cell>
          <cell r="N80" t="str">
            <v>LOME EST</v>
          </cell>
        </row>
        <row r="81">
          <cell r="A81" t="str">
            <v>AGBODJEKOPE</v>
          </cell>
          <cell r="B81">
            <v>41609</v>
          </cell>
          <cell r="C81" t="str">
            <v>PLA-055</v>
          </cell>
          <cell r="D81" t="str">
            <v>PLATEAUX</v>
          </cell>
          <cell r="E81" t="str">
            <v>NOTSE</v>
          </cell>
          <cell r="F81" t="str">
            <v>FH</v>
          </cell>
          <cell r="G81" t="str">
            <v>DG-Solar-Batt.</v>
          </cell>
          <cell r="H81" t="str">
            <v>OK</v>
          </cell>
          <cell r="I81" t="str">
            <v>NO</v>
          </cell>
          <cell r="J81" t="str">
            <v>YES</v>
          </cell>
          <cell r="K81" t="str">
            <v>BRONZE</v>
          </cell>
          <cell r="L81" t="str">
            <v>rural</v>
          </cell>
          <cell r="M81" t="str">
            <v>70996576</v>
          </cell>
          <cell r="N81" t="str">
            <v>NOTSE</v>
          </cell>
        </row>
        <row r="82">
          <cell r="A82" t="str">
            <v>AGBODRAFO</v>
          </cell>
          <cell r="B82">
            <v>41609</v>
          </cell>
          <cell r="C82" t="str">
            <v>MAR-011</v>
          </cell>
          <cell r="D82" t="str">
            <v>MARITIME</v>
          </cell>
          <cell r="E82" t="str">
            <v>ANEHO</v>
          </cell>
          <cell r="F82" t="str">
            <v>FO</v>
          </cell>
          <cell r="G82" t="str">
            <v>Grid-DG-Batt.</v>
          </cell>
          <cell r="H82" t="str">
            <v>NOK</v>
          </cell>
          <cell r="I82" t="str">
            <v>NO</v>
          </cell>
          <cell r="J82" t="str">
            <v>NO</v>
          </cell>
          <cell r="K82" t="str">
            <v>SILVER</v>
          </cell>
          <cell r="L82" t="str">
            <v>SubUrbain</v>
          </cell>
          <cell r="M82" t="str">
            <v>70996524</v>
          </cell>
          <cell r="N82" t="str">
            <v>ANEHO</v>
          </cell>
        </row>
        <row r="83">
          <cell r="A83" t="str">
            <v>AGBONOU</v>
          </cell>
          <cell r="B83"/>
          <cell r="C83" t="str">
            <v>PLA-001</v>
          </cell>
          <cell r="D83" t="str">
            <v>PLATEAUX</v>
          </cell>
          <cell r="E83" t="str">
            <v>ATAKPAME-OUEST</v>
          </cell>
          <cell r="F83" t="str">
            <v>FO</v>
          </cell>
          <cell r="G83" t="str">
            <v>Grid-DG-Batt.</v>
          </cell>
          <cell r="H83" t="str">
            <v>OK</v>
          </cell>
          <cell r="I83" t="str">
            <v>NO</v>
          </cell>
          <cell r="J83" t="str">
            <v>NO</v>
          </cell>
          <cell r="K83" t="str">
            <v>GOLD</v>
          </cell>
          <cell r="L83" t="str">
            <v>Urbain</v>
          </cell>
          <cell r="M83" t="str">
            <v>70996577</v>
          </cell>
          <cell r="N83" t="str">
            <v>ATAKPAME</v>
          </cell>
        </row>
        <row r="84">
          <cell r="A84" t="str">
            <v>AGBONOU2</v>
          </cell>
          <cell r="B84">
            <v>40140</v>
          </cell>
          <cell r="C84" t="str">
            <v>PLA-002</v>
          </cell>
          <cell r="D84" t="str">
            <v>PLATEAUX</v>
          </cell>
          <cell r="E84" t="str">
            <v>ATAKPAME-OUEST</v>
          </cell>
          <cell r="F84" t="str">
            <v>FO</v>
          </cell>
          <cell r="G84" t="str">
            <v>Grid-DG-Batt.</v>
          </cell>
          <cell r="H84" t="str">
            <v>Observation</v>
          </cell>
          <cell r="I84" t="str">
            <v>NO</v>
          </cell>
          <cell r="J84" t="str">
            <v>YES</v>
          </cell>
          <cell r="K84" t="str">
            <v>GOLD</v>
          </cell>
          <cell r="L84" t="str">
            <v>Urbain</v>
          </cell>
          <cell r="M84" t="str">
            <v>70996578</v>
          </cell>
          <cell r="N84" t="str">
            <v>ATAKPAME</v>
          </cell>
        </row>
        <row r="85">
          <cell r="A85" t="str">
            <v>AGBONOU3-MOOV</v>
          </cell>
          <cell r="B85"/>
          <cell r="C85" t="str">
            <v>PLA-003</v>
          </cell>
          <cell r="D85" t="str">
            <v>PLATEAUX</v>
          </cell>
          <cell r="E85" t="str">
            <v>ATAKPAME-OUEST</v>
          </cell>
          <cell r="F85" t="str">
            <v>FO</v>
          </cell>
          <cell r="G85" t="str">
            <v>Grid-DG-Batt.</v>
          </cell>
          <cell r="H85" t="str">
            <v>OK</v>
          </cell>
          <cell r="I85" t="str">
            <v>NO</v>
          </cell>
          <cell r="J85" t="str">
            <v>NO</v>
          </cell>
          <cell r="K85" t="str">
            <v>GOLD</v>
          </cell>
          <cell r="L85" t="str">
            <v>Urbain</v>
          </cell>
          <cell r="M85">
            <v>0</v>
          </cell>
          <cell r="N85" t="str">
            <v>ATAKPAME</v>
          </cell>
        </row>
        <row r="86">
          <cell r="A86" t="str">
            <v>AGBONOU4</v>
          </cell>
          <cell r="B86">
            <v>44855</v>
          </cell>
          <cell r="C86" t="str">
            <v>PLA-211</v>
          </cell>
          <cell r="D86" t="str">
            <v>PLATEAUX</v>
          </cell>
          <cell r="E86" t="str">
            <v>ATAKPAME-OUEST</v>
          </cell>
          <cell r="F86" t="str">
            <v>FTTM</v>
          </cell>
          <cell r="G86" t="str">
            <v>Grid-DG-Batt.</v>
          </cell>
          <cell r="H86" t="str">
            <v>OK</v>
          </cell>
          <cell r="I86" t="str">
            <v>NO</v>
          </cell>
          <cell r="J86" t="str">
            <v>YES</v>
          </cell>
          <cell r="K86" t="str">
            <v>GOLD</v>
          </cell>
          <cell r="L86" t="str">
            <v>Urbain</v>
          </cell>
          <cell r="M86" t="str">
            <v>70996511</v>
          </cell>
          <cell r="N86" t="str">
            <v>ATAKPAME</v>
          </cell>
        </row>
        <row r="87">
          <cell r="A87" t="str">
            <v>AGBONOU-IDIOTSE</v>
          </cell>
          <cell r="B87">
            <v>45192</v>
          </cell>
          <cell r="C87" t="str">
            <v>PLA-236</v>
          </cell>
          <cell r="D87" t="str">
            <v>PLATEAUX</v>
          </cell>
          <cell r="E87" t="str">
            <v>ATAKPAME-OUEST</v>
          </cell>
          <cell r="F87" t="str">
            <v>FH</v>
          </cell>
          <cell r="G87" t="str">
            <v>Grid-DG-Batt.</v>
          </cell>
          <cell r="H87" t="str">
            <v>OK</v>
          </cell>
          <cell r="I87" t="str">
            <v>NO</v>
          </cell>
          <cell r="J87" t="str">
            <v>NO</v>
          </cell>
          <cell r="K87" t="str">
            <v>SILVER</v>
          </cell>
          <cell r="L87" t="str">
            <v>Urbain</v>
          </cell>
          <cell r="M87">
            <v>0</v>
          </cell>
          <cell r="N87" t="str">
            <v>ATAKPAME</v>
          </cell>
        </row>
        <row r="88">
          <cell r="A88" t="str">
            <v>AGBONOU-KPOTAME</v>
          </cell>
          <cell r="B88">
            <v>45208</v>
          </cell>
          <cell r="C88" t="str">
            <v>PLA-237</v>
          </cell>
          <cell r="D88" t="str">
            <v>PLATEAUX</v>
          </cell>
          <cell r="E88" t="str">
            <v>ATAKPAME-OUEST</v>
          </cell>
          <cell r="F88" t="str">
            <v>FH</v>
          </cell>
          <cell r="G88" t="str">
            <v>Grid-DG-Batt.</v>
          </cell>
          <cell r="H88" t="str">
            <v>OK</v>
          </cell>
          <cell r="I88" t="str">
            <v>NO</v>
          </cell>
          <cell r="J88" t="str">
            <v>NO</v>
          </cell>
          <cell r="K88" t="str">
            <v>SILVER</v>
          </cell>
          <cell r="L88" t="str">
            <v>URBAN</v>
          </cell>
          <cell r="M88" t="e">
            <v>#N/A</v>
          </cell>
          <cell r="N88" t="str">
            <v>ATAKPAME</v>
          </cell>
        </row>
        <row r="89">
          <cell r="A89" t="str">
            <v>AGBOTA</v>
          </cell>
          <cell r="B89">
            <v>45128</v>
          </cell>
          <cell r="C89" t="str">
            <v>PLA-243</v>
          </cell>
          <cell r="D89" t="str">
            <v>PLATEAUX</v>
          </cell>
          <cell r="E89" t="str">
            <v>ATAKPAME-EST</v>
          </cell>
          <cell r="F89" t="str">
            <v>FH</v>
          </cell>
          <cell r="G89" t="str">
            <v>DG-Solar-Batt.</v>
          </cell>
          <cell r="H89" t="str">
            <v>OK</v>
          </cell>
          <cell r="I89" t="str">
            <v>NO</v>
          </cell>
          <cell r="J89" t="str">
            <v>NO</v>
          </cell>
          <cell r="K89" t="str">
            <v>BRONZE</v>
          </cell>
          <cell r="L89" t="str">
            <v>rural</v>
          </cell>
          <cell r="M89">
            <v>0</v>
          </cell>
          <cell r="N89" t="str">
            <v>ELAVAGNON</v>
          </cell>
        </row>
        <row r="90">
          <cell r="A90" t="str">
            <v>AGENCE-KARA</v>
          </cell>
          <cell r="B90">
            <v>41102</v>
          </cell>
          <cell r="C90" t="str">
            <v>KAR-009</v>
          </cell>
          <cell r="D90" t="str">
            <v>KARA</v>
          </cell>
          <cell r="E90" t="str">
            <v>KARA-OUEST</v>
          </cell>
          <cell r="F90" t="str">
            <v>FH</v>
          </cell>
          <cell r="G90" t="str">
            <v>Grid-2DG-Batt.</v>
          </cell>
          <cell r="H90" t="str">
            <v>OK</v>
          </cell>
          <cell r="I90" t="str">
            <v>NO</v>
          </cell>
          <cell r="J90" t="str">
            <v>NO</v>
          </cell>
          <cell r="K90" t="str">
            <v>SILVER</v>
          </cell>
          <cell r="L90" t="str">
            <v>Urbain</v>
          </cell>
          <cell r="M90">
            <v>0</v>
          </cell>
          <cell r="N90" t="str">
            <v>KARA OUEST</v>
          </cell>
        </row>
        <row r="91">
          <cell r="A91" t="str">
            <v>AGODEKA2-MOOV</v>
          </cell>
          <cell r="B91">
            <v>45074</v>
          </cell>
          <cell r="C91" t="str">
            <v>LOM-325</v>
          </cell>
          <cell r="D91" t="str">
            <v>LOME</v>
          </cell>
          <cell r="E91" t="str">
            <v>LOME-EST</v>
          </cell>
          <cell r="F91" t="str">
            <v>FH</v>
          </cell>
          <cell r="G91" t="str">
            <v>Grid-DG-Batt.</v>
          </cell>
          <cell r="H91" t="str">
            <v>OK</v>
          </cell>
          <cell r="I91" t="str">
            <v>NO</v>
          </cell>
          <cell r="J91" t="str">
            <v>NO</v>
          </cell>
          <cell r="K91" t="str">
            <v>SILVER</v>
          </cell>
          <cell r="L91" t="str">
            <v>SubUrbain</v>
          </cell>
          <cell r="M91">
            <v>0</v>
          </cell>
          <cell r="N91" t="str">
            <v>LOME EST</v>
          </cell>
        </row>
        <row r="92">
          <cell r="A92" t="str">
            <v>AGODEKA-NOVISSI</v>
          </cell>
          <cell r="B92">
            <v>45094</v>
          </cell>
          <cell r="C92" t="str">
            <v>LOM-324</v>
          </cell>
          <cell r="D92" t="str">
            <v>LOME</v>
          </cell>
          <cell r="E92" t="str">
            <v>LOME-NORD</v>
          </cell>
          <cell r="F92" t="str">
            <v>FH</v>
          </cell>
          <cell r="G92" t="str">
            <v>DG-Batt.</v>
          </cell>
          <cell r="H92" t="str">
            <v>NOK</v>
          </cell>
          <cell r="I92" t="str">
            <v>NO</v>
          </cell>
          <cell r="J92" t="str">
            <v>NO</v>
          </cell>
          <cell r="K92" t="str">
            <v>BRONZE</v>
          </cell>
          <cell r="L92" t="str">
            <v>SubUrbain</v>
          </cell>
          <cell r="M92">
            <v>70997316</v>
          </cell>
          <cell r="N92" t="str">
            <v>LOME NORD</v>
          </cell>
        </row>
        <row r="93">
          <cell r="A93" t="str">
            <v>AGODEKE</v>
          </cell>
          <cell r="B93">
            <v>41893</v>
          </cell>
          <cell r="C93" t="str">
            <v>LOM-199</v>
          </cell>
          <cell r="D93" t="str">
            <v>LOME</v>
          </cell>
          <cell r="E93" t="str">
            <v>LOME-EST</v>
          </cell>
          <cell r="F93" t="str">
            <v>FO</v>
          </cell>
          <cell r="G93" t="str">
            <v>Grid-DG-Batt.</v>
          </cell>
          <cell r="H93" t="str">
            <v>OK</v>
          </cell>
          <cell r="I93" t="str">
            <v>NO</v>
          </cell>
          <cell r="J93" t="str">
            <v>NO</v>
          </cell>
          <cell r="K93" t="str">
            <v>SILVER</v>
          </cell>
          <cell r="L93" t="str">
            <v>Urbain</v>
          </cell>
          <cell r="M93" t="str">
            <v>70996579</v>
          </cell>
          <cell r="N93" t="str">
            <v>LOME EST</v>
          </cell>
        </row>
        <row r="94">
          <cell r="A94" t="str">
            <v>AGOE</v>
          </cell>
          <cell r="B94"/>
          <cell r="C94" t="str">
            <v>LOM-044</v>
          </cell>
          <cell r="D94" t="str">
            <v>LOME</v>
          </cell>
          <cell r="E94" t="str">
            <v>LOME-OUEST 1</v>
          </cell>
          <cell r="F94" t="str">
            <v>FO</v>
          </cell>
          <cell r="G94" t="str">
            <v>Grid-DG-Batt.</v>
          </cell>
          <cell r="H94" t="str">
            <v>NOK</v>
          </cell>
          <cell r="I94" t="str">
            <v>NO</v>
          </cell>
          <cell r="J94" t="str">
            <v>YES</v>
          </cell>
          <cell r="K94" t="str">
            <v>GOLD</v>
          </cell>
          <cell r="L94" t="str">
            <v>Urbain</v>
          </cell>
          <cell r="M94">
            <v>0</v>
          </cell>
          <cell r="N94" t="str">
            <v>LOME OUEST1</v>
          </cell>
        </row>
        <row r="95">
          <cell r="A95" t="str">
            <v>AGOE-LYCEE</v>
          </cell>
          <cell r="B95">
            <v>44730</v>
          </cell>
          <cell r="C95" t="str">
            <v>LOM-267</v>
          </cell>
          <cell r="D95" t="str">
            <v>LOME</v>
          </cell>
          <cell r="E95" t="str">
            <v>LOME-OUEST 2</v>
          </cell>
          <cell r="F95" t="str">
            <v>FTTM</v>
          </cell>
          <cell r="G95" t="str">
            <v>Grid-DG-Batt.</v>
          </cell>
          <cell r="H95" t="str">
            <v>OK</v>
          </cell>
          <cell r="I95" t="str">
            <v>NO</v>
          </cell>
          <cell r="J95" t="str">
            <v>YES</v>
          </cell>
          <cell r="K95" t="str">
            <v>GOLD</v>
          </cell>
          <cell r="L95" t="str">
            <v>Urbain</v>
          </cell>
          <cell r="M95" t="e">
            <v>#N/A</v>
          </cell>
          <cell r="N95" t="str">
            <v>LOME NORD</v>
          </cell>
        </row>
        <row r="96">
          <cell r="A96" t="str">
            <v>AGOE-DEMAKPOE</v>
          </cell>
          <cell r="B96">
            <v>39295</v>
          </cell>
          <cell r="C96" t="str">
            <v>LOM-027</v>
          </cell>
          <cell r="D96" t="str">
            <v>LOME</v>
          </cell>
          <cell r="E96" t="str">
            <v>LOME-OUEST 1</v>
          </cell>
          <cell r="F96" t="str">
            <v>FO</v>
          </cell>
          <cell r="G96" t="str">
            <v>Grid-DG-Batt.</v>
          </cell>
          <cell r="H96" t="str">
            <v>OK</v>
          </cell>
          <cell r="I96" t="str">
            <v>NO</v>
          </cell>
          <cell r="J96" t="str">
            <v>NO</v>
          </cell>
          <cell r="K96" t="str">
            <v>GOLD</v>
          </cell>
          <cell r="L96" t="str">
            <v>Urbain</v>
          </cell>
          <cell r="M96" t="str">
            <v>70996582</v>
          </cell>
          <cell r="N96" t="str">
            <v>LOME OUEST1</v>
          </cell>
        </row>
        <row r="97">
          <cell r="A97" t="str">
            <v>AGOE-GAKPOTO</v>
          </cell>
          <cell r="B97">
            <v>43124</v>
          </cell>
          <cell r="C97" t="str">
            <v>LOM-034</v>
          </cell>
          <cell r="D97" t="str">
            <v>LOME</v>
          </cell>
          <cell r="E97" t="str">
            <v>LOME-NORD</v>
          </cell>
          <cell r="F97" t="str">
            <v>FO</v>
          </cell>
          <cell r="G97" t="str">
            <v>Grid-Batt.</v>
          </cell>
          <cell r="H97" t="str">
            <v>N/A</v>
          </cell>
          <cell r="I97" t="str">
            <v>YES</v>
          </cell>
          <cell r="J97" t="str">
            <v>NO</v>
          </cell>
          <cell r="K97" t="str">
            <v>GOLD</v>
          </cell>
          <cell r="L97" t="str">
            <v>Urbain</v>
          </cell>
          <cell r="M97">
            <v>0</v>
          </cell>
          <cell r="N97" t="str">
            <v>LOME NORD</v>
          </cell>
        </row>
        <row r="98">
          <cell r="A98" t="str">
            <v>AGOEGAN</v>
          </cell>
          <cell r="B98">
            <v>39570</v>
          </cell>
          <cell r="C98" t="str">
            <v>MAR-012</v>
          </cell>
          <cell r="D98" t="str">
            <v>MARITIME</v>
          </cell>
          <cell r="E98" t="str">
            <v>ANEHO</v>
          </cell>
          <cell r="F98" t="str">
            <v>FH</v>
          </cell>
          <cell r="G98" t="str">
            <v>Grid-DG-Batt.</v>
          </cell>
          <cell r="H98" t="str">
            <v>NOK</v>
          </cell>
          <cell r="I98" t="str">
            <v>NO</v>
          </cell>
          <cell r="J98" t="str">
            <v>NO</v>
          </cell>
          <cell r="K98" t="str">
            <v>BRONZE</v>
          </cell>
          <cell r="L98" t="str">
            <v>rural</v>
          </cell>
          <cell r="M98" t="str">
            <v>70996583</v>
          </cell>
          <cell r="N98" t="str">
            <v>ANEHO</v>
          </cell>
        </row>
        <row r="99">
          <cell r="A99" t="str">
            <v>AGOE-GBONVE-MOOV</v>
          </cell>
          <cell r="B99">
            <v>43124</v>
          </cell>
          <cell r="C99" t="str">
            <v>LOM-035</v>
          </cell>
          <cell r="D99" t="str">
            <v>LOME</v>
          </cell>
          <cell r="E99" t="str">
            <v>LOME-NORD</v>
          </cell>
          <cell r="F99" t="str">
            <v>FH</v>
          </cell>
          <cell r="G99" t="str">
            <v>Grid-DG-Batt.</v>
          </cell>
          <cell r="H99" t="str">
            <v>OK</v>
          </cell>
          <cell r="I99" t="str">
            <v>NO</v>
          </cell>
          <cell r="J99" t="str">
            <v>NO</v>
          </cell>
          <cell r="K99" t="str">
            <v>GOLD</v>
          </cell>
          <cell r="L99" t="str">
            <v>Urbain</v>
          </cell>
          <cell r="M99" t="str">
            <v>70996584</v>
          </cell>
          <cell r="N99" t="str">
            <v>LOME NORD</v>
          </cell>
        </row>
        <row r="100">
          <cell r="A100" t="str">
            <v>AGOE-SEMINAIRE</v>
          </cell>
          <cell r="B100">
            <v>37926</v>
          </cell>
          <cell r="C100" t="str">
            <v>LOM-009</v>
          </cell>
          <cell r="D100" t="str">
            <v>LOME</v>
          </cell>
          <cell r="E100" t="str">
            <v>LOME-NORD</v>
          </cell>
          <cell r="F100" t="str">
            <v>FO</v>
          </cell>
          <cell r="G100" t="str">
            <v>Grid-DG-Batt.</v>
          </cell>
          <cell r="H100" t="str">
            <v>OK</v>
          </cell>
          <cell r="I100" t="str">
            <v>NO</v>
          </cell>
          <cell r="J100" t="str">
            <v>YES</v>
          </cell>
          <cell r="K100" t="str">
            <v>GOLD</v>
          </cell>
          <cell r="L100" t="str">
            <v>Urbain</v>
          </cell>
          <cell r="M100" t="str">
            <v>70996526</v>
          </cell>
          <cell r="N100" t="str">
            <v>LOME NORD</v>
          </cell>
        </row>
        <row r="101">
          <cell r="A101" t="str">
            <v>AGOE-SHELL</v>
          </cell>
          <cell r="B101">
            <v>39052</v>
          </cell>
          <cell r="C101" t="str">
            <v>LOM-006</v>
          </cell>
          <cell r="D101" t="str">
            <v>LOME</v>
          </cell>
          <cell r="E101" t="str">
            <v>LOME-NORD</v>
          </cell>
          <cell r="F101" t="str">
            <v>FO</v>
          </cell>
          <cell r="G101" t="str">
            <v>Grid-DG-Batt.</v>
          </cell>
          <cell r="H101" t="str">
            <v>OK</v>
          </cell>
          <cell r="I101" t="str">
            <v>YES</v>
          </cell>
          <cell r="J101" t="str">
            <v>NO</v>
          </cell>
          <cell r="K101" t="str">
            <v>PLATINUM</v>
          </cell>
          <cell r="L101" t="str">
            <v>Urbain</v>
          </cell>
          <cell r="M101">
            <v>0</v>
          </cell>
          <cell r="N101" t="str">
            <v>LOME NORD</v>
          </cell>
        </row>
        <row r="102">
          <cell r="A102" t="str">
            <v>AGOE-SHELL-MOOV</v>
          </cell>
          <cell r="B102"/>
          <cell r="C102" t="str">
            <v>LOM-010</v>
          </cell>
          <cell r="D102" t="str">
            <v>LOME</v>
          </cell>
          <cell r="E102" t="str">
            <v>LOME-NORD</v>
          </cell>
          <cell r="F102" t="str">
            <v>FH</v>
          </cell>
          <cell r="G102" t="str">
            <v>Grid-DG-Batt.</v>
          </cell>
          <cell r="H102" t="str">
            <v>OK</v>
          </cell>
          <cell r="I102" t="str">
            <v>NO</v>
          </cell>
          <cell r="J102" t="str">
            <v>NO</v>
          </cell>
          <cell r="K102" t="str">
            <v>PLATINUM</v>
          </cell>
          <cell r="L102" t="str">
            <v>Urbain</v>
          </cell>
          <cell r="M102">
            <v>0</v>
          </cell>
          <cell r="N102" t="str">
            <v>LOME NORD</v>
          </cell>
        </row>
        <row r="103">
          <cell r="A103" t="str">
            <v>AGOE-SORAD</v>
          </cell>
          <cell r="B103">
            <v>45237</v>
          </cell>
          <cell r="C103" t="str">
            <v>LOM-371</v>
          </cell>
          <cell r="D103" t="str">
            <v>LOME</v>
          </cell>
          <cell r="E103" t="str">
            <v>LOME-CENTRE</v>
          </cell>
          <cell r="F103" t="str">
            <v>FH</v>
          </cell>
          <cell r="G103" t="str">
            <v>Grid-DG-Batt.</v>
          </cell>
          <cell r="H103" t="str">
            <v>OK</v>
          </cell>
          <cell r="I103" t="str">
            <v>NO</v>
          </cell>
          <cell r="J103" t="str">
            <v>NO</v>
          </cell>
          <cell r="K103" t="str">
            <v>SILVER</v>
          </cell>
          <cell r="L103" t="str">
            <v>URBAN</v>
          </cell>
          <cell r="M103">
            <v>0</v>
          </cell>
          <cell r="N103" t="str">
            <v>LOME CENTRE</v>
          </cell>
        </row>
        <row r="104">
          <cell r="A104" t="str">
            <v>AGOMBIO</v>
          </cell>
          <cell r="B104">
            <v>44614</v>
          </cell>
          <cell r="C104" t="str">
            <v>CEN-095</v>
          </cell>
          <cell r="D104" t="str">
            <v>CENTRALE</v>
          </cell>
          <cell r="E104" t="str">
            <v>BLITTA</v>
          </cell>
          <cell r="F104" t="str">
            <v>FH</v>
          </cell>
          <cell r="G104" t="str">
            <v>DG-Solar-Batt.</v>
          </cell>
          <cell r="H104" t="str">
            <v>OK</v>
          </cell>
          <cell r="I104" t="str">
            <v>NO</v>
          </cell>
          <cell r="J104" t="str">
            <v>YES</v>
          </cell>
          <cell r="K104" t="str">
            <v>BRONZE</v>
          </cell>
          <cell r="L104" t="str">
            <v>rural</v>
          </cell>
          <cell r="M104" t="str">
            <v>70996406</v>
          </cell>
          <cell r="N104" t="str">
            <v>BLITTA</v>
          </cell>
        </row>
        <row r="105">
          <cell r="A105" t="str">
            <v>AGOME-GLOZOU</v>
          </cell>
          <cell r="B105">
            <v>41609</v>
          </cell>
          <cell r="C105" t="str">
            <v>MAR-045</v>
          </cell>
          <cell r="D105" t="str">
            <v>MARITIME</v>
          </cell>
          <cell r="E105" t="str">
            <v>ANEHO</v>
          </cell>
          <cell r="F105" t="str">
            <v>FH</v>
          </cell>
          <cell r="G105" t="str">
            <v>Grid-DG-Batt.</v>
          </cell>
          <cell r="H105" t="str">
            <v>OK</v>
          </cell>
          <cell r="I105" t="str">
            <v>NO</v>
          </cell>
          <cell r="J105" t="str">
            <v>NO</v>
          </cell>
          <cell r="K105" t="str">
            <v>BRONZE</v>
          </cell>
          <cell r="L105" t="str">
            <v>rural</v>
          </cell>
          <cell r="M105" t="str">
            <v>70996585</v>
          </cell>
          <cell r="N105" t="str">
            <v>ANEHO</v>
          </cell>
        </row>
        <row r="106">
          <cell r="A106" t="str">
            <v>AGOME-KOUTOUKPA</v>
          </cell>
          <cell r="B106">
            <v>40148</v>
          </cell>
          <cell r="C106" t="str">
            <v>PLA-008</v>
          </cell>
          <cell r="D106" t="str">
            <v>PLATEAUX</v>
          </cell>
          <cell r="E106" t="str">
            <v>ATAKPAME-OUEST</v>
          </cell>
          <cell r="F106" t="str">
            <v>FH</v>
          </cell>
          <cell r="G106" t="str">
            <v>Grid-DG-Batt.</v>
          </cell>
          <cell r="H106" t="str">
            <v>OK</v>
          </cell>
          <cell r="I106" t="str">
            <v>NO</v>
          </cell>
          <cell r="J106" t="str">
            <v>NO</v>
          </cell>
          <cell r="K106" t="str">
            <v>BRONZE</v>
          </cell>
          <cell r="L106" t="str">
            <v>rural</v>
          </cell>
          <cell r="M106" t="str">
            <v>70996586</v>
          </cell>
          <cell r="N106" t="str">
            <v>ATAKPAME</v>
          </cell>
        </row>
        <row r="107">
          <cell r="A107" t="str">
            <v>AGOME-MOOV</v>
          </cell>
          <cell r="B107">
            <v>45077</v>
          </cell>
          <cell r="C107" t="str">
            <v>LOM-327</v>
          </cell>
          <cell r="D107" t="str">
            <v>MARITIME</v>
          </cell>
          <cell r="E107" t="str">
            <v>TSEVIE</v>
          </cell>
          <cell r="F107" t="str">
            <v>FH</v>
          </cell>
          <cell r="G107" t="str">
            <v>Grid-DG-Batt.</v>
          </cell>
          <cell r="H107" t="str">
            <v>OK</v>
          </cell>
          <cell r="I107" t="str">
            <v>NO</v>
          </cell>
          <cell r="J107" t="str">
            <v>NO</v>
          </cell>
          <cell r="K107" t="str">
            <v>BRONZE</v>
          </cell>
          <cell r="L107" t="str">
            <v>SubUrbain</v>
          </cell>
          <cell r="M107">
            <v>0</v>
          </cell>
          <cell r="N107" t="str">
            <v>TSEVIE</v>
          </cell>
        </row>
        <row r="108">
          <cell r="A108" t="str">
            <v>AGOME-SEVA</v>
          </cell>
          <cell r="B108">
            <v>42110</v>
          </cell>
          <cell r="C108" t="str">
            <v>MAR-033</v>
          </cell>
          <cell r="D108" t="str">
            <v>MARITIME</v>
          </cell>
          <cell r="E108" t="str">
            <v>ANEHO</v>
          </cell>
          <cell r="F108" t="str">
            <v>FH</v>
          </cell>
          <cell r="G108" t="str">
            <v>DG-Solar-Batt.</v>
          </cell>
          <cell r="H108" t="str">
            <v>NOK</v>
          </cell>
          <cell r="I108" t="str">
            <v>NO</v>
          </cell>
          <cell r="J108" t="str">
            <v>NO</v>
          </cell>
          <cell r="K108" t="str">
            <v>BRONZE</v>
          </cell>
          <cell r="L108" t="str">
            <v>rural</v>
          </cell>
          <cell r="M108" t="str">
            <v>70996587</v>
          </cell>
          <cell r="N108" t="str">
            <v>ANEHO</v>
          </cell>
        </row>
        <row r="109">
          <cell r="A109" t="str">
            <v>AGOSSITO</v>
          </cell>
          <cell r="B109">
            <v>44624</v>
          </cell>
          <cell r="C109" t="str">
            <v>LOM-268</v>
          </cell>
          <cell r="D109" t="str">
            <v>LOME</v>
          </cell>
          <cell r="E109" t="str">
            <v>LOME-OUEST 1</v>
          </cell>
          <cell r="F109" t="str">
            <v>FH</v>
          </cell>
          <cell r="G109" t="str">
            <v>Grid-DG-Batt.</v>
          </cell>
          <cell r="H109" t="str">
            <v>NOK</v>
          </cell>
          <cell r="I109" t="str">
            <v>NO</v>
          </cell>
          <cell r="J109" t="str">
            <v>YES</v>
          </cell>
          <cell r="K109" t="str">
            <v>BRONZE</v>
          </cell>
          <cell r="L109" t="str">
            <v>SubUrbain</v>
          </cell>
          <cell r="M109" t="str">
            <v>70996454</v>
          </cell>
          <cell r="N109" t="str">
            <v>LOME OUEST1</v>
          </cell>
        </row>
        <row r="110">
          <cell r="A110" t="str">
            <v>AGOSSOU</v>
          </cell>
          <cell r="B110">
            <v>44702</v>
          </cell>
          <cell r="C110" t="str">
            <v>PLA-199</v>
          </cell>
          <cell r="D110" t="str">
            <v>PLATEAUX</v>
          </cell>
          <cell r="E110" t="str">
            <v>ATAKPAME-OUEST</v>
          </cell>
          <cell r="F110" t="str">
            <v>FH</v>
          </cell>
          <cell r="G110" t="str">
            <v>DG-Solar-Batt.</v>
          </cell>
          <cell r="H110" t="str">
            <v>OK</v>
          </cell>
          <cell r="I110" t="str">
            <v>NO</v>
          </cell>
          <cell r="J110" t="str">
            <v>YES</v>
          </cell>
          <cell r="K110" t="str">
            <v>BRONZE</v>
          </cell>
          <cell r="L110" t="str">
            <v>rural</v>
          </cell>
          <cell r="M110" t="str">
            <v>70996455</v>
          </cell>
          <cell r="N110" t="str">
            <v>ELAVAGNON</v>
          </cell>
        </row>
        <row r="111">
          <cell r="A111" t="str">
            <v>AGOTIGOME</v>
          </cell>
          <cell r="B111">
            <v>43902</v>
          </cell>
          <cell r="C111" t="str">
            <v>PLA-162</v>
          </cell>
          <cell r="D111" t="str">
            <v>MARITIME</v>
          </cell>
          <cell r="E111" t="str">
            <v>KPALIME</v>
          </cell>
          <cell r="F111" t="str">
            <v>FH</v>
          </cell>
          <cell r="G111" t="str">
            <v>DG-Batt.</v>
          </cell>
          <cell r="H111" t="str">
            <v>OK</v>
          </cell>
          <cell r="I111" t="str">
            <v>NO</v>
          </cell>
          <cell r="J111" t="str">
            <v>NO</v>
          </cell>
          <cell r="K111" t="str">
            <v>BRONZE</v>
          </cell>
          <cell r="L111" t="str">
            <v>rural</v>
          </cell>
          <cell r="M111" t="str">
            <v>70996588</v>
          </cell>
          <cell r="N111" t="str">
            <v>KPALIME</v>
          </cell>
        </row>
        <row r="112">
          <cell r="A112" t="str">
            <v>AGOTIME-ADAME</v>
          </cell>
          <cell r="B112">
            <v>41609</v>
          </cell>
          <cell r="C112" t="str">
            <v>PLA-046</v>
          </cell>
          <cell r="D112" t="str">
            <v>MARITIME</v>
          </cell>
          <cell r="E112" t="str">
            <v>KPALIME</v>
          </cell>
          <cell r="F112" t="str">
            <v>FH</v>
          </cell>
          <cell r="G112" t="str">
            <v>Grid-DG-Batt.</v>
          </cell>
          <cell r="H112" t="str">
            <v>NOK</v>
          </cell>
          <cell r="I112" t="str">
            <v>NO</v>
          </cell>
          <cell r="J112" t="str">
            <v>NO</v>
          </cell>
          <cell r="K112" t="str">
            <v>BRONZE</v>
          </cell>
          <cell r="L112" t="str">
            <v>rural</v>
          </cell>
          <cell r="M112" t="str">
            <v>70996589</v>
          </cell>
          <cell r="N112" t="str">
            <v>KPALIME</v>
          </cell>
        </row>
        <row r="113">
          <cell r="A113" t="str">
            <v>AGOTIME-ZOUKPE</v>
          </cell>
          <cell r="B113">
            <v>41609</v>
          </cell>
          <cell r="C113" t="str">
            <v>PLA-047</v>
          </cell>
          <cell r="D113" t="str">
            <v>MARITIME</v>
          </cell>
          <cell r="E113" t="str">
            <v>KPALIME</v>
          </cell>
          <cell r="F113" t="str">
            <v>FH</v>
          </cell>
          <cell r="G113" t="str">
            <v>DG-Solar-Batt.</v>
          </cell>
          <cell r="H113" t="str">
            <v>NOK</v>
          </cell>
          <cell r="I113" t="str">
            <v>NO</v>
          </cell>
          <cell r="J113" t="str">
            <v>NO</v>
          </cell>
          <cell r="K113" t="str">
            <v>BRONZE</v>
          </cell>
          <cell r="L113" t="str">
            <v>rural</v>
          </cell>
          <cell r="M113" t="str">
            <v>70996590</v>
          </cell>
          <cell r="N113" t="str">
            <v>KPALIME</v>
          </cell>
        </row>
        <row r="114">
          <cell r="A114" t="str">
            <v>AGOTRANS</v>
          </cell>
          <cell r="B114">
            <v>39753</v>
          </cell>
          <cell r="C114" t="str">
            <v>LOM-170</v>
          </cell>
          <cell r="D114" t="str">
            <v>LOME</v>
          </cell>
          <cell r="E114" t="str">
            <v>LOME-EST</v>
          </cell>
          <cell r="F114" t="str">
            <v>FO</v>
          </cell>
          <cell r="G114" t="str">
            <v>Grid-Batt.</v>
          </cell>
          <cell r="H114" t="str">
            <v>N/A</v>
          </cell>
          <cell r="I114" t="str">
            <v>YES</v>
          </cell>
          <cell r="J114" t="str">
            <v>YES</v>
          </cell>
          <cell r="K114" t="str">
            <v>PLATINUM</v>
          </cell>
          <cell r="L114" t="str">
            <v>Urbain</v>
          </cell>
          <cell r="M114" t="str">
            <v>70996591</v>
          </cell>
          <cell r="N114" t="str">
            <v>LOME EST</v>
          </cell>
        </row>
        <row r="115">
          <cell r="A115" t="str">
            <v>AGOU</v>
          </cell>
          <cell r="B115"/>
          <cell r="C115" t="str">
            <v>PLA-020</v>
          </cell>
          <cell r="D115" t="str">
            <v>MARITIME</v>
          </cell>
          <cell r="E115" t="str">
            <v>KPALIME</v>
          </cell>
          <cell r="F115" t="str">
            <v>FH</v>
          </cell>
          <cell r="G115" t="str">
            <v>Grid-DG-Batt.</v>
          </cell>
          <cell r="H115" t="str">
            <v>OK</v>
          </cell>
          <cell r="I115" t="str">
            <v>NO</v>
          </cell>
          <cell r="J115" t="str">
            <v>YES</v>
          </cell>
          <cell r="K115" t="str">
            <v>SILVER</v>
          </cell>
          <cell r="L115" t="str">
            <v>SubUrbain</v>
          </cell>
          <cell r="M115" t="str">
            <v>70996592</v>
          </cell>
          <cell r="N115" t="str">
            <v>KPALIME</v>
          </cell>
        </row>
        <row r="116">
          <cell r="A116" t="str">
            <v>AGOU-GARE</v>
          </cell>
          <cell r="B116">
            <v>40878</v>
          </cell>
          <cell r="C116" t="str">
            <v>PLA-021</v>
          </cell>
          <cell r="D116" t="str">
            <v>MARITIME</v>
          </cell>
          <cell r="E116" t="str">
            <v>KPALIME</v>
          </cell>
          <cell r="F116" t="str">
            <v>FH</v>
          </cell>
          <cell r="G116" t="str">
            <v>Grid-DG-Batt.</v>
          </cell>
          <cell r="H116" t="str">
            <v>NOK</v>
          </cell>
          <cell r="I116" t="str">
            <v>NO</v>
          </cell>
          <cell r="J116" t="str">
            <v>YES</v>
          </cell>
          <cell r="K116" t="str">
            <v>GOLD</v>
          </cell>
          <cell r="L116" t="str">
            <v>SubUrbain</v>
          </cell>
          <cell r="M116" t="str">
            <v>70996593</v>
          </cell>
          <cell r="N116" t="str">
            <v>KPALIME</v>
          </cell>
        </row>
        <row r="117">
          <cell r="A117" t="str">
            <v>AGOU-KATI</v>
          </cell>
          <cell r="B117">
            <v>39455</v>
          </cell>
          <cell r="C117" t="str">
            <v>PLA-039</v>
          </cell>
          <cell r="D117" t="str">
            <v>MARITIME</v>
          </cell>
          <cell r="E117" t="str">
            <v>KPALIME</v>
          </cell>
          <cell r="F117" t="str">
            <v>FH</v>
          </cell>
          <cell r="G117" t="str">
            <v>Grid-DG-Solar-Batt.</v>
          </cell>
          <cell r="H117" t="str">
            <v>OK</v>
          </cell>
          <cell r="I117" t="str">
            <v>NO</v>
          </cell>
          <cell r="J117" t="str">
            <v>YES</v>
          </cell>
          <cell r="K117" t="str">
            <v>BRONZE</v>
          </cell>
          <cell r="L117" t="str">
            <v>rural</v>
          </cell>
          <cell r="M117" t="e">
            <v>#N/A</v>
          </cell>
          <cell r="N117" t="str">
            <v>KPALIME</v>
          </cell>
        </row>
        <row r="118">
          <cell r="A118" t="str">
            <v>AGOULOUDE</v>
          </cell>
          <cell r="B118">
            <v>40148</v>
          </cell>
          <cell r="C118" t="str">
            <v>CEN-049</v>
          </cell>
          <cell r="D118" t="str">
            <v>CENTRALE</v>
          </cell>
          <cell r="E118" t="str">
            <v>SOKODE</v>
          </cell>
          <cell r="F118" t="str">
            <v>FH</v>
          </cell>
          <cell r="G118" t="str">
            <v>Grid-DG-Solar-Batt.</v>
          </cell>
          <cell r="H118" t="str">
            <v>NOK</v>
          </cell>
          <cell r="I118" t="str">
            <v>NO</v>
          </cell>
          <cell r="J118" t="str">
            <v>NO</v>
          </cell>
          <cell r="K118" t="str">
            <v>BRONZE</v>
          </cell>
          <cell r="L118" t="str">
            <v>rural</v>
          </cell>
          <cell r="M118" t="str">
            <v>70996595</v>
          </cell>
          <cell r="N118" t="str">
            <v>SOKODE</v>
          </cell>
        </row>
        <row r="119">
          <cell r="A119" t="str">
            <v>AGOUNDE</v>
          </cell>
          <cell r="B119">
            <v>43720</v>
          </cell>
          <cell r="C119" t="str">
            <v>KAR-096</v>
          </cell>
          <cell r="D119" t="str">
            <v>KARA</v>
          </cell>
          <cell r="E119" t="str">
            <v>KANTE</v>
          </cell>
          <cell r="F119" t="str">
            <v>FH</v>
          </cell>
          <cell r="G119" t="str">
            <v>DG-Solar-Batt.</v>
          </cell>
          <cell r="H119" t="str">
            <v>OK</v>
          </cell>
          <cell r="I119" t="str">
            <v>NO</v>
          </cell>
          <cell r="J119" t="str">
            <v>NO</v>
          </cell>
          <cell r="K119" t="str">
            <v>BRONZE</v>
          </cell>
          <cell r="L119" t="str">
            <v>rural</v>
          </cell>
          <cell r="M119" t="str">
            <v>70996596</v>
          </cell>
          <cell r="N119" t="str">
            <v>KANTE</v>
          </cell>
        </row>
        <row r="120">
          <cell r="A120" t="str">
            <v>AGOUNYOGBO</v>
          </cell>
          <cell r="B120">
            <v>41458</v>
          </cell>
          <cell r="C120" t="str">
            <v>PLA-022</v>
          </cell>
          <cell r="D120" t="str">
            <v>MARITIME</v>
          </cell>
          <cell r="E120" t="str">
            <v>KPALIME</v>
          </cell>
          <cell r="F120" t="str">
            <v>FH</v>
          </cell>
          <cell r="G120" t="str">
            <v>Grid-DG-Batt.</v>
          </cell>
          <cell r="H120" t="str">
            <v>OK</v>
          </cell>
          <cell r="I120" t="str">
            <v>NO</v>
          </cell>
          <cell r="J120" t="str">
            <v>NO</v>
          </cell>
          <cell r="K120" t="str">
            <v>BRONZE</v>
          </cell>
          <cell r="L120" t="str">
            <v>SubUrbain</v>
          </cell>
          <cell r="M120" t="str">
            <v>70996597</v>
          </cell>
          <cell r="N120" t="str">
            <v>KPALIME</v>
          </cell>
        </row>
        <row r="121">
          <cell r="A121" t="str">
            <v>AGOVOUDOU</v>
          </cell>
          <cell r="B121">
            <v>44091</v>
          </cell>
          <cell r="C121" t="str">
            <v>MAR-092</v>
          </cell>
          <cell r="D121" t="str">
            <v>LOME</v>
          </cell>
          <cell r="E121" t="str">
            <v>LOME-EST</v>
          </cell>
          <cell r="F121" t="str">
            <v>FH</v>
          </cell>
          <cell r="G121" t="str">
            <v>Grid-DG-Batt.</v>
          </cell>
          <cell r="H121" t="str">
            <v>OK</v>
          </cell>
          <cell r="I121" t="str">
            <v>NO</v>
          </cell>
          <cell r="J121" t="str">
            <v>NO</v>
          </cell>
          <cell r="K121" t="str">
            <v>BRONZE</v>
          </cell>
          <cell r="L121" t="str">
            <v>rural</v>
          </cell>
          <cell r="M121" t="str">
            <v>70996598</v>
          </cell>
          <cell r="N121" t="str">
            <v>LOME EST</v>
          </cell>
        </row>
        <row r="122">
          <cell r="A122" t="str">
            <v>AGUIAKOME</v>
          </cell>
          <cell r="B122">
            <v>40626</v>
          </cell>
          <cell r="C122" t="str">
            <v>LOM-162</v>
          </cell>
          <cell r="D122" t="str">
            <v>LOME</v>
          </cell>
          <cell r="E122" t="str">
            <v>LOME-SUD</v>
          </cell>
          <cell r="F122" t="str">
            <v>FO</v>
          </cell>
          <cell r="G122" t="str">
            <v>Grid-Batt.</v>
          </cell>
          <cell r="H122" t="str">
            <v>N/A</v>
          </cell>
          <cell r="I122" t="str">
            <v>YES</v>
          </cell>
          <cell r="J122" t="str">
            <v>NO</v>
          </cell>
          <cell r="K122" t="str">
            <v>SILVER</v>
          </cell>
          <cell r="L122" t="str">
            <v>Urbain</v>
          </cell>
          <cell r="M122">
            <v>0</v>
          </cell>
          <cell r="N122" t="str">
            <v>LOME SUD</v>
          </cell>
        </row>
        <row r="123">
          <cell r="A123" t="str">
            <v>AHADJIKPOTA</v>
          </cell>
          <cell r="B123">
            <v>43800</v>
          </cell>
          <cell r="C123" t="str">
            <v>LOM-186</v>
          </cell>
          <cell r="D123" t="str">
            <v>LOME</v>
          </cell>
          <cell r="E123" t="str">
            <v>LOME-EST</v>
          </cell>
          <cell r="F123" t="str">
            <v>FO</v>
          </cell>
          <cell r="G123" t="str">
            <v>Grid-DG-Batt.</v>
          </cell>
          <cell r="H123" t="str">
            <v>OK</v>
          </cell>
          <cell r="I123" t="str">
            <v>NO</v>
          </cell>
          <cell r="J123" t="str">
            <v>NO</v>
          </cell>
          <cell r="K123" t="str">
            <v>PLATINUM</v>
          </cell>
          <cell r="L123" t="str">
            <v>Urbain</v>
          </cell>
          <cell r="M123">
            <v>0</v>
          </cell>
          <cell r="N123" t="str">
            <v>LOME EST</v>
          </cell>
        </row>
        <row r="124">
          <cell r="A124" t="str">
            <v>AHASSOME</v>
          </cell>
          <cell r="B124">
            <v>40513</v>
          </cell>
          <cell r="C124" t="str">
            <v>PLA-134</v>
          </cell>
          <cell r="D124" t="str">
            <v>PLATEAUX</v>
          </cell>
          <cell r="E124" t="str">
            <v>NOTSE</v>
          </cell>
          <cell r="F124" t="str">
            <v>FH</v>
          </cell>
          <cell r="G124" t="str">
            <v>DG-Solar-Batt.</v>
          </cell>
          <cell r="H124" t="str">
            <v>OK</v>
          </cell>
          <cell r="I124" t="str">
            <v>NO</v>
          </cell>
          <cell r="J124" t="str">
            <v>NO</v>
          </cell>
          <cell r="K124" t="str">
            <v>BRONZE</v>
          </cell>
          <cell r="L124" t="str">
            <v>rural</v>
          </cell>
          <cell r="M124" t="str">
            <v>70996599</v>
          </cell>
          <cell r="N124" t="str">
            <v>NOTSE</v>
          </cell>
        </row>
        <row r="125">
          <cell r="A125" t="str">
            <v>AHEPE</v>
          </cell>
          <cell r="B125">
            <v>40165</v>
          </cell>
          <cell r="C125" t="str">
            <v>MAR-039</v>
          </cell>
          <cell r="D125" t="str">
            <v>MARITIME</v>
          </cell>
          <cell r="E125" t="str">
            <v>TSEVIE</v>
          </cell>
          <cell r="F125" t="str">
            <v>FH</v>
          </cell>
          <cell r="G125" t="str">
            <v>Grid-DG-Batt.</v>
          </cell>
          <cell r="H125" t="str">
            <v>OK</v>
          </cell>
          <cell r="I125" t="str">
            <v>YES</v>
          </cell>
          <cell r="J125" t="str">
            <v>NO</v>
          </cell>
          <cell r="K125" t="str">
            <v>SILVER</v>
          </cell>
          <cell r="L125" t="str">
            <v>SubUrbain</v>
          </cell>
          <cell r="M125" t="str">
            <v>70996600</v>
          </cell>
          <cell r="N125" t="str">
            <v>TSEVIE</v>
          </cell>
        </row>
        <row r="126">
          <cell r="A126" t="str">
            <v>AHLIGO</v>
          </cell>
          <cell r="B126">
            <v>42746</v>
          </cell>
          <cell r="C126" t="str">
            <v>LOM-171</v>
          </cell>
          <cell r="D126" t="str">
            <v>LOME</v>
          </cell>
          <cell r="E126" t="str">
            <v>LOME-SUD</v>
          </cell>
          <cell r="F126" t="str">
            <v>FO</v>
          </cell>
          <cell r="G126" t="str">
            <v>Grid-DG-Batt.</v>
          </cell>
          <cell r="H126" t="str">
            <v>N/A</v>
          </cell>
          <cell r="I126" t="str">
            <v>NO</v>
          </cell>
          <cell r="J126" t="str">
            <v>NO</v>
          </cell>
          <cell r="K126" t="str">
            <v>SILVER</v>
          </cell>
          <cell r="L126" t="str">
            <v>Urbain</v>
          </cell>
          <cell r="M126">
            <v>0</v>
          </cell>
          <cell r="N126" t="str">
            <v>LOME SUD</v>
          </cell>
        </row>
        <row r="127">
          <cell r="A127" t="str">
            <v>AHLIGO2</v>
          </cell>
          <cell r="B127">
            <v>45113</v>
          </cell>
          <cell r="C127" t="str">
            <v>LOM-358</v>
          </cell>
          <cell r="D127" t="str">
            <v>LOME</v>
          </cell>
          <cell r="E127" t="str">
            <v>LOME-SUD</v>
          </cell>
          <cell r="F127" t="str">
            <v>FH</v>
          </cell>
          <cell r="G127" t="str">
            <v>Grid-DG-Batt.</v>
          </cell>
          <cell r="H127" t="str">
            <v>OK</v>
          </cell>
          <cell r="I127" t="str">
            <v>NO</v>
          </cell>
          <cell r="J127" t="str">
            <v>NO</v>
          </cell>
          <cell r="K127" t="str">
            <v>BRONZE</v>
          </cell>
          <cell r="L127" t="str">
            <v>Urbain</v>
          </cell>
          <cell r="M127">
            <v>70997319</v>
          </cell>
          <cell r="N127" t="str">
            <v>LOME SUD</v>
          </cell>
        </row>
        <row r="128">
          <cell r="A128" t="str">
            <v>AHOMA-MOOV</v>
          </cell>
          <cell r="B128">
            <v>44009</v>
          </cell>
          <cell r="C128" t="str">
            <v>PLA-191</v>
          </cell>
          <cell r="D128" t="str">
            <v>PLATEAUX</v>
          </cell>
          <cell r="E128" t="str">
            <v>ATAKPAME-EST</v>
          </cell>
          <cell r="F128" t="str">
            <v>FH</v>
          </cell>
          <cell r="G128" t="str">
            <v>DG-Batt.</v>
          </cell>
          <cell r="H128" t="str">
            <v>OK</v>
          </cell>
          <cell r="I128" t="str">
            <v>NO</v>
          </cell>
          <cell r="J128" t="str">
            <v>NO</v>
          </cell>
          <cell r="K128" t="str">
            <v>BRONZE</v>
          </cell>
          <cell r="L128" t="str">
            <v>rural</v>
          </cell>
          <cell r="M128" t="str">
            <v>70996601</v>
          </cell>
          <cell r="N128" t="str">
            <v>ATAKPAME</v>
          </cell>
        </row>
        <row r="129">
          <cell r="A129" t="str">
            <v>AKA</v>
          </cell>
          <cell r="B129">
            <v>40673</v>
          </cell>
          <cell r="C129" t="str">
            <v>PLA-096</v>
          </cell>
          <cell r="D129" t="str">
            <v>PLATEAUX</v>
          </cell>
          <cell r="E129" t="str">
            <v>BADOU</v>
          </cell>
          <cell r="F129" t="str">
            <v>FH</v>
          </cell>
          <cell r="G129" t="str">
            <v>DG-Solar-Batt.</v>
          </cell>
          <cell r="H129" t="str">
            <v>OK</v>
          </cell>
          <cell r="I129" t="str">
            <v>NO</v>
          </cell>
          <cell r="J129" t="str">
            <v>NO</v>
          </cell>
          <cell r="K129" t="str">
            <v>BRONZE</v>
          </cell>
          <cell r="L129" t="str">
            <v>rural</v>
          </cell>
          <cell r="M129" t="str">
            <v>70996602</v>
          </cell>
          <cell r="N129" t="str">
            <v>BADOU</v>
          </cell>
        </row>
        <row r="130">
          <cell r="A130" t="str">
            <v>AKABA</v>
          </cell>
          <cell r="B130">
            <v>39975</v>
          </cell>
          <cell r="C130" t="str">
            <v>PLA-091</v>
          </cell>
          <cell r="D130" t="str">
            <v>CENTRALE</v>
          </cell>
          <cell r="E130" t="str">
            <v>BLITTA</v>
          </cell>
          <cell r="F130" t="str">
            <v>FH</v>
          </cell>
          <cell r="G130" t="str">
            <v>DG-Solar-Batt.</v>
          </cell>
          <cell r="H130" t="str">
            <v>NOK</v>
          </cell>
          <cell r="I130" t="str">
            <v>NO</v>
          </cell>
          <cell r="J130" t="str">
            <v>NO</v>
          </cell>
          <cell r="K130" t="str">
            <v>BRONZE</v>
          </cell>
          <cell r="L130" t="str">
            <v>rural</v>
          </cell>
          <cell r="M130" t="str">
            <v>70996603</v>
          </cell>
          <cell r="N130" t="str">
            <v>ELAVAGNON</v>
          </cell>
        </row>
        <row r="131">
          <cell r="A131" t="str">
            <v>AKAMADE</v>
          </cell>
          <cell r="B131">
            <v>40714</v>
          </cell>
          <cell r="C131" t="str">
            <v>CEN-001</v>
          </cell>
          <cell r="D131" t="str">
            <v>CENTRALE</v>
          </cell>
          <cell r="E131" t="str">
            <v>SOKODE</v>
          </cell>
          <cell r="F131" t="str">
            <v>FO</v>
          </cell>
          <cell r="G131" t="str">
            <v>Grid-2DG-Batt.</v>
          </cell>
          <cell r="H131" t="str">
            <v>OK</v>
          </cell>
          <cell r="I131" t="str">
            <v>NO</v>
          </cell>
          <cell r="J131" t="str">
            <v>NO</v>
          </cell>
          <cell r="K131" t="str">
            <v>GOLD</v>
          </cell>
          <cell r="L131" t="str">
            <v>rural</v>
          </cell>
          <cell r="M131">
            <v>0</v>
          </cell>
          <cell r="N131" t="str">
            <v>SOKODE</v>
          </cell>
        </row>
        <row r="132">
          <cell r="A132" t="str">
            <v>AKAMADE2</v>
          </cell>
          <cell r="B132">
            <v>44644</v>
          </cell>
          <cell r="C132" t="str">
            <v>CEN-103</v>
          </cell>
          <cell r="D132" t="str">
            <v>CENTRALE</v>
          </cell>
          <cell r="E132" t="str">
            <v>SOKODE</v>
          </cell>
          <cell r="F132" t="str">
            <v>FH</v>
          </cell>
          <cell r="G132" t="str">
            <v>Grid-DG-Batt.</v>
          </cell>
          <cell r="H132" t="str">
            <v>OK</v>
          </cell>
          <cell r="I132" t="str">
            <v>NO</v>
          </cell>
          <cell r="J132" t="str">
            <v>YES</v>
          </cell>
          <cell r="K132" t="str">
            <v>BRONZE</v>
          </cell>
          <cell r="L132" t="str">
            <v>Urbain</v>
          </cell>
          <cell r="M132" t="str">
            <v>70996407</v>
          </cell>
          <cell r="N132" t="str">
            <v>SOKODE</v>
          </cell>
        </row>
        <row r="133">
          <cell r="A133" t="str">
            <v>AKATO</v>
          </cell>
          <cell r="B133">
            <v>44611</v>
          </cell>
          <cell r="C133" t="str">
            <v>LOM-294</v>
          </cell>
          <cell r="D133" t="str">
            <v>LOME</v>
          </cell>
          <cell r="E133" t="str">
            <v>LOME-OUEST 2</v>
          </cell>
          <cell r="F133" t="str">
            <v>FH</v>
          </cell>
          <cell r="G133" t="str">
            <v>Grid-DG-Batt.</v>
          </cell>
          <cell r="H133" t="str">
            <v>OK</v>
          </cell>
          <cell r="I133" t="str">
            <v>NO</v>
          </cell>
          <cell r="J133" t="str">
            <v>YES</v>
          </cell>
          <cell r="K133" t="str">
            <v>SILVER</v>
          </cell>
          <cell r="L133" t="str">
            <v>SubUrbain</v>
          </cell>
          <cell r="M133" t="str">
            <v>70996456</v>
          </cell>
          <cell r="N133" t="str">
            <v>LOME OUEST2</v>
          </cell>
        </row>
        <row r="134">
          <cell r="A134" t="str">
            <v>AKAWLOU-MOOV</v>
          </cell>
          <cell r="B134">
            <v>45022</v>
          </cell>
          <cell r="C134" t="str">
            <v>CEN-111</v>
          </cell>
          <cell r="D134" t="str">
            <v>CENTRALE</v>
          </cell>
          <cell r="E134" t="str">
            <v>TCHAMBA</v>
          </cell>
          <cell r="F134" t="str">
            <v>FH</v>
          </cell>
          <cell r="G134" t="str">
            <v>DG-Solar-Batt.</v>
          </cell>
          <cell r="H134" t="str">
            <v>NOK</v>
          </cell>
          <cell r="I134" t="str">
            <v>NO</v>
          </cell>
          <cell r="J134" t="str">
            <v>YES</v>
          </cell>
          <cell r="K134" t="str">
            <v>BRONZE</v>
          </cell>
          <cell r="L134" t="str">
            <v>rural</v>
          </cell>
          <cell r="M134">
            <v>70997263</v>
          </cell>
          <cell r="N134" t="str">
            <v>TCHAMBA</v>
          </cell>
        </row>
        <row r="135">
          <cell r="A135" t="str">
            <v>AKEPE</v>
          </cell>
          <cell r="B135">
            <v>44065</v>
          </cell>
          <cell r="C135" t="str">
            <v>MAR-090</v>
          </cell>
          <cell r="D135" t="str">
            <v>LOME</v>
          </cell>
          <cell r="E135" t="str">
            <v>LOME-OUEST 1</v>
          </cell>
          <cell r="F135" t="str">
            <v>FH</v>
          </cell>
          <cell r="G135" t="str">
            <v>Grid-DG-Batt.</v>
          </cell>
          <cell r="H135" t="str">
            <v>OK</v>
          </cell>
          <cell r="I135" t="str">
            <v>NO</v>
          </cell>
          <cell r="J135" t="str">
            <v>NO</v>
          </cell>
          <cell r="K135" t="str">
            <v>SILVER</v>
          </cell>
          <cell r="L135" t="str">
            <v>SubUrbain</v>
          </cell>
          <cell r="M135" t="str">
            <v>70996604</v>
          </cell>
          <cell r="N135" t="str">
            <v>LOME OUEST1</v>
          </cell>
        </row>
        <row r="136">
          <cell r="A136" t="str">
            <v>AKEPEDO-PEAGE</v>
          </cell>
          <cell r="B136">
            <v>44548</v>
          </cell>
          <cell r="C136" t="str">
            <v>LOM-269</v>
          </cell>
          <cell r="D136" t="str">
            <v>LOME</v>
          </cell>
          <cell r="E136" t="str">
            <v>LOME-OUEST 1</v>
          </cell>
          <cell r="F136" t="str">
            <v>FH</v>
          </cell>
          <cell r="G136" t="str">
            <v>Grid-DG-Batt.</v>
          </cell>
          <cell r="H136" t="str">
            <v>OK</v>
          </cell>
          <cell r="I136" t="str">
            <v>NO</v>
          </cell>
          <cell r="J136" t="str">
            <v>YES</v>
          </cell>
          <cell r="K136" t="str">
            <v>SILVER</v>
          </cell>
          <cell r="L136" t="str">
            <v>SubUrbain</v>
          </cell>
          <cell r="M136" t="str">
            <v>70996457</v>
          </cell>
          <cell r="N136" t="str">
            <v>LOME OUEST1</v>
          </cell>
        </row>
        <row r="137">
          <cell r="A137" t="str">
            <v>AKLADJENOU</v>
          </cell>
          <cell r="B137">
            <v>45259</v>
          </cell>
          <cell r="C137" t="str">
            <v>MAR-162</v>
          </cell>
          <cell r="D137" t="str">
            <v>MARITIME</v>
          </cell>
          <cell r="E137" t="str">
            <v>ANEHO</v>
          </cell>
          <cell r="F137" t="str">
            <v>FH</v>
          </cell>
          <cell r="G137" t="str">
            <v>DG-Solar-Batt.</v>
          </cell>
          <cell r="H137" t="str">
            <v>OK</v>
          </cell>
          <cell r="I137" t="str">
            <v>NO</v>
          </cell>
          <cell r="J137" t="str">
            <v>NO</v>
          </cell>
          <cell r="K137" t="str">
            <v>BRONZE</v>
          </cell>
          <cell r="L137" t="str">
            <v>RURAL</v>
          </cell>
          <cell r="M137">
            <v>0</v>
          </cell>
          <cell r="N137" t="str">
            <v>ANEHO</v>
          </cell>
        </row>
        <row r="138">
          <cell r="A138" t="str">
            <v>AKLAKOU</v>
          </cell>
          <cell r="B138">
            <v>38322</v>
          </cell>
          <cell r="C138" t="str">
            <v>MAR-026</v>
          </cell>
          <cell r="D138" t="str">
            <v>MARITIME</v>
          </cell>
          <cell r="E138" t="str">
            <v>ANEHO</v>
          </cell>
          <cell r="F138" t="str">
            <v>FH</v>
          </cell>
          <cell r="G138" t="str">
            <v>Grid-DG-Batt.</v>
          </cell>
          <cell r="H138" t="str">
            <v>OK</v>
          </cell>
          <cell r="I138" t="str">
            <v>NO</v>
          </cell>
          <cell r="J138" t="str">
            <v>NO</v>
          </cell>
          <cell r="K138" t="str">
            <v>BRONZE</v>
          </cell>
          <cell r="L138" t="str">
            <v>SubUrbain</v>
          </cell>
          <cell r="M138" t="str">
            <v>70996605</v>
          </cell>
          <cell r="N138" t="str">
            <v>ANEHO</v>
          </cell>
        </row>
        <row r="139">
          <cell r="A139" t="str">
            <v>AKODESSEWA</v>
          </cell>
          <cell r="B139">
            <v>39417</v>
          </cell>
          <cell r="C139" t="str">
            <v>LOM-191</v>
          </cell>
          <cell r="D139" t="str">
            <v>LOME</v>
          </cell>
          <cell r="E139" t="str">
            <v>LOME-EST</v>
          </cell>
          <cell r="F139" t="str">
            <v>FO</v>
          </cell>
          <cell r="G139" t="str">
            <v>Grid-DG-Batt.</v>
          </cell>
          <cell r="H139" t="str">
            <v>NOK</v>
          </cell>
          <cell r="I139" t="str">
            <v>NO</v>
          </cell>
          <cell r="J139" t="str">
            <v>YES</v>
          </cell>
          <cell r="K139" t="str">
            <v>PLATINUM</v>
          </cell>
          <cell r="L139" t="str">
            <v>Urbain</v>
          </cell>
          <cell r="M139" t="str">
            <v>70996606</v>
          </cell>
          <cell r="N139" t="str">
            <v>LOME EST</v>
          </cell>
        </row>
        <row r="140">
          <cell r="A140" t="str">
            <v>AKOIN</v>
          </cell>
          <cell r="B140">
            <v>44787</v>
          </cell>
          <cell r="C140" t="str">
            <v>LOM-295</v>
          </cell>
          <cell r="D140" t="str">
            <v>LOME</v>
          </cell>
          <cell r="E140" t="str">
            <v>LOME-NORD</v>
          </cell>
          <cell r="F140" t="str">
            <v>FH</v>
          </cell>
          <cell r="G140" t="str">
            <v>Grid-DG-Batt.</v>
          </cell>
          <cell r="H140" t="str">
            <v>OK</v>
          </cell>
          <cell r="I140" t="str">
            <v>NO</v>
          </cell>
          <cell r="J140" t="str">
            <v>YES</v>
          </cell>
          <cell r="K140" t="str">
            <v>GOLD</v>
          </cell>
          <cell r="L140" t="str">
            <v>SubUrbain</v>
          </cell>
          <cell r="M140" t="str">
            <v>70996501</v>
          </cell>
          <cell r="N140" t="str">
            <v>LOME NORD</v>
          </cell>
        </row>
        <row r="141">
          <cell r="A141" t="str">
            <v>AKOUMAPE</v>
          </cell>
          <cell r="B141">
            <v>40760</v>
          </cell>
          <cell r="C141" t="str">
            <v>MAR-021</v>
          </cell>
          <cell r="D141" t="str">
            <v>MARITIME</v>
          </cell>
          <cell r="E141" t="str">
            <v>ANEHO</v>
          </cell>
          <cell r="F141" t="str">
            <v>FH</v>
          </cell>
          <cell r="G141" t="str">
            <v>Grid-DG-Batt.</v>
          </cell>
          <cell r="H141" t="str">
            <v>OK</v>
          </cell>
          <cell r="I141" t="str">
            <v>NO</v>
          </cell>
          <cell r="J141" t="str">
            <v>NO</v>
          </cell>
          <cell r="K141" t="str">
            <v>BRONZE</v>
          </cell>
          <cell r="L141" t="str">
            <v>rural</v>
          </cell>
          <cell r="M141" t="str">
            <v>70996607</v>
          </cell>
          <cell r="N141" t="str">
            <v>ANEHO</v>
          </cell>
        </row>
        <row r="142">
          <cell r="A142" t="str">
            <v>AKPARE</v>
          </cell>
          <cell r="B142">
            <v>38457</v>
          </cell>
          <cell r="C142" t="str">
            <v>PLA-122</v>
          </cell>
          <cell r="D142" t="str">
            <v>PLATEAUX</v>
          </cell>
          <cell r="E142" t="str">
            <v>ATAKPAME-EST</v>
          </cell>
          <cell r="F142" t="str">
            <v>FH</v>
          </cell>
          <cell r="G142" t="str">
            <v>Grid-DG-Solar-Batt.</v>
          </cell>
          <cell r="H142" t="str">
            <v>NOK</v>
          </cell>
          <cell r="I142" t="str">
            <v>NO</v>
          </cell>
          <cell r="J142" t="str">
            <v>NO</v>
          </cell>
          <cell r="K142" t="str">
            <v>BRONZE</v>
          </cell>
          <cell r="L142" t="str">
            <v>rural</v>
          </cell>
          <cell r="M142" t="str">
            <v>70996608</v>
          </cell>
          <cell r="N142" t="str">
            <v>ATAKPAME</v>
          </cell>
        </row>
        <row r="143">
          <cell r="A143" t="str">
            <v>AKPLODJIGA</v>
          </cell>
          <cell r="B143">
            <v>44702</v>
          </cell>
          <cell r="C143" t="str">
            <v>MAR-139</v>
          </cell>
          <cell r="D143" t="str">
            <v>LOME</v>
          </cell>
          <cell r="E143" t="str">
            <v>LOME-OUEST 1</v>
          </cell>
          <cell r="F143" t="str">
            <v>FH</v>
          </cell>
          <cell r="G143" t="str">
            <v>Grid-DG-Batt.</v>
          </cell>
          <cell r="H143" t="str">
            <v>OK</v>
          </cell>
          <cell r="I143" t="str">
            <v>NO</v>
          </cell>
          <cell r="J143" t="str">
            <v>YES</v>
          </cell>
          <cell r="K143" t="str">
            <v>BRONZE</v>
          </cell>
          <cell r="L143" t="str">
            <v>SubUrbain</v>
          </cell>
          <cell r="M143" t="str">
            <v>70996458</v>
          </cell>
          <cell r="N143" t="str">
            <v>LOME OUEST1</v>
          </cell>
        </row>
        <row r="144">
          <cell r="A144" t="str">
            <v>AKPOSSOU</v>
          </cell>
          <cell r="B144">
            <v>43869</v>
          </cell>
          <cell r="C144" t="str">
            <v>SAV-073</v>
          </cell>
          <cell r="D144" t="str">
            <v>SAVANES</v>
          </cell>
          <cell r="E144" t="str">
            <v>MANGO</v>
          </cell>
          <cell r="F144" t="str">
            <v>FH</v>
          </cell>
          <cell r="G144" t="str">
            <v>Grid-DG-Batt.</v>
          </cell>
          <cell r="H144" t="str">
            <v>OK</v>
          </cell>
          <cell r="I144" t="str">
            <v>NO</v>
          </cell>
          <cell r="J144" t="str">
            <v>YES</v>
          </cell>
          <cell r="K144" t="str">
            <v>BRONZE</v>
          </cell>
          <cell r="L144" t="str">
            <v>rural</v>
          </cell>
          <cell r="M144" t="str">
            <v>70996609</v>
          </cell>
          <cell r="N144" t="str">
            <v>MANGO</v>
          </cell>
        </row>
        <row r="145">
          <cell r="A145" t="str">
            <v>ALAOUSSO</v>
          </cell>
          <cell r="B145">
            <v>44035</v>
          </cell>
          <cell r="C145" t="str">
            <v>PLA-187</v>
          </cell>
          <cell r="D145" t="str">
            <v>PLATEAUX</v>
          </cell>
          <cell r="E145" t="str">
            <v>BADOU</v>
          </cell>
          <cell r="F145" t="str">
            <v>FH</v>
          </cell>
          <cell r="G145" t="str">
            <v>DG-Solar-Batt.</v>
          </cell>
          <cell r="H145" t="str">
            <v>OK</v>
          </cell>
          <cell r="I145" t="str">
            <v>NO</v>
          </cell>
          <cell r="J145" t="str">
            <v>YES</v>
          </cell>
          <cell r="K145" t="str">
            <v>BRONZE</v>
          </cell>
          <cell r="L145" t="str">
            <v>rural</v>
          </cell>
          <cell r="M145" t="str">
            <v>70996610</v>
          </cell>
          <cell r="N145" t="str">
            <v>BADOU</v>
          </cell>
        </row>
        <row r="146">
          <cell r="A146" t="str">
            <v>ALEDJO</v>
          </cell>
          <cell r="B146"/>
          <cell r="C146" t="str">
            <v>KAR-075</v>
          </cell>
          <cell r="D146" t="str">
            <v>KARA</v>
          </cell>
          <cell r="E146" t="str">
            <v>KARA-OUEST</v>
          </cell>
          <cell r="F146" t="str">
            <v>FH</v>
          </cell>
          <cell r="G146" t="str">
            <v>Grid-DG-Batt.</v>
          </cell>
          <cell r="H146" t="str">
            <v>NOK</v>
          </cell>
          <cell r="I146" t="str">
            <v>NO</v>
          </cell>
          <cell r="J146" t="str">
            <v>YES</v>
          </cell>
          <cell r="K146" t="str">
            <v>BRONZE</v>
          </cell>
          <cell r="L146" t="str">
            <v>rural</v>
          </cell>
          <cell r="M146" t="str">
            <v>70996611</v>
          </cell>
          <cell r="N146" t="str">
            <v>KARA OUEST</v>
          </cell>
        </row>
        <row r="147">
          <cell r="A147" t="str">
            <v>ALEHERIDE</v>
          </cell>
          <cell r="B147">
            <v>40635</v>
          </cell>
          <cell r="C147" t="str">
            <v>CEN-046</v>
          </cell>
          <cell r="D147" t="str">
            <v>CENTRALE</v>
          </cell>
          <cell r="E147" t="str">
            <v>SOKODE</v>
          </cell>
          <cell r="F147" t="str">
            <v>FH</v>
          </cell>
          <cell r="G147" t="str">
            <v>Grid-DG-Batt.</v>
          </cell>
          <cell r="H147" t="str">
            <v>NOK</v>
          </cell>
          <cell r="I147" t="str">
            <v>NO</v>
          </cell>
          <cell r="J147" t="str">
            <v>NO</v>
          </cell>
          <cell r="K147" t="str">
            <v>SILVER</v>
          </cell>
          <cell r="L147" t="str">
            <v>rural</v>
          </cell>
          <cell r="M147" t="str">
            <v>70996612</v>
          </cell>
          <cell r="N147" t="str">
            <v>SOKODE</v>
          </cell>
        </row>
        <row r="148">
          <cell r="A148" t="str">
            <v>ALIBI1</v>
          </cell>
          <cell r="B148">
            <v>40148</v>
          </cell>
          <cell r="C148" t="str">
            <v>CEN-016</v>
          </cell>
          <cell r="D148" t="str">
            <v>CENTRALE</v>
          </cell>
          <cell r="E148" t="str">
            <v>TCHAMBA</v>
          </cell>
          <cell r="F148" t="str">
            <v>FH</v>
          </cell>
          <cell r="G148" t="str">
            <v>DG-Solar-Batt.</v>
          </cell>
          <cell r="H148" t="str">
            <v>OK</v>
          </cell>
          <cell r="I148" t="str">
            <v>NO</v>
          </cell>
          <cell r="J148" t="str">
            <v>NO</v>
          </cell>
          <cell r="K148" t="str">
            <v>BRONZE</v>
          </cell>
          <cell r="L148" t="str">
            <v>rural</v>
          </cell>
          <cell r="M148" t="str">
            <v>70996613</v>
          </cell>
          <cell r="N148" t="str">
            <v>TCHAMBA</v>
          </cell>
        </row>
        <row r="149">
          <cell r="A149" t="str">
            <v>ALIBI2</v>
          </cell>
          <cell r="B149">
            <v>39417</v>
          </cell>
          <cell r="C149" t="str">
            <v>CEN-017</v>
          </cell>
          <cell r="D149" t="str">
            <v>CENTRALE</v>
          </cell>
          <cell r="E149" t="str">
            <v>TCHAMBA</v>
          </cell>
          <cell r="F149" t="str">
            <v>FH</v>
          </cell>
          <cell r="G149" t="str">
            <v>Grid-DG-Solar-Batt.</v>
          </cell>
          <cell r="H149" t="str">
            <v>OK</v>
          </cell>
          <cell r="I149" t="str">
            <v>NO</v>
          </cell>
          <cell r="J149" t="str">
            <v>NO</v>
          </cell>
          <cell r="K149" t="str">
            <v>SILVER</v>
          </cell>
          <cell r="L149" t="str">
            <v>rural</v>
          </cell>
          <cell r="M149" t="str">
            <v>70996614</v>
          </cell>
          <cell r="N149" t="str">
            <v>TCHAMBA</v>
          </cell>
        </row>
        <row r="150">
          <cell r="A150" t="str">
            <v>ALI-KPODJI</v>
          </cell>
          <cell r="B150" t="str">
            <v>15/072014</v>
          </cell>
          <cell r="C150" t="str">
            <v>PLA-040</v>
          </cell>
          <cell r="D150" t="str">
            <v>MARITIME</v>
          </cell>
          <cell r="E150" t="str">
            <v>KPALIME</v>
          </cell>
          <cell r="F150" t="str">
            <v>FH</v>
          </cell>
          <cell r="G150" t="str">
            <v>Grid-DG-Batt.</v>
          </cell>
          <cell r="H150" t="str">
            <v>NOK</v>
          </cell>
          <cell r="I150" t="str">
            <v>NO</v>
          </cell>
          <cell r="J150" t="str">
            <v>NO</v>
          </cell>
          <cell r="K150" t="str">
            <v>BRONZE</v>
          </cell>
          <cell r="L150" t="str">
            <v>rural</v>
          </cell>
          <cell r="M150" t="str">
            <v>70996615</v>
          </cell>
          <cell r="N150" t="str">
            <v>KPALIME</v>
          </cell>
        </row>
        <row r="151">
          <cell r="A151" t="str">
            <v>ALINKA</v>
          </cell>
          <cell r="B151">
            <v>40562</v>
          </cell>
          <cell r="C151" t="str">
            <v>LOM-022</v>
          </cell>
          <cell r="D151" t="str">
            <v>LOME</v>
          </cell>
          <cell r="E151" t="str">
            <v>LOME-OUEST 1</v>
          </cell>
          <cell r="F151" t="str">
            <v>FH</v>
          </cell>
          <cell r="G151" t="str">
            <v>Grid-DG-Batt.</v>
          </cell>
          <cell r="H151" t="str">
            <v>OK</v>
          </cell>
          <cell r="I151" t="str">
            <v>NO</v>
          </cell>
          <cell r="J151" t="str">
            <v>YES</v>
          </cell>
          <cell r="K151" t="str">
            <v>SILVER</v>
          </cell>
          <cell r="L151" t="str">
            <v>Urbain</v>
          </cell>
          <cell r="M151" t="str">
            <v>70996616</v>
          </cell>
          <cell r="N151" t="str">
            <v>LOME OUEST1</v>
          </cell>
        </row>
        <row r="152">
          <cell r="A152" t="str">
            <v>ALINKA2</v>
          </cell>
          <cell r="B152">
            <v>43891</v>
          </cell>
          <cell r="C152" t="str">
            <v>LOM-240</v>
          </cell>
          <cell r="D152" t="str">
            <v>LOME</v>
          </cell>
          <cell r="E152" t="str">
            <v>LOME-NORD</v>
          </cell>
          <cell r="F152" t="str">
            <v>FH</v>
          </cell>
          <cell r="G152" t="str">
            <v>DG-Solar-Batt.</v>
          </cell>
          <cell r="H152" t="str">
            <v>NOK</v>
          </cell>
          <cell r="I152" t="str">
            <v>NO</v>
          </cell>
          <cell r="J152" t="str">
            <v>YES</v>
          </cell>
          <cell r="K152" t="str">
            <v>SILVER</v>
          </cell>
          <cell r="L152" t="str">
            <v>Urbain</v>
          </cell>
          <cell r="M152">
            <v>0</v>
          </cell>
          <cell r="N152" t="str">
            <v>LOME NORD</v>
          </cell>
        </row>
        <row r="153">
          <cell r="A153" t="str">
            <v>ALINKA-NYIVEMEGBLE</v>
          </cell>
          <cell r="B153">
            <v>45135</v>
          </cell>
          <cell r="C153" t="str">
            <v>LOM-372</v>
          </cell>
          <cell r="D153" t="str">
            <v>LOME</v>
          </cell>
          <cell r="E153" t="str">
            <v>LOME-NORD</v>
          </cell>
          <cell r="F153" t="str">
            <v>FH</v>
          </cell>
          <cell r="G153" t="str">
            <v>Grid-DG-Batt.</v>
          </cell>
          <cell r="H153" t="str">
            <v>NOK</v>
          </cell>
          <cell r="I153" t="str">
            <v>NO</v>
          </cell>
          <cell r="J153" t="str">
            <v>NO</v>
          </cell>
          <cell r="K153" t="str">
            <v>GOLD</v>
          </cell>
          <cell r="L153" t="str">
            <v>Urbain</v>
          </cell>
          <cell r="M153">
            <v>0</v>
          </cell>
          <cell r="N153" t="str">
            <v>LOME NORD</v>
          </cell>
        </row>
        <row r="154">
          <cell r="A154" t="str">
            <v>ALOGAVI</v>
          </cell>
          <cell r="B154">
            <v>44852</v>
          </cell>
          <cell r="C154" t="str">
            <v>LOM-328</v>
          </cell>
          <cell r="D154" t="str">
            <v>LOME</v>
          </cell>
          <cell r="E154" t="str">
            <v>LOME-EST</v>
          </cell>
          <cell r="F154" t="str">
            <v>FTTM</v>
          </cell>
          <cell r="G154" t="str">
            <v>Grid-DG-Batt.</v>
          </cell>
          <cell r="H154" t="str">
            <v>OK</v>
          </cell>
          <cell r="I154" t="str">
            <v>NO</v>
          </cell>
          <cell r="J154" t="str">
            <v>YES</v>
          </cell>
          <cell r="K154" t="str">
            <v>SILVER</v>
          </cell>
          <cell r="L154" t="str">
            <v>SubUrbain</v>
          </cell>
          <cell r="M154">
            <v>70996540</v>
          </cell>
          <cell r="N154" t="str">
            <v>LOME EST</v>
          </cell>
        </row>
        <row r="155">
          <cell r="A155" t="str">
            <v>ALOKOEGBE</v>
          </cell>
          <cell r="B155">
            <v>39919</v>
          </cell>
          <cell r="C155" t="str">
            <v>MAR-051</v>
          </cell>
          <cell r="D155" t="str">
            <v>MARITIME</v>
          </cell>
          <cell r="E155" t="str">
            <v>TSEVIE</v>
          </cell>
          <cell r="F155" t="str">
            <v>FH</v>
          </cell>
          <cell r="G155" t="str">
            <v>Grid-DG-Solar-Batt.</v>
          </cell>
          <cell r="H155" t="str">
            <v>OK</v>
          </cell>
          <cell r="I155" t="str">
            <v>NO</v>
          </cell>
          <cell r="J155" t="str">
            <v>NO</v>
          </cell>
          <cell r="K155" t="str">
            <v>BRONZE</v>
          </cell>
          <cell r="L155" t="str">
            <v>rural</v>
          </cell>
          <cell r="M155" t="str">
            <v>70996617</v>
          </cell>
          <cell r="N155" t="str">
            <v>TSEVIE</v>
          </cell>
        </row>
        <row r="156">
          <cell r="A156" t="str">
            <v>ALOKO-MOOV</v>
          </cell>
          <cell r="B156"/>
          <cell r="C156" t="str">
            <v>PLA-033</v>
          </cell>
          <cell r="D156" t="str">
            <v>CENTRALE</v>
          </cell>
          <cell r="E156" t="str">
            <v>BLITTA</v>
          </cell>
          <cell r="F156" t="str">
            <v>FH</v>
          </cell>
          <cell r="G156" t="str">
            <v>DG-Solar-Batt.</v>
          </cell>
          <cell r="H156" t="str">
            <v>OK</v>
          </cell>
          <cell r="I156" t="str">
            <v>NO</v>
          </cell>
          <cell r="J156" t="str">
            <v>YES</v>
          </cell>
          <cell r="K156" t="str">
            <v>BRONZE</v>
          </cell>
          <cell r="L156" t="str">
            <v>rural</v>
          </cell>
          <cell r="M156">
            <v>70996618</v>
          </cell>
          <cell r="N156" t="str">
            <v>ELAVAGNON</v>
          </cell>
        </row>
        <row r="157">
          <cell r="A157" t="str">
            <v>AMANDAHOME</v>
          </cell>
          <cell r="B157">
            <v>39843</v>
          </cell>
          <cell r="C157" t="str">
            <v>LOM-057</v>
          </cell>
          <cell r="D157" t="str">
            <v>LOME</v>
          </cell>
          <cell r="E157" t="str">
            <v>LOME-OUEST 2</v>
          </cell>
          <cell r="F157" t="str">
            <v>FO</v>
          </cell>
          <cell r="G157" t="str">
            <v>Grid-DG-Batt.</v>
          </cell>
          <cell r="H157" t="str">
            <v>OK</v>
          </cell>
          <cell r="I157" t="str">
            <v>NO</v>
          </cell>
          <cell r="J157" t="str">
            <v>NO</v>
          </cell>
          <cell r="K157" t="str">
            <v>SILVER</v>
          </cell>
          <cell r="L157" t="str">
            <v>Urbain</v>
          </cell>
          <cell r="M157" t="str">
            <v>70996619</v>
          </cell>
          <cell r="N157" t="str">
            <v>LOME OUEST2</v>
          </cell>
        </row>
        <row r="158">
          <cell r="A158" t="str">
            <v>AMANDAHOME2</v>
          </cell>
          <cell r="B158">
            <v>41165</v>
          </cell>
          <cell r="C158" t="str">
            <v>LOM-058</v>
          </cell>
          <cell r="D158" t="str">
            <v>LOME</v>
          </cell>
          <cell r="E158" t="str">
            <v>LOME-OUEST 2</v>
          </cell>
          <cell r="F158" t="str">
            <v>FO</v>
          </cell>
          <cell r="G158" t="str">
            <v>Grid-DG-Batt.</v>
          </cell>
          <cell r="H158" t="str">
            <v>OK</v>
          </cell>
          <cell r="I158" t="str">
            <v>NO</v>
          </cell>
          <cell r="J158" t="str">
            <v>NO</v>
          </cell>
          <cell r="K158" t="str">
            <v>GOLD</v>
          </cell>
          <cell r="L158" t="str">
            <v>Urbain</v>
          </cell>
          <cell r="M158" t="str">
            <v>70996620</v>
          </cell>
          <cell r="N158" t="str">
            <v>LOME OUEST2</v>
          </cell>
        </row>
        <row r="159">
          <cell r="A159" t="str">
            <v>AMANDAHOME3</v>
          </cell>
          <cell r="B159">
            <v>44612</v>
          </cell>
          <cell r="C159" t="str">
            <v>LOM-270</v>
          </cell>
          <cell r="D159" t="str">
            <v>LOME</v>
          </cell>
          <cell r="E159" t="str">
            <v>LOME-OUEST 2</v>
          </cell>
          <cell r="F159" t="str">
            <v>FH</v>
          </cell>
          <cell r="G159" t="str">
            <v>Grid-DG-Batt.</v>
          </cell>
          <cell r="H159" t="str">
            <v>OK</v>
          </cell>
          <cell r="I159" t="str">
            <v>NO</v>
          </cell>
          <cell r="J159" t="str">
            <v>YES</v>
          </cell>
          <cell r="K159" t="str">
            <v>SILVER</v>
          </cell>
          <cell r="L159" t="str">
            <v>Urbain</v>
          </cell>
          <cell r="M159">
            <v>0</v>
          </cell>
          <cell r="N159" t="str">
            <v>LOME OUEST2</v>
          </cell>
        </row>
        <row r="160">
          <cell r="A160" t="str">
            <v>AMAOUDE</v>
          </cell>
          <cell r="B160">
            <v>39975</v>
          </cell>
          <cell r="C160" t="str">
            <v>CEN-047</v>
          </cell>
          <cell r="D160" t="str">
            <v>CENTRALE</v>
          </cell>
          <cell r="E160" t="str">
            <v>SOKODE</v>
          </cell>
          <cell r="F160" t="str">
            <v>FH</v>
          </cell>
          <cell r="G160" t="str">
            <v>Grid-DG-Batt.</v>
          </cell>
          <cell r="H160" t="str">
            <v>OK</v>
          </cell>
          <cell r="I160" t="str">
            <v>NO</v>
          </cell>
          <cell r="J160" t="str">
            <v>NO</v>
          </cell>
          <cell r="K160" t="str">
            <v>SILVER</v>
          </cell>
          <cell r="L160" t="str">
            <v>rural</v>
          </cell>
          <cell r="M160" t="str">
            <v>70996621</v>
          </cell>
          <cell r="N160" t="str">
            <v>SOKODE</v>
          </cell>
        </row>
        <row r="161">
          <cell r="A161" t="str">
            <v>AMEDENTA</v>
          </cell>
          <cell r="B161">
            <v>41443</v>
          </cell>
          <cell r="C161" t="str">
            <v>LOM-050</v>
          </cell>
          <cell r="D161" t="str">
            <v>LOME</v>
          </cell>
          <cell r="E161" t="str">
            <v>LOME-OUEST 1</v>
          </cell>
          <cell r="F161" t="str">
            <v>FO</v>
          </cell>
          <cell r="G161" t="str">
            <v>Grid-DG-Batt.</v>
          </cell>
          <cell r="H161" t="str">
            <v>NOK</v>
          </cell>
          <cell r="I161" t="str">
            <v>NO</v>
          </cell>
          <cell r="J161" t="str">
            <v>NO</v>
          </cell>
          <cell r="K161" t="str">
            <v>GOLD</v>
          </cell>
          <cell r="L161" t="str">
            <v>Urbain</v>
          </cell>
          <cell r="M161" t="str">
            <v>70996622</v>
          </cell>
          <cell r="N161" t="str">
            <v>LOME OUEST1</v>
          </cell>
        </row>
        <row r="162">
          <cell r="A162" t="str">
            <v>AMEGANSI-KOPE</v>
          </cell>
          <cell r="B162">
            <v>44840</v>
          </cell>
          <cell r="C162" t="str">
            <v>LOM-329</v>
          </cell>
          <cell r="D162" t="str">
            <v>LOME</v>
          </cell>
          <cell r="E162" t="str">
            <v>LOME-EST</v>
          </cell>
          <cell r="F162" t="str">
            <v>FH</v>
          </cell>
          <cell r="G162" t="str">
            <v>Grid-DG-Batt.</v>
          </cell>
          <cell r="H162" t="str">
            <v>OK</v>
          </cell>
          <cell r="I162" t="str">
            <v>NO</v>
          </cell>
          <cell r="J162" t="str">
            <v>YES</v>
          </cell>
          <cell r="K162" t="str">
            <v>BRONZE</v>
          </cell>
          <cell r="L162" t="str">
            <v>SubUrbain</v>
          </cell>
          <cell r="M162" t="e">
            <v>#N/A</v>
          </cell>
          <cell r="N162" t="str">
            <v>ANEHO</v>
          </cell>
        </row>
        <row r="163">
          <cell r="A163" t="str">
            <v>AMEGNRAN</v>
          </cell>
          <cell r="B163">
            <v>41541</v>
          </cell>
          <cell r="C163" t="str">
            <v>MAR-034</v>
          </cell>
          <cell r="D163" t="str">
            <v>MARITIME</v>
          </cell>
          <cell r="E163" t="str">
            <v>ANEHO</v>
          </cell>
          <cell r="F163" t="str">
            <v>FH</v>
          </cell>
          <cell r="G163" t="str">
            <v>Grid-DG-Solar-Batt.</v>
          </cell>
          <cell r="H163" t="str">
            <v>OK</v>
          </cell>
          <cell r="I163" t="str">
            <v>NO</v>
          </cell>
          <cell r="J163" t="str">
            <v>NO</v>
          </cell>
          <cell r="K163" t="str">
            <v>SILVER</v>
          </cell>
          <cell r="L163" t="str">
            <v>rural</v>
          </cell>
          <cell r="M163" t="str">
            <v>70996623</v>
          </cell>
          <cell r="N163" t="str">
            <v>ANEHO</v>
          </cell>
        </row>
        <row r="164">
          <cell r="A164" t="str">
            <v>AMLAME</v>
          </cell>
          <cell r="B164">
            <v>37653</v>
          </cell>
          <cell r="C164" t="str">
            <v>PLA-102</v>
          </cell>
          <cell r="D164" t="str">
            <v>PLATEAUX</v>
          </cell>
          <cell r="E164" t="str">
            <v>ATAKPAME-EST</v>
          </cell>
          <cell r="F164" t="str">
            <v>FH</v>
          </cell>
          <cell r="G164" t="str">
            <v>Grid-DG-Batt.</v>
          </cell>
          <cell r="H164" t="str">
            <v>OK</v>
          </cell>
          <cell r="I164" t="str">
            <v>NO</v>
          </cell>
          <cell r="J164" t="str">
            <v>NO</v>
          </cell>
          <cell r="K164" t="str">
            <v>BRONZE</v>
          </cell>
          <cell r="L164" t="str">
            <v>Urbain</v>
          </cell>
          <cell r="M164" t="str">
            <v>70996624</v>
          </cell>
          <cell r="N164" t="str">
            <v>ATAKPAME</v>
          </cell>
        </row>
        <row r="165">
          <cell r="A165" t="str">
            <v>AMLAME-MOOV</v>
          </cell>
          <cell r="B165">
            <v>44853</v>
          </cell>
          <cell r="C165" t="str">
            <v>PLA-212</v>
          </cell>
          <cell r="D165" t="str">
            <v>PLATEAUX</v>
          </cell>
          <cell r="E165" t="str">
            <v>ATAKPAME-OUEST</v>
          </cell>
          <cell r="F165" t="str">
            <v>FH</v>
          </cell>
          <cell r="G165" t="str">
            <v>Grid-DG-Batt.</v>
          </cell>
          <cell r="H165" t="str">
            <v>OK</v>
          </cell>
          <cell r="I165" t="str">
            <v>NO</v>
          </cell>
          <cell r="J165" t="str">
            <v>YES</v>
          </cell>
          <cell r="K165" t="str">
            <v>BRONZE</v>
          </cell>
          <cell r="L165" t="str">
            <v>Urbain</v>
          </cell>
          <cell r="M165">
            <v>0</v>
          </cell>
          <cell r="N165" t="str">
            <v>ATAKPAME</v>
          </cell>
        </row>
        <row r="166">
          <cell r="A166" t="str">
            <v>AMLAME-NDANIDA</v>
          </cell>
          <cell r="B166">
            <v>40878</v>
          </cell>
          <cell r="C166" t="str">
            <v>PLA-103</v>
          </cell>
          <cell r="D166" t="str">
            <v>PLATEAUX</v>
          </cell>
          <cell r="E166" t="str">
            <v>ATAKPAME-OUEST</v>
          </cell>
          <cell r="F166" t="str">
            <v>FH</v>
          </cell>
          <cell r="G166" t="str">
            <v>Grid-DG-Batt.</v>
          </cell>
          <cell r="H166" t="str">
            <v>OK</v>
          </cell>
          <cell r="I166" t="str">
            <v>NO</v>
          </cell>
          <cell r="J166" t="str">
            <v>NO</v>
          </cell>
          <cell r="K166" t="str">
            <v>BRONZE</v>
          </cell>
          <cell r="L166" t="str">
            <v>Urbain</v>
          </cell>
          <cell r="M166" t="str">
            <v>70996625</v>
          </cell>
          <cell r="N166" t="str">
            <v>ATAKPAME</v>
          </cell>
        </row>
        <row r="167">
          <cell r="A167" t="str">
            <v>AMOU-OBLO</v>
          </cell>
          <cell r="B167">
            <v>40926</v>
          </cell>
          <cell r="C167" t="str">
            <v>PLA-116</v>
          </cell>
          <cell r="D167" t="str">
            <v>MARITIME</v>
          </cell>
          <cell r="E167" t="str">
            <v>KPALIME</v>
          </cell>
          <cell r="F167" t="str">
            <v>FH</v>
          </cell>
          <cell r="G167" t="str">
            <v>Grid-DG-Batt.</v>
          </cell>
          <cell r="H167" t="str">
            <v>OK</v>
          </cell>
          <cell r="I167" t="str">
            <v>NO</v>
          </cell>
          <cell r="J167" t="str">
            <v>NO</v>
          </cell>
          <cell r="K167" t="str">
            <v>SILVER</v>
          </cell>
          <cell r="L167" t="str">
            <v>SubUrbain</v>
          </cell>
          <cell r="M167" t="e">
            <v>#N/A</v>
          </cell>
          <cell r="N167" t="str">
            <v>KPALIME</v>
          </cell>
        </row>
        <row r="168">
          <cell r="A168" t="str">
            <v>AMOUSSOUKOPE</v>
          </cell>
          <cell r="B168">
            <v>41101</v>
          </cell>
          <cell r="C168" t="str">
            <v>PLA-041</v>
          </cell>
          <cell r="D168" t="str">
            <v>MARITIME</v>
          </cell>
          <cell r="E168" t="str">
            <v>KPALIME</v>
          </cell>
          <cell r="F168" t="str">
            <v>FH</v>
          </cell>
          <cell r="G168" t="str">
            <v>Grid-DG-Batt.</v>
          </cell>
          <cell r="H168" t="str">
            <v>OK</v>
          </cell>
          <cell r="I168" t="str">
            <v>NO</v>
          </cell>
          <cell r="J168" t="str">
            <v>NO</v>
          </cell>
          <cell r="K168" t="str">
            <v>SILVER</v>
          </cell>
          <cell r="L168" t="str">
            <v>rural</v>
          </cell>
          <cell r="M168" t="str">
            <v>70996627</v>
          </cell>
          <cell r="N168" t="str">
            <v>KPALIME</v>
          </cell>
        </row>
        <row r="169">
          <cell r="A169" t="str">
            <v>AMOUTCHOU</v>
          </cell>
          <cell r="B169">
            <v>41609</v>
          </cell>
          <cell r="C169" t="str">
            <v>PLA-123</v>
          </cell>
          <cell r="D169" t="str">
            <v>PLATEAUX</v>
          </cell>
          <cell r="E169" t="str">
            <v>ATAKPAME-OUEST</v>
          </cell>
          <cell r="F169" t="str">
            <v>FH</v>
          </cell>
          <cell r="G169" t="str">
            <v>Grid-DG-Solar-Batt.</v>
          </cell>
          <cell r="H169" t="str">
            <v>NOK</v>
          </cell>
          <cell r="I169" t="str">
            <v>NO</v>
          </cell>
          <cell r="J169" t="str">
            <v>NO</v>
          </cell>
          <cell r="K169" t="str">
            <v>BRONZE</v>
          </cell>
          <cell r="L169" t="str">
            <v>rural</v>
          </cell>
          <cell r="M169" t="str">
            <v>70996628</v>
          </cell>
          <cell r="N169" t="str">
            <v>ATAKPAME</v>
          </cell>
        </row>
        <row r="170">
          <cell r="A170" t="str">
            <v>ANEHO</v>
          </cell>
          <cell r="B170"/>
          <cell r="C170" t="str">
            <v>MAR-013</v>
          </cell>
          <cell r="D170" t="str">
            <v>MARITIME</v>
          </cell>
          <cell r="E170" t="str">
            <v>ANEHO</v>
          </cell>
          <cell r="F170" t="str">
            <v>FO</v>
          </cell>
          <cell r="G170" t="str">
            <v>Grid-DG-Batt.</v>
          </cell>
          <cell r="H170" t="str">
            <v>OK</v>
          </cell>
          <cell r="I170" t="str">
            <v>YES</v>
          </cell>
          <cell r="J170" t="str">
            <v>YES</v>
          </cell>
          <cell r="K170" t="str">
            <v>PLATINUM</v>
          </cell>
          <cell r="L170" t="str">
            <v>Urbain</v>
          </cell>
          <cell r="M170" t="str">
            <v>70996629</v>
          </cell>
          <cell r="N170" t="str">
            <v>ANEHO</v>
          </cell>
        </row>
        <row r="171">
          <cell r="A171" t="str">
            <v>ANEHO-GLIDJI</v>
          </cell>
          <cell r="B171">
            <v>45103</v>
          </cell>
          <cell r="C171" t="str">
            <v>MAR-164</v>
          </cell>
          <cell r="D171" t="str">
            <v>MARITIME</v>
          </cell>
          <cell r="E171" t="str">
            <v>ANEHO</v>
          </cell>
          <cell r="F171" t="str">
            <v>FH</v>
          </cell>
          <cell r="G171" t="str">
            <v>Grid-DG-Batt.</v>
          </cell>
          <cell r="H171" t="str">
            <v>OK</v>
          </cell>
          <cell r="I171" t="str">
            <v>NO</v>
          </cell>
          <cell r="J171" t="str">
            <v>NO</v>
          </cell>
          <cell r="K171" t="str">
            <v>SILVER</v>
          </cell>
          <cell r="L171" t="str">
            <v>Urbain</v>
          </cell>
          <cell r="M171">
            <v>70997330</v>
          </cell>
          <cell r="N171" t="str">
            <v>ANEHO</v>
          </cell>
        </row>
        <row r="172">
          <cell r="A172" t="str">
            <v>ANEHO-JERICO</v>
          </cell>
          <cell r="B172">
            <v>40959</v>
          </cell>
          <cell r="C172" t="str">
            <v>MAR-014</v>
          </cell>
          <cell r="D172" t="str">
            <v>MARITIME</v>
          </cell>
          <cell r="E172" t="str">
            <v>ANEHO</v>
          </cell>
          <cell r="F172" t="str">
            <v>FO</v>
          </cell>
          <cell r="G172" t="str">
            <v>Grid-DG-Batt.</v>
          </cell>
          <cell r="H172" t="str">
            <v>NOK</v>
          </cell>
          <cell r="I172" t="str">
            <v>NO</v>
          </cell>
          <cell r="J172" t="str">
            <v>NO</v>
          </cell>
          <cell r="K172" t="str">
            <v>SILVER</v>
          </cell>
          <cell r="L172" t="str">
            <v>Urbain</v>
          </cell>
          <cell r="M172" t="str">
            <v>70996630</v>
          </cell>
          <cell r="N172" t="str">
            <v>ANEHO</v>
          </cell>
        </row>
        <row r="173">
          <cell r="A173" t="str">
            <v>ANEHO-KPOTA</v>
          </cell>
          <cell r="B173">
            <v>39783</v>
          </cell>
          <cell r="C173" t="str">
            <v>MAR-015</v>
          </cell>
          <cell r="D173" t="str">
            <v>MARITIME</v>
          </cell>
          <cell r="E173" t="str">
            <v>ANEHO</v>
          </cell>
          <cell r="F173" t="str">
            <v>FO</v>
          </cell>
          <cell r="G173" t="str">
            <v>Grid-DG-Batt.</v>
          </cell>
          <cell r="H173" t="str">
            <v>OK</v>
          </cell>
          <cell r="I173" t="str">
            <v>NO</v>
          </cell>
          <cell r="J173" t="str">
            <v>NO</v>
          </cell>
          <cell r="K173" t="str">
            <v>SILVER</v>
          </cell>
          <cell r="L173" t="str">
            <v>Urbain</v>
          </cell>
          <cell r="M173" t="e">
            <v>#N/A</v>
          </cell>
          <cell r="N173" t="str">
            <v>ANEHO</v>
          </cell>
        </row>
        <row r="174">
          <cell r="A174" t="str">
            <v>ANEHO-PEAGE</v>
          </cell>
          <cell r="B174">
            <v>41974</v>
          </cell>
          <cell r="C174" t="str">
            <v>MAR-016</v>
          </cell>
          <cell r="D174" t="str">
            <v>MARITIME</v>
          </cell>
          <cell r="E174" t="str">
            <v>ANEHO</v>
          </cell>
          <cell r="F174" t="str">
            <v>FO</v>
          </cell>
          <cell r="G174" t="str">
            <v>Grid-DG-Batt.</v>
          </cell>
          <cell r="H174" t="str">
            <v>NOK</v>
          </cell>
          <cell r="I174" t="str">
            <v>NO</v>
          </cell>
          <cell r="J174" t="str">
            <v>YES</v>
          </cell>
          <cell r="K174" t="str">
            <v>SILVER</v>
          </cell>
          <cell r="L174" t="str">
            <v>Urbain</v>
          </cell>
          <cell r="M174" t="str">
            <v>70996632</v>
          </cell>
          <cell r="N174" t="str">
            <v>ANEHO</v>
          </cell>
        </row>
        <row r="175">
          <cell r="A175" t="str">
            <v>ANEHO-YESUVITO</v>
          </cell>
          <cell r="B175">
            <v>43851</v>
          </cell>
          <cell r="C175" t="str">
            <v>MAR-072</v>
          </cell>
          <cell r="D175" t="str">
            <v>MARITIME</v>
          </cell>
          <cell r="E175" t="str">
            <v>ANEHO</v>
          </cell>
          <cell r="F175" t="str">
            <v>FH</v>
          </cell>
          <cell r="G175" t="str">
            <v>Grid-DG-Batt.</v>
          </cell>
          <cell r="H175" t="str">
            <v>NOK</v>
          </cell>
          <cell r="I175" t="str">
            <v>NO</v>
          </cell>
          <cell r="J175" t="str">
            <v>NO</v>
          </cell>
          <cell r="K175" t="str">
            <v>GOLD</v>
          </cell>
          <cell r="L175" t="str">
            <v>Urbain</v>
          </cell>
          <cell r="M175" t="e">
            <v>#N/A</v>
          </cell>
          <cell r="N175" t="str">
            <v>ANEHO</v>
          </cell>
        </row>
        <row r="176">
          <cell r="A176" t="str">
            <v>ANEHO-ZEBEVI</v>
          </cell>
          <cell r="B176">
            <v>45192</v>
          </cell>
          <cell r="C176" t="str">
            <v>MAR-159</v>
          </cell>
          <cell r="D176" t="str">
            <v>MARITIME</v>
          </cell>
          <cell r="E176" t="str">
            <v>ANEHO</v>
          </cell>
          <cell r="F176" t="str">
            <v>FH</v>
          </cell>
          <cell r="G176" t="str">
            <v>Grid-DG-Batt.</v>
          </cell>
          <cell r="H176" t="str">
            <v>OK</v>
          </cell>
          <cell r="I176" t="str">
            <v>NO</v>
          </cell>
          <cell r="J176" t="str">
            <v>NO</v>
          </cell>
          <cell r="K176" t="str">
            <v>SILVER</v>
          </cell>
          <cell r="L176" t="str">
            <v>SubUrbain</v>
          </cell>
          <cell r="M176">
            <v>0</v>
          </cell>
          <cell r="N176" t="str">
            <v>ANEHO</v>
          </cell>
        </row>
        <row r="177">
          <cell r="A177" t="str">
            <v>ANFAME</v>
          </cell>
          <cell r="B177">
            <v>38200</v>
          </cell>
          <cell r="C177" t="str">
            <v>LOM-192</v>
          </cell>
          <cell r="D177" t="str">
            <v>LOME</v>
          </cell>
          <cell r="E177" t="str">
            <v>LOME-EST</v>
          </cell>
          <cell r="F177" t="str">
            <v>FO</v>
          </cell>
          <cell r="G177" t="str">
            <v>Grid-DG-Batt.</v>
          </cell>
          <cell r="H177" t="str">
            <v>OK</v>
          </cell>
          <cell r="I177" t="str">
            <v>NO</v>
          </cell>
          <cell r="J177" t="str">
            <v>NO</v>
          </cell>
          <cell r="K177" t="str">
            <v>SILVER</v>
          </cell>
          <cell r="L177" t="str">
            <v>Urbain</v>
          </cell>
          <cell r="M177">
            <v>0</v>
          </cell>
          <cell r="N177" t="str">
            <v>LOME EST</v>
          </cell>
        </row>
        <row r="178">
          <cell r="A178" t="str">
            <v>ANFAME2</v>
          </cell>
          <cell r="B178">
            <v>44540</v>
          </cell>
          <cell r="C178" t="str">
            <v>LOM-271</v>
          </cell>
          <cell r="D178" t="str">
            <v>LOME</v>
          </cell>
          <cell r="E178" t="str">
            <v>LOME-EST</v>
          </cell>
          <cell r="F178" t="str">
            <v>FH</v>
          </cell>
          <cell r="G178" t="str">
            <v>Grid-DG-Batt.</v>
          </cell>
          <cell r="H178" t="str">
            <v>OK</v>
          </cell>
          <cell r="I178" t="str">
            <v>NO</v>
          </cell>
          <cell r="J178" t="str">
            <v>YES</v>
          </cell>
          <cell r="K178" t="str">
            <v>SILVER</v>
          </cell>
          <cell r="L178" t="str">
            <v>Urbain</v>
          </cell>
          <cell r="M178">
            <v>0</v>
          </cell>
          <cell r="N178" t="str">
            <v>LOME EST</v>
          </cell>
        </row>
        <row r="179">
          <cell r="A179" t="str">
            <v>ANFAME3</v>
          </cell>
          <cell r="B179">
            <v>44532</v>
          </cell>
          <cell r="C179" t="str">
            <v>LOM-296</v>
          </cell>
          <cell r="D179" t="str">
            <v>LOME</v>
          </cell>
          <cell r="E179" t="str">
            <v>LOME-EST</v>
          </cell>
          <cell r="F179" t="str">
            <v>FH</v>
          </cell>
          <cell r="G179" t="str">
            <v>Grid-Batt.</v>
          </cell>
          <cell r="H179" t="str">
            <v>N/A</v>
          </cell>
          <cell r="I179" t="str">
            <v>YES</v>
          </cell>
          <cell r="J179" t="str">
            <v>NO</v>
          </cell>
          <cell r="K179" t="str">
            <v>SILVER</v>
          </cell>
          <cell r="L179" t="str">
            <v>Urbain</v>
          </cell>
          <cell r="M179">
            <v>0</v>
          </cell>
          <cell r="N179" t="str">
            <v>LOME EST</v>
          </cell>
        </row>
        <row r="180">
          <cell r="A180" t="str">
            <v>ANFOIN</v>
          </cell>
          <cell r="B180">
            <v>41430</v>
          </cell>
          <cell r="C180" t="str">
            <v>MAR-027</v>
          </cell>
          <cell r="D180" t="str">
            <v>MARITIME</v>
          </cell>
          <cell r="E180" t="str">
            <v>ANEHO</v>
          </cell>
          <cell r="F180" t="str">
            <v>FH</v>
          </cell>
          <cell r="G180" t="str">
            <v>Grid-DG-Batt.</v>
          </cell>
          <cell r="H180" t="str">
            <v>NOK</v>
          </cell>
          <cell r="I180" t="str">
            <v>NO</v>
          </cell>
          <cell r="J180" t="str">
            <v>NO</v>
          </cell>
          <cell r="K180" t="str">
            <v>SILVER</v>
          </cell>
          <cell r="L180" t="str">
            <v>SubUrbain</v>
          </cell>
          <cell r="M180" t="str">
            <v>70996634</v>
          </cell>
          <cell r="N180" t="str">
            <v>ANEHO</v>
          </cell>
        </row>
        <row r="181">
          <cell r="A181" t="str">
            <v>ANIE</v>
          </cell>
          <cell r="B181"/>
          <cell r="C181" t="str">
            <v>PLA-083</v>
          </cell>
          <cell r="D181" t="str">
            <v>PLATEAUX</v>
          </cell>
          <cell r="E181" t="str">
            <v>ATAKPAME-OUEST</v>
          </cell>
          <cell r="F181" t="str">
            <v>FO</v>
          </cell>
          <cell r="G181" t="str">
            <v>Grid-DG-Batt.</v>
          </cell>
          <cell r="H181" t="str">
            <v>OK</v>
          </cell>
          <cell r="I181" t="str">
            <v>NO</v>
          </cell>
          <cell r="J181" t="str">
            <v>YES</v>
          </cell>
          <cell r="K181" t="str">
            <v>GOLD</v>
          </cell>
          <cell r="L181" t="str">
            <v>Urbain</v>
          </cell>
          <cell r="M181" t="str">
            <v>70996635</v>
          </cell>
          <cell r="N181" t="str">
            <v>ELAVAGNON</v>
          </cell>
        </row>
        <row r="182">
          <cell r="A182" t="str">
            <v>ANIE7</v>
          </cell>
          <cell r="B182">
            <v>44855</v>
          </cell>
          <cell r="C182" t="str">
            <v>PLA-214</v>
          </cell>
          <cell r="D182" t="str">
            <v>PLATEAUX</v>
          </cell>
          <cell r="E182" t="str">
            <v>ATAKPAME-OUEST</v>
          </cell>
          <cell r="F182" t="str">
            <v>FH</v>
          </cell>
          <cell r="G182" t="str">
            <v>Grid-DG-Batt.</v>
          </cell>
          <cell r="H182" t="str">
            <v>OK</v>
          </cell>
          <cell r="I182" t="str">
            <v>NO</v>
          </cell>
          <cell r="J182" t="str">
            <v>YES</v>
          </cell>
          <cell r="K182" t="str">
            <v>GOLD</v>
          </cell>
          <cell r="L182" t="str">
            <v>SubUrbain</v>
          </cell>
          <cell r="M182" t="str">
            <v>70996510</v>
          </cell>
          <cell r="N182" t="str">
            <v>ELAVAGNON</v>
          </cell>
        </row>
        <row r="183">
          <cell r="A183" t="str">
            <v>ANIE-KABLEKOPE</v>
          </cell>
          <cell r="B183">
            <v>43868</v>
          </cell>
          <cell r="C183" t="str">
            <v>PLA-143</v>
          </cell>
          <cell r="D183" t="str">
            <v>PLATEAUX</v>
          </cell>
          <cell r="E183" t="str">
            <v>ATAKPAME-OUEST</v>
          </cell>
          <cell r="F183" t="str">
            <v>FH</v>
          </cell>
          <cell r="G183" t="str">
            <v>DG-Batt.</v>
          </cell>
          <cell r="H183" t="str">
            <v>OK</v>
          </cell>
          <cell r="I183" t="str">
            <v>YES</v>
          </cell>
          <cell r="J183" t="str">
            <v>YES</v>
          </cell>
          <cell r="K183" t="str">
            <v>SILVER</v>
          </cell>
          <cell r="L183" t="str">
            <v>Urbain</v>
          </cell>
          <cell r="M183" t="str">
            <v>70996636</v>
          </cell>
          <cell r="N183" t="str">
            <v>ELAVAGNON</v>
          </cell>
        </row>
        <row r="184">
          <cell r="A184" t="str">
            <v>ANIE-LOSSOKOME</v>
          </cell>
          <cell r="B184">
            <v>43851</v>
          </cell>
          <cell r="C184" t="str">
            <v>PLA-141</v>
          </cell>
          <cell r="D184" t="str">
            <v>PLATEAUX</v>
          </cell>
          <cell r="E184" t="str">
            <v>ATAKPAME-EST</v>
          </cell>
          <cell r="F184" t="str">
            <v>FH</v>
          </cell>
          <cell r="G184" t="str">
            <v>Grid-DG-Batt.</v>
          </cell>
          <cell r="H184" t="str">
            <v>OK</v>
          </cell>
          <cell r="I184" t="str">
            <v>NO</v>
          </cell>
          <cell r="J184" t="str">
            <v>YES</v>
          </cell>
          <cell r="K184" t="str">
            <v>GOLD</v>
          </cell>
          <cell r="L184" t="str">
            <v>Urbain</v>
          </cell>
          <cell r="M184" t="str">
            <v>70996637</v>
          </cell>
          <cell r="N184" t="str">
            <v>ELAVAGNON</v>
          </cell>
        </row>
        <row r="185">
          <cell r="A185" t="str">
            <v>ANIE-MISSION</v>
          </cell>
          <cell r="B185">
            <v>40878</v>
          </cell>
          <cell r="C185" t="str">
            <v>PLA-084</v>
          </cell>
          <cell r="D185" t="str">
            <v>PLATEAUX</v>
          </cell>
          <cell r="E185" t="str">
            <v>ATAKPAME-OUEST</v>
          </cell>
          <cell r="F185" t="str">
            <v>FO</v>
          </cell>
          <cell r="G185" t="str">
            <v>Grid-DG-Batt.</v>
          </cell>
          <cell r="H185" t="str">
            <v>OK</v>
          </cell>
          <cell r="I185" t="str">
            <v>NO</v>
          </cell>
          <cell r="J185" t="str">
            <v>NO</v>
          </cell>
          <cell r="K185" t="str">
            <v>GOLD</v>
          </cell>
          <cell r="L185" t="str">
            <v>Urbain</v>
          </cell>
          <cell r="M185" t="str">
            <v>70996638</v>
          </cell>
          <cell r="N185" t="str">
            <v>ELAVAGNON</v>
          </cell>
        </row>
        <row r="186">
          <cell r="A186" t="str">
            <v>ANIE-TCHIMTOYI</v>
          </cell>
          <cell r="B186">
            <v>41473</v>
          </cell>
          <cell r="C186" t="str">
            <v>PLA-085</v>
          </cell>
          <cell r="D186" t="str">
            <v>PLATEAUX</v>
          </cell>
          <cell r="E186" t="str">
            <v>ATAKPAME-OUEST</v>
          </cell>
          <cell r="F186" t="str">
            <v>FO</v>
          </cell>
          <cell r="G186" t="str">
            <v>Grid-DG-Batt.</v>
          </cell>
          <cell r="H186" t="str">
            <v>OK</v>
          </cell>
          <cell r="I186" t="str">
            <v>NO</v>
          </cell>
          <cell r="J186" t="str">
            <v>NO</v>
          </cell>
          <cell r="K186" t="str">
            <v>SILVER</v>
          </cell>
          <cell r="L186" t="str">
            <v>Urbain</v>
          </cell>
          <cell r="M186" t="str">
            <v>70996639</v>
          </cell>
          <cell r="N186" t="str">
            <v>ELAVAGNON</v>
          </cell>
        </row>
        <row r="187">
          <cell r="A187" t="str">
            <v>ANOKUI</v>
          </cell>
          <cell r="B187">
            <v>44648</v>
          </cell>
          <cell r="C187" t="str">
            <v>LOM-297</v>
          </cell>
          <cell r="D187" t="str">
            <v>LOME</v>
          </cell>
          <cell r="E187" t="str">
            <v>LOME-OUEST 1</v>
          </cell>
          <cell r="F187" t="str">
            <v>FTTM</v>
          </cell>
          <cell r="G187" t="str">
            <v>Grid-DG-Batt.</v>
          </cell>
          <cell r="H187" t="str">
            <v>NOK</v>
          </cell>
          <cell r="I187" t="str">
            <v>NO</v>
          </cell>
          <cell r="J187" t="str">
            <v>YES</v>
          </cell>
          <cell r="K187" t="str">
            <v>SILVER</v>
          </cell>
          <cell r="L187" t="str">
            <v>SubUrbain</v>
          </cell>
          <cell r="M187">
            <v>0</v>
          </cell>
          <cell r="N187" t="str">
            <v>LOME OUEST1</v>
          </cell>
        </row>
        <row r="188">
          <cell r="A188" t="str">
            <v>ANOME</v>
          </cell>
          <cell r="B188">
            <v>40967</v>
          </cell>
          <cell r="C188" t="str">
            <v>LOM-017</v>
          </cell>
          <cell r="D188" t="str">
            <v>LOME</v>
          </cell>
          <cell r="E188" t="str">
            <v>LOME-NORD</v>
          </cell>
          <cell r="F188" t="str">
            <v>FH</v>
          </cell>
          <cell r="G188" t="str">
            <v>Grid-DG-Batt.</v>
          </cell>
          <cell r="H188" t="str">
            <v>OK</v>
          </cell>
          <cell r="I188" t="str">
            <v>NO</v>
          </cell>
          <cell r="J188" t="str">
            <v>NO</v>
          </cell>
          <cell r="K188" t="str">
            <v>GOLD</v>
          </cell>
          <cell r="L188" t="str">
            <v>Urbain</v>
          </cell>
          <cell r="M188" t="str">
            <v>70996640</v>
          </cell>
          <cell r="N188" t="str">
            <v>LOME NORD</v>
          </cell>
        </row>
        <row r="189">
          <cell r="A189" t="str">
            <v>ANYAVE</v>
          </cell>
          <cell r="B189">
            <v>44560</v>
          </cell>
          <cell r="C189" t="str">
            <v>LOM-272</v>
          </cell>
          <cell r="D189" t="str">
            <v>LOME</v>
          </cell>
          <cell r="E189" t="str">
            <v>LOME-NORD</v>
          </cell>
          <cell r="F189" t="str">
            <v>FH</v>
          </cell>
          <cell r="G189" t="str">
            <v>Grid-DG-Batt.</v>
          </cell>
          <cell r="H189" t="str">
            <v>OK</v>
          </cell>
          <cell r="I189" t="str">
            <v>NO</v>
          </cell>
          <cell r="J189" t="str">
            <v>YES</v>
          </cell>
          <cell r="K189" t="str">
            <v>GOLD</v>
          </cell>
          <cell r="L189" t="str">
            <v>SubUrbain</v>
          </cell>
          <cell r="M189" t="str">
            <v>70996408</v>
          </cell>
          <cell r="N189" t="str">
            <v>LOME NORD</v>
          </cell>
        </row>
        <row r="190">
          <cell r="A190" t="str">
            <v>AOUDA</v>
          </cell>
          <cell r="B190">
            <v>39975</v>
          </cell>
          <cell r="C190" t="str">
            <v>CEN-037</v>
          </cell>
          <cell r="D190" t="str">
            <v>CENTRALE</v>
          </cell>
          <cell r="E190" t="str">
            <v>SOKODE</v>
          </cell>
          <cell r="F190" t="str">
            <v>FO</v>
          </cell>
          <cell r="G190" t="str">
            <v>Grid-DG-Batt.</v>
          </cell>
          <cell r="H190" t="str">
            <v>OK</v>
          </cell>
          <cell r="I190" t="str">
            <v>NO</v>
          </cell>
          <cell r="J190" t="str">
            <v>NO</v>
          </cell>
          <cell r="K190" t="str">
            <v>SILVER</v>
          </cell>
          <cell r="L190" t="str">
            <v>SubUrbain</v>
          </cell>
          <cell r="M190" t="str">
            <v>70996641</v>
          </cell>
          <cell r="N190" t="str">
            <v>SOKODE</v>
          </cell>
        </row>
        <row r="191">
          <cell r="A191" t="str">
            <v>AOUMATCHATOM</v>
          </cell>
          <cell r="B191">
            <v>44719</v>
          </cell>
          <cell r="C191" t="str">
            <v>CEN-096</v>
          </cell>
          <cell r="D191" t="str">
            <v>CENTRALE</v>
          </cell>
          <cell r="E191" t="str">
            <v>SOKODE</v>
          </cell>
          <cell r="F191" t="str">
            <v>FH</v>
          </cell>
          <cell r="G191" t="str">
            <v>DG-Solar-Batt.</v>
          </cell>
          <cell r="H191" t="str">
            <v>OK</v>
          </cell>
          <cell r="I191" t="str">
            <v>NO</v>
          </cell>
          <cell r="J191" t="str">
            <v>YES</v>
          </cell>
          <cell r="K191" t="str">
            <v>BRONZE</v>
          </cell>
          <cell r="L191" t="str">
            <v>rural</v>
          </cell>
          <cell r="M191" t="str">
            <v>70996459</v>
          </cell>
          <cell r="N191" t="str">
            <v>SOKODE</v>
          </cell>
        </row>
        <row r="192">
          <cell r="A192" t="str">
            <v>AOU-MONO</v>
          </cell>
          <cell r="B192">
            <v>43910</v>
          </cell>
          <cell r="C192" t="str">
            <v>CEN-091</v>
          </cell>
          <cell r="D192" t="str">
            <v>CENTRALE</v>
          </cell>
          <cell r="E192" t="str">
            <v>SOKODE</v>
          </cell>
          <cell r="F192" t="str">
            <v>FH</v>
          </cell>
          <cell r="G192" t="str">
            <v>DG-Solar-Batt.</v>
          </cell>
          <cell r="H192" t="str">
            <v>OK</v>
          </cell>
          <cell r="I192" t="str">
            <v>NO</v>
          </cell>
          <cell r="J192" t="str">
            <v>NO</v>
          </cell>
          <cell r="K192" t="str">
            <v>BRONZE</v>
          </cell>
          <cell r="L192" t="str">
            <v>rural</v>
          </cell>
          <cell r="M192" t="str">
            <v>70996642</v>
          </cell>
          <cell r="N192" t="str">
            <v>SOKODE</v>
          </cell>
        </row>
        <row r="193">
          <cell r="A193" t="str">
            <v>APEDOKOE</v>
          </cell>
          <cell r="B193">
            <v>39974</v>
          </cell>
          <cell r="C193" t="str">
            <v>LOM-063</v>
          </cell>
          <cell r="D193" t="str">
            <v>LOME</v>
          </cell>
          <cell r="E193" t="str">
            <v>LOME-OUEST 2</v>
          </cell>
          <cell r="F193" t="str">
            <v>FO</v>
          </cell>
          <cell r="G193" t="str">
            <v>Grid-DG-Batt.</v>
          </cell>
          <cell r="H193" t="str">
            <v>OK</v>
          </cell>
          <cell r="I193" t="str">
            <v>NO</v>
          </cell>
          <cell r="J193" t="str">
            <v>NO</v>
          </cell>
          <cell r="K193" t="str">
            <v>SILVER</v>
          </cell>
          <cell r="L193" t="str">
            <v>Urbain</v>
          </cell>
          <cell r="M193" t="str">
            <v>70996643</v>
          </cell>
          <cell r="N193" t="str">
            <v>LOME OUEST2</v>
          </cell>
        </row>
        <row r="194">
          <cell r="A194" t="str">
            <v>APEDOKOE2</v>
          </cell>
          <cell r="B194">
            <v>44610</v>
          </cell>
          <cell r="C194" t="str">
            <v>LOM-273</v>
          </cell>
          <cell r="D194" t="str">
            <v>LOME</v>
          </cell>
          <cell r="E194" t="str">
            <v>LOME-OUEST 2</v>
          </cell>
          <cell r="F194" t="str">
            <v>FH</v>
          </cell>
          <cell r="G194" t="str">
            <v>Grid-DG-Batt.</v>
          </cell>
          <cell r="H194" t="str">
            <v>OK</v>
          </cell>
          <cell r="I194" t="str">
            <v>NO</v>
          </cell>
          <cell r="J194" t="str">
            <v>YES</v>
          </cell>
          <cell r="K194" t="str">
            <v>SILVER</v>
          </cell>
          <cell r="L194" t="str">
            <v>Urbain</v>
          </cell>
          <cell r="M194">
            <v>0</v>
          </cell>
          <cell r="N194" t="str">
            <v>LOME OUEST2</v>
          </cell>
        </row>
        <row r="195">
          <cell r="A195" t="str">
            <v>APESSITO</v>
          </cell>
          <cell r="B195">
            <v>44112</v>
          </cell>
          <cell r="C195" t="str">
            <v>LOM-248</v>
          </cell>
          <cell r="D195" t="str">
            <v>LOME</v>
          </cell>
          <cell r="E195" t="str">
            <v>LOME-OUEST 1</v>
          </cell>
          <cell r="F195" t="str">
            <v>FH</v>
          </cell>
          <cell r="G195" t="str">
            <v>Grid-DG-Batt.</v>
          </cell>
          <cell r="H195" t="str">
            <v>OK</v>
          </cell>
          <cell r="I195" t="str">
            <v>NO</v>
          </cell>
          <cell r="J195" t="str">
            <v>NO</v>
          </cell>
          <cell r="K195" t="str">
            <v>GOLD</v>
          </cell>
          <cell r="L195" t="str">
            <v>SubUrbain</v>
          </cell>
          <cell r="M195" t="str">
            <v>70996428</v>
          </cell>
          <cell r="N195" t="str">
            <v>LOME OUEST1</v>
          </cell>
        </row>
        <row r="196">
          <cell r="A196" t="str">
            <v>ASAHOUNFIAGBE-MOOV</v>
          </cell>
          <cell r="B196">
            <v>45220</v>
          </cell>
          <cell r="C196" t="str">
            <v>PLA-248</v>
          </cell>
          <cell r="D196" t="str">
            <v>MARITIME</v>
          </cell>
          <cell r="E196" t="str">
            <v>KPALIME</v>
          </cell>
          <cell r="F196" t="str">
            <v>FH</v>
          </cell>
          <cell r="G196" t="str">
            <v>Grid-DG-Batt.</v>
          </cell>
          <cell r="H196" t="str">
            <v>OK</v>
          </cell>
          <cell r="I196" t="str">
            <v>NO</v>
          </cell>
          <cell r="J196" t="str">
            <v>NO</v>
          </cell>
          <cell r="K196" t="str">
            <v>BRONZE</v>
          </cell>
          <cell r="L196" t="str">
            <v>RURAL</v>
          </cell>
          <cell r="M196" t="e">
            <v>#N/A</v>
          </cell>
          <cell r="N196" t="str">
            <v>KPALIME</v>
          </cell>
        </row>
        <row r="197">
          <cell r="A197" t="str">
            <v>ASRAMA</v>
          </cell>
          <cell r="B197">
            <v>40079</v>
          </cell>
          <cell r="C197" t="str">
            <v>PLA-109</v>
          </cell>
          <cell r="D197" t="str">
            <v>PLATEAUX</v>
          </cell>
          <cell r="E197" t="str">
            <v>NOTSE</v>
          </cell>
          <cell r="F197" t="str">
            <v>FH</v>
          </cell>
          <cell r="G197" t="str">
            <v>DG-Solar-Batt.</v>
          </cell>
          <cell r="H197" t="str">
            <v>NOK</v>
          </cell>
          <cell r="I197" t="str">
            <v>NO</v>
          </cell>
          <cell r="J197" t="str">
            <v>NO</v>
          </cell>
          <cell r="K197" t="str">
            <v>SILVER</v>
          </cell>
          <cell r="L197" t="str">
            <v>rural</v>
          </cell>
          <cell r="M197" t="str">
            <v>70996644</v>
          </cell>
          <cell r="N197" t="str">
            <v>NOTSE</v>
          </cell>
        </row>
        <row r="198">
          <cell r="A198" t="str">
            <v>ASSAHOUN</v>
          </cell>
          <cell r="B198">
            <v>41934</v>
          </cell>
          <cell r="C198" t="str">
            <v>MAR-052</v>
          </cell>
          <cell r="D198" t="str">
            <v>MARITIME</v>
          </cell>
          <cell r="E198" t="str">
            <v>TSEVIE</v>
          </cell>
          <cell r="F198" t="str">
            <v>FH</v>
          </cell>
          <cell r="G198" t="str">
            <v>Grid-DG-Batt.</v>
          </cell>
          <cell r="H198" t="str">
            <v>OK</v>
          </cell>
          <cell r="I198" t="str">
            <v>NO</v>
          </cell>
          <cell r="J198" t="str">
            <v>YES</v>
          </cell>
          <cell r="K198" t="str">
            <v>GOLD</v>
          </cell>
          <cell r="L198" t="str">
            <v>SubUrbain</v>
          </cell>
          <cell r="M198" t="str">
            <v>70996645</v>
          </cell>
          <cell r="N198" t="str">
            <v>TSEVIE</v>
          </cell>
        </row>
        <row r="199">
          <cell r="A199" t="str">
            <v>ASSANTE</v>
          </cell>
          <cell r="B199">
            <v>45104</v>
          </cell>
          <cell r="C199" t="str">
            <v>PLA-215</v>
          </cell>
          <cell r="D199" t="str">
            <v>PLATEAUX</v>
          </cell>
          <cell r="E199" t="str">
            <v>ATAKPAME-EST</v>
          </cell>
          <cell r="F199" t="str">
            <v>FH</v>
          </cell>
          <cell r="G199" t="str">
            <v>Grid-DG-Batt.</v>
          </cell>
          <cell r="H199" t="str">
            <v>OK</v>
          </cell>
          <cell r="I199" t="str">
            <v>NO</v>
          </cell>
          <cell r="J199" t="str">
            <v>NO</v>
          </cell>
          <cell r="K199" t="str">
            <v>BRONZE</v>
          </cell>
          <cell r="L199" t="str">
            <v>rural</v>
          </cell>
          <cell r="M199">
            <v>70997365</v>
          </cell>
          <cell r="N199" t="str">
            <v>ATAKPAME</v>
          </cell>
        </row>
        <row r="200">
          <cell r="A200" t="str">
            <v>ASSIGOME</v>
          </cell>
          <cell r="B200">
            <v>43523</v>
          </cell>
          <cell r="C200" t="str">
            <v>LOM-232</v>
          </cell>
          <cell r="D200" t="str">
            <v>LOME</v>
          </cell>
          <cell r="E200" t="str">
            <v>LOME-OUEST 1</v>
          </cell>
          <cell r="F200" t="str">
            <v>FH</v>
          </cell>
          <cell r="G200" t="str">
            <v>Grid-DG-Batt.</v>
          </cell>
          <cell r="H200" t="str">
            <v>NOK</v>
          </cell>
          <cell r="I200" t="str">
            <v>YES</v>
          </cell>
          <cell r="J200" t="str">
            <v>NO</v>
          </cell>
          <cell r="K200" t="str">
            <v>GOLD</v>
          </cell>
          <cell r="L200" t="str">
            <v>Urbain</v>
          </cell>
          <cell r="M200" t="str">
            <v>70996646</v>
          </cell>
          <cell r="N200" t="str">
            <v>LOME OUEST1</v>
          </cell>
        </row>
        <row r="201">
          <cell r="A201" t="str">
            <v>ASSIKO</v>
          </cell>
          <cell r="B201">
            <v>44684</v>
          </cell>
          <cell r="C201" t="str">
            <v>LOM-298</v>
          </cell>
          <cell r="D201" t="str">
            <v>LOME</v>
          </cell>
          <cell r="E201" t="str">
            <v>LOME-OUEST 1</v>
          </cell>
          <cell r="F201" t="str">
            <v>FH</v>
          </cell>
          <cell r="G201" t="str">
            <v>Grid-DG-Batt.</v>
          </cell>
          <cell r="H201" t="str">
            <v>OK</v>
          </cell>
          <cell r="I201" t="str">
            <v>NO</v>
          </cell>
          <cell r="J201" t="str">
            <v>YES</v>
          </cell>
          <cell r="K201" t="str">
            <v>SILVER</v>
          </cell>
          <cell r="L201" t="str">
            <v>SubUrbain</v>
          </cell>
          <cell r="M201">
            <v>0</v>
          </cell>
          <cell r="N201" t="str">
            <v>LOME OUEST1</v>
          </cell>
        </row>
        <row r="202">
          <cell r="A202" t="str">
            <v>ASSIYEYE</v>
          </cell>
          <cell r="B202">
            <v>39417</v>
          </cell>
          <cell r="C202" t="str">
            <v>LOM-038</v>
          </cell>
          <cell r="D202" t="str">
            <v>LOME</v>
          </cell>
          <cell r="E202" t="str">
            <v>LOME-OUEST 1</v>
          </cell>
          <cell r="F202" t="str">
            <v>FO</v>
          </cell>
          <cell r="G202" t="str">
            <v>Grid-DG-Batt.</v>
          </cell>
          <cell r="H202" t="str">
            <v>OK</v>
          </cell>
          <cell r="I202" t="str">
            <v>NO</v>
          </cell>
          <cell r="J202" t="str">
            <v>NO</v>
          </cell>
          <cell r="K202" t="str">
            <v>GOLD</v>
          </cell>
          <cell r="L202" t="str">
            <v>Urbain</v>
          </cell>
          <cell r="M202" t="str">
            <v>70996647</v>
          </cell>
          <cell r="N202" t="str">
            <v>LOME OUEST1</v>
          </cell>
        </row>
        <row r="203">
          <cell r="A203" t="str">
            <v>ASSOKOKO</v>
          </cell>
          <cell r="B203">
            <v>39417</v>
          </cell>
          <cell r="C203" t="str">
            <v>CEN-070</v>
          </cell>
          <cell r="D203" t="str">
            <v>CENTRALE</v>
          </cell>
          <cell r="E203" t="str">
            <v>BLITTA</v>
          </cell>
          <cell r="F203" t="str">
            <v>FH</v>
          </cell>
          <cell r="G203" t="str">
            <v>DG-Solar-Batt.</v>
          </cell>
          <cell r="H203" t="str">
            <v>OK</v>
          </cell>
          <cell r="I203" t="str">
            <v>NO</v>
          </cell>
          <cell r="J203" t="str">
            <v>YES</v>
          </cell>
          <cell r="K203" t="str">
            <v>BRONZE</v>
          </cell>
          <cell r="L203" t="str">
            <v>rural</v>
          </cell>
          <cell r="M203" t="str">
            <v>70996648</v>
          </cell>
          <cell r="N203" t="str">
            <v>BLITTA</v>
          </cell>
        </row>
        <row r="204">
          <cell r="A204" t="str">
            <v>ASSOME</v>
          </cell>
          <cell r="B204">
            <v>42110</v>
          </cell>
          <cell r="C204" t="str">
            <v>MAR-003</v>
          </cell>
          <cell r="D204" t="str">
            <v>MARITIME</v>
          </cell>
          <cell r="E204" t="str">
            <v>TSEVIE</v>
          </cell>
          <cell r="F204" t="str">
            <v>FH</v>
          </cell>
          <cell r="G204" t="str">
            <v>Grid-DG-Solar-Batt.</v>
          </cell>
          <cell r="H204" t="str">
            <v>OK</v>
          </cell>
          <cell r="I204" t="str">
            <v>NO</v>
          </cell>
          <cell r="J204" t="str">
            <v>NO</v>
          </cell>
          <cell r="K204" t="str">
            <v>BRONZE</v>
          </cell>
          <cell r="L204" t="str">
            <v>rural</v>
          </cell>
          <cell r="M204" t="str">
            <v>70996649</v>
          </cell>
          <cell r="N204" t="str">
            <v>TSEVIE</v>
          </cell>
        </row>
        <row r="205">
          <cell r="A205" t="str">
            <v>ASSOME2</v>
          </cell>
          <cell r="B205">
            <v>44857</v>
          </cell>
          <cell r="C205" t="str">
            <v>LOM-330</v>
          </cell>
          <cell r="D205" t="str">
            <v>LOME</v>
          </cell>
          <cell r="E205" t="str">
            <v>LOME-NORD</v>
          </cell>
          <cell r="F205" t="str">
            <v>FH</v>
          </cell>
          <cell r="G205" t="str">
            <v>Grid-DG-Batt.</v>
          </cell>
          <cell r="H205" t="str">
            <v>OK</v>
          </cell>
          <cell r="I205" t="str">
            <v>NO</v>
          </cell>
          <cell r="J205" t="str">
            <v>YES</v>
          </cell>
          <cell r="K205" t="str">
            <v>SILVER</v>
          </cell>
          <cell r="L205" t="str">
            <v>SubUrbain</v>
          </cell>
          <cell r="M205">
            <v>70997252</v>
          </cell>
          <cell r="N205" t="str">
            <v>LOME NORD</v>
          </cell>
        </row>
        <row r="206">
          <cell r="A206" t="str">
            <v>ATAKPAME</v>
          </cell>
          <cell r="B206">
            <v>41647</v>
          </cell>
          <cell r="C206" t="str">
            <v>PLA-004</v>
          </cell>
          <cell r="D206" t="str">
            <v>PLATEAUX</v>
          </cell>
          <cell r="E206" t="str">
            <v>ATAKPAME-OUEST</v>
          </cell>
          <cell r="F206" t="str">
            <v>FO</v>
          </cell>
          <cell r="G206" t="str">
            <v>Grid-DG-Batt.</v>
          </cell>
          <cell r="H206" t="str">
            <v>OK</v>
          </cell>
          <cell r="I206" t="str">
            <v>NO</v>
          </cell>
          <cell r="J206" t="str">
            <v>YES</v>
          </cell>
          <cell r="K206" t="str">
            <v>GOLD</v>
          </cell>
          <cell r="L206" t="str">
            <v>Urbain</v>
          </cell>
          <cell r="M206">
            <v>0</v>
          </cell>
          <cell r="N206" t="str">
            <v>ATAKPAME</v>
          </cell>
        </row>
        <row r="207">
          <cell r="A207" t="str">
            <v>ATAKPAME2</v>
          </cell>
          <cell r="B207">
            <v>40422</v>
          </cell>
          <cell r="C207" t="str">
            <v>PLA-005</v>
          </cell>
          <cell r="D207" t="str">
            <v>PLATEAUX</v>
          </cell>
          <cell r="E207" t="str">
            <v>ATAKPAME-OUEST</v>
          </cell>
          <cell r="F207" t="str">
            <v>FH</v>
          </cell>
          <cell r="G207" t="str">
            <v>Grid-DG-Batt.</v>
          </cell>
          <cell r="H207" t="str">
            <v>OK</v>
          </cell>
          <cell r="I207" t="str">
            <v>NO</v>
          </cell>
          <cell r="J207" t="str">
            <v>NO</v>
          </cell>
          <cell r="K207" t="str">
            <v>SILVER</v>
          </cell>
          <cell r="L207" t="str">
            <v>Urbain</v>
          </cell>
          <cell r="M207" t="str">
            <v>70996651</v>
          </cell>
          <cell r="N207" t="str">
            <v>ATAKPAME</v>
          </cell>
        </row>
        <row r="208">
          <cell r="A208" t="str">
            <v>ATAKPAME-EVECHE</v>
          </cell>
          <cell r="B208">
            <v>45265</v>
          </cell>
          <cell r="C208" t="str">
            <v>PLA-213</v>
          </cell>
          <cell r="D208" t="str">
            <v>PLATEAUX</v>
          </cell>
          <cell r="E208" t="str">
            <v>ATAKPAME-OUEST</v>
          </cell>
          <cell r="F208" t="str">
            <v>FTTM</v>
          </cell>
          <cell r="G208" t="str">
            <v>Grid-DG-Batt.</v>
          </cell>
          <cell r="H208" t="str">
            <v>OK</v>
          </cell>
          <cell r="I208" t="str">
            <v>NO</v>
          </cell>
          <cell r="J208" t="str">
            <v>NO</v>
          </cell>
          <cell r="K208" t="str">
            <v>SILVER</v>
          </cell>
          <cell r="L208" t="str">
            <v>URBAIN</v>
          </cell>
          <cell r="M208" t="e">
            <v>#N/A</v>
          </cell>
          <cell r="N208" t="str">
            <v>ATAKPAME</v>
          </cell>
        </row>
        <row r="209">
          <cell r="A209" t="str">
            <v>ATAKPAME-KAMINA</v>
          </cell>
          <cell r="B209">
            <v>42036</v>
          </cell>
          <cell r="C209" t="str">
            <v>PLA-006</v>
          </cell>
          <cell r="D209" t="str">
            <v>PLATEAUX</v>
          </cell>
          <cell r="E209" t="str">
            <v>ATAKPAME-OUEST</v>
          </cell>
          <cell r="F209" t="str">
            <v>FH</v>
          </cell>
          <cell r="G209" t="str">
            <v>Grid-DG-Batt.</v>
          </cell>
          <cell r="H209" t="str">
            <v>OK</v>
          </cell>
          <cell r="I209" t="str">
            <v>NO</v>
          </cell>
          <cell r="J209" t="str">
            <v>YES</v>
          </cell>
          <cell r="K209" t="str">
            <v>SILVER</v>
          </cell>
          <cell r="L209" t="str">
            <v>Urbain</v>
          </cell>
          <cell r="M209" t="str">
            <v>70996652</v>
          </cell>
          <cell r="N209" t="str">
            <v>ATAKPAME</v>
          </cell>
        </row>
        <row r="210">
          <cell r="A210" t="str">
            <v>ATAKPAME-SADA</v>
          </cell>
          <cell r="B210">
            <v>44629</v>
          </cell>
          <cell r="C210" t="str">
            <v>PLA-200</v>
          </cell>
          <cell r="D210" t="str">
            <v>PLATEAUX</v>
          </cell>
          <cell r="E210" t="str">
            <v>ATAKPAME-OUEST</v>
          </cell>
          <cell r="F210" t="str">
            <v>FH</v>
          </cell>
          <cell r="G210" t="str">
            <v>Grid-DG-Batt.</v>
          </cell>
          <cell r="H210" t="str">
            <v>OK</v>
          </cell>
          <cell r="I210" t="str">
            <v>NO</v>
          </cell>
          <cell r="J210" t="str">
            <v>YES</v>
          </cell>
          <cell r="K210" t="str">
            <v>GOLD</v>
          </cell>
          <cell r="L210" t="str">
            <v>SubUrbain</v>
          </cell>
          <cell r="M210" t="str">
            <v>70996460</v>
          </cell>
          <cell r="N210" t="str">
            <v>ATAKPAME</v>
          </cell>
        </row>
        <row r="211">
          <cell r="A211" t="str">
            <v>ATALO</v>
          </cell>
          <cell r="B211">
            <v>43879</v>
          </cell>
          <cell r="C211" t="str">
            <v>PLA-146</v>
          </cell>
          <cell r="D211" t="str">
            <v>PLATEAUX</v>
          </cell>
          <cell r="E211" t="str">
            <v>ATAKPAME-EST</v>
          </cell>
          <cell r="F211" t="str">
            <v>FH</v>
          </cell>
          <cell r="G211" t="str">
            <v>Grid-DG-Batt.</v>
          </cell>
          <cell r="H211" t="str">
            <v>OK</v>
          </cell>
          <cell r="I211" t="str">
            <v>NO</v>
          </cell>
          <cell r="J211" t="str">
            <v>NO</v>
          </cell>
          <cell r="K211" t="str">
            <v>SILVER</v>
          </cell>
          <cell r="L211" t="str">
            <v>rural</v>
          </cell>
          <cell r="M211" t="str">
            <v>70996654</v>
          </cell>
          <cell r="N211" t="str">
            <v>ATAKPAME</v>
          </cell>
        </row>
        <row r="212">
          <cell r="A212" t="str">
            <v>ATALOUTE</v>
          </cell>
          <cell r="B212">
            <v>38626</v>
          </cell>
          <cell r="C212" t="str">
            <v>KAR-047</v>
          </cell>
          <cell r="D212" t="str">
            <v>KARA</v>
          </cell>
          <cell r="E212" t="str">
            <v>KANTE</v>
          </cell>
          <cell r="F212" t="str">
            <v>FH</v>
          </cell>
          <cell r="G212" t="str">
            <v>DG-Solar-Batt.</v>
          </cell>
          <cell r="H212" t="str">
            <v>OK</v>
          </cell>
          <cell r="I212" t="str">
            <v>NO</v>
          </cell>
          <cell r="J212" t="str">
            <v>NO</v>
          </cell>
          <cell r="K212" t="str">
            <v>BRONZE</v>
          </cell>
          <cell r="L212" t="str">
            <v>rural</v>
          </cell>
          <cell r="M212" t="str">
            <v>70996655</v>
          </cell>
          <cell r="N212" t="str">
            <v>KANTE</v>
          </cell>
        </row>
        <row r="213">
          <cell r="A213" t="str">
            <v>ATCHANGBADE-MOOV</v>
          </cell>
          <cell r="B213"/>
          <cell r="C213" t="str">
            <v>KAR-035</v>
          </cell>
          <cell r="D213" t="str">
            <v>KARA</v>
          </cell>
          <cell r="E213" t="str">
            <v>KARA-OUEST</v>
          </cell>
          <cell r="F213" t="str">
            <v>FH</v>
          </cell>
          <cell r="G213" t="str">
            <v>Grid-DG-Batt.</v>
          </cell>
          <cell r="H213" t="str">
            <v>OK</v>
          </cell>
          <cell r="I213" t="str">
            <v>NO</v>
          </cell>
          <cell r="J213" t="str">
            <v>NO</v>
          </cell>
          <cell r="K213" t="str">
            <v>BRONZE</v>
          </cell>
          <cell r="L213" t="str">
            <v>SubUrbain</v>
          </cell>
          <cell r="M213">
            <v>70996656</v>
          </cell>
          <cell r="N213" t="str">
            <v>KARA OUEST</v>
          </cell>
        </row>
        <row r="214">
          <cell r="A214" t="str">
            <v>ATCHINEDJI</v>
          </cell>
          <cell r="B214">
            <v>42156</v>
          </cell>
          <cell r="C214" t="str">
            <v>PLA-079</v>
          </cell>
          <cell r="D214" t="str">
            <v>PLATEAUX</v>
          </cell>
          <cell r="E214" t="str">
            <v>ATAKPAME-OUEST</v>
          </cell>
          <cell r="F214" t="str">
            <v>FH</v>
          </cell>
          <cell r="G214" t="str">
            <v>DG-Solar-Batt.</v>
          </cell>
          <cell r="H214" t="str">
            <v>OK</v>
          </cell>
          <cell r="I214" t="str">
            <v>NO</v>
          </cell>
          <cell r="J214" t="str">
            <v>NO</v>
          </cell>
          <cell r="K214" t="str">
            <v>BRONZE</v>
          </cell>
          <cell r="L214" t="str">
            <v>rural</v>
          </cell>
          <cell r="M214" t="str">
            <v>70996657</v>
          </cell>
          <cell r="N214" t="str">
            <v>ELAVAGNON</v>
          </cell>
        </row>
        <row r="215">
          <cell r="A215" t="str">
            <v>ATIDJIN</v>
          </cell>
          <cell r="B215">
            <v>45282</v>
          </cell>
          <cell r="C215" t="str">
            <v>LOM-385</v>
          </cell>
          <cell r="D215" t="str">
            <v>LOME</v>
          </cell>
          <cell r="E215" t="str">
            <v>LOME-OUEST 1</v>
          </cell>
          <cell r="F215" t="str">
            <v>FH</v>
          </cell>
          <cell r="G215" t="str">
            <v>Grid-DG-Batt.</v>
          </cell>
          <cell r="H215" t="str">
            <v>NOK</v>
          </cell>
          <cell r="I215" t="str">
            <v>NO</v>
          </cell>
          <cell r="J215" t="str">
            <v>NO</v>
          </cell>
          <cell r="K215" t="str">
            <v>GOLD</v>
          </cell>
          <cell r="L215" t="str">
            <v>Urban</v>
          </cell>
          <cell r="M215">
            <v>0</v>
          </cell>
          <cell r="N215" t="str">
            <v>LOME OUEST1</v>
          </cell>
        </row>
        <row r="216">
          <cell r="A216" t="str">
            <v>ATIKOLOE</v>
          </cell>
          <cell r="B216">
            <v>43897</v>
          </cell>
          <cell r="C216" t="str">
            <v>MAR-081</v>
          </cell>
          <cell r="D216" t="str">
            <v>MARITIME</v>
          </cell>
          <cell r="E216" t="str">
            <v>KPALIME</v>
          </cell>
          <cell r="F216" t="str">
            <v>FH</v>
          </cell>
          <cell r="G216" t="str">
            <v>DG-Batt.</v>
          </cell>
          <cell r="H216" t="str">
            <v>OK</v>
          </cell>
          <cell r="I216" t="str">
            <v>NO</v>
          </cell>
          <cell r="J216" t="str">
            <v>NO</v>
          </cell>
          <cell r="K216" t="str">
            <v>BRONZE</v>
          </cell>
          <cell r="L216" t="str">
            <v>rural</v>
          </cell>
          <cell r="M216" t="str">
            <v>70996658</v>
          </cell>
          <cell r="N216" t="str">
            <v>KPALIME</v>
          </cell>
        </row>
        <row r="217">
          <cell r="A217" t="str">
            <v>ATIOME</v>
          </cell>
          <cell r="B217">
            <v>44539</v>
          </cell>
          <cell r="C217" t="str">
            <v>LOM-274</v>
          </cell>
          <cell r="D217" t="str">
            <v>LOME</v>
          </cell>
          <cell r="E217" t="str">
            <v>LOME-OUEST 1</v>
          </cell>
          <cell r="F217" t="str">
            <v>FH</v>
          </cell>
          <cell r="G217" t="str">
            <v>Grid-DG-Batt.</v>
          </cell>
          <cell r="H217" t="str">
            <v>OK</v>
          </cell>
          <cell r="I217" t="str">
            <v>NO</v>
          </cell>
          <cell r="J217" t="str">
            <v>YES</v>
          </cell>
          <cell r="K217" t="str">
            <v>SILVER</v>
          </cell>
          <cell r="L217" t="str">
            <v>Urbain</v>
          </cell>
          <cell r="M217" t="str">
            <v>70996461</v>
          </cell>
          <cell r="N217" t="str">
            <v>LOME OUEST1</v>
          </cell>
        </row>
        <row r="218">
          <cell r="A218" t="str">
            <v>ATOETA</v>
          </cell>
          <cell r="B218">
            <v>42110</v>
          </cell>
          <cell r="C218" t="str">
            <v>MAR-028</v>
          </cell>
          <cell r="D218" t="str">
            <v>MARITIME</v>
          </cell>
          <cell r="E218" t="str">
            <v>ANEHO</v>
          </cell>
          <cell r="F218" t="str">
            <v>FH</v>
          </cell>
          <cell r="G218" t="str">
            <v>Grid-DG-Solar-Batt.</v>
          </cell>
          <cell r="H218" t="str">
            <v>NOK</v>
          </cell>
          <cell r="I218" t="str">
            <v>NO</v>
          </cell>
          <cell r="J218" t="str">
            <v>NO</v>
          </cell>
          <cell r="K218" t="str">
            <v>BRONZE</v>
          </cell>
          <cell r="L218" t="str">
            <v>rural</v>
          </cell>
          <cell r="M218" t="str">
            <v>70996660</v>
          </cell>
          <cell r="N218" t="str">
            <v>ANEHO</v>
          </cell>
        </row>
        <row r="219">
          <cell r="A219" t="str">
            <v>ATTIEGOU</v>
          </cell>
          <cell r="B219">
            <v>39417</v>
          </cell>
          <cell r="C219" t="str">
            <v>LOM-088</v>
          </cell>
          <cell r="D219" t="str">
            <v>LOME</v>
          </cell>
          <cell r="E219" t="str">
            <v>LOME-CENTRE</v>
          </cell>
          <cell r="F219" t="str">
            <v>FO</v>
          </cell>
          <cell r="G219" t="str">
            <v>Grid-DG-Batt.</v>
          </cell>
          <cell r="H219" t="str">
            <v>OK</v>
          </cell>
          <cell r="I219" t="str">
            <v>NO</v>
          </cell>
          <cell r="J219" t="str">
            <v>NO</v>
          </cell>
          <cell r="K219" t="str">
            <v>GOLD</v>
          </cell>
          <cell r="L219" t="str">
            <v>Urbain</v>
          </cell>
          <cell r="M219" t="str">
            <v>70996661</v>
          </cell>
          <cell r="N219" t="str">
            <v>LOME CENTRE</v>
          </cell>
        </row>
        <row r="220">
          <cell r="A220" t="str">
            <v>ATTIEGOU2</v>
          </cell>
          <cell r="B220">
            <v>38322</v>
          </cell>
          <cell r="C220" t="str">
            <v>LOM-089</v>
          </cell>
          <cell r="D220" t="str">
            <v>LOME</v>
          </cell>
          <cell r="E220" t="str">
            <v>LOME-CENTRE</v>
          </cell>
          <cell r="F220" t="str">
            <v>FH</v>
          </cell>
          <cell r="G220" t="str">
            <v>Grid-DG-Batt.</v>
          </cell>
          <cell r="H220" t="str">
            <v>OK</v>
          </cell>
          <cell r="I220" t="str">
            <v>NO</v>
          </cell>
          <cell r="J220" t="str">
            <v>NO</v>
          </cell>
          <cell r="K220" t="str">
            <v>GOLD</v>
          </cell>
          <cell r="L220" t="str">
            <v>Urbain</v>
          </cell>
          <cell r="M220" t="str">
            <v>70996662</v>
          </cell>
          <cell r="N220" t="str">
            <v>LOME CENTRE</v>
          </cell>
        </row>
        <row r="221">
          <cell r="A221" t="str">
            <v>ATTIEGOU2-MOOV</v>
          </cell>
          <cell r="B221"/>
          <cell r="C221" t="str">
            <v>LOM-090</v>
          </cell>
          <cell r="D221" t="str">
            <v>LOME</v>
          </cell>
          <cell r="E221" t="str">
            <v>LOME-CENTRE</v>
          </cell>
          <cell r="F221" t="str">
            <v>FH</v>
          </cell>
          <cell r="G221" t="str">
            <v>Grid-DG-Batt.</v>
          </cell>
          <cell r="H221" t="str">
            <v>OK</v>
          </cell>
          <cell r="I221" t="str">
            <v>NO</v>
          </cell>
          <cell r="J221" t="str">
            <v>NO</v>
          </cell>
          <cell r="K221" t="str">
            <v>GOLD</v>
          </cell>
          <cell r="L221" t="str">
            <v>Urbain</v>
          </cell>
          <cell r="M221">
            <v>0</v>
          </cell>
          <cell r="N221" t="str">
            <v>LOME CENTRE</v>
          </cell>
        </row>
        <row r="222">
          <cell r="A222" t="str">
            <v>ATIEGOU3-MOOV</v>
          </cell>
          <cell r="B222">
            <v>43935</v>
          </cell>
          <cell r="C222" t="str">
            <v>LOM-245</v>
          </cell>
          <cell r="D222" t="str">
            <v>LOME</v>
          </cell>
          <cell r="E222" t="str">
            <v>LOME-CENTRE</v>
          </cell>
          <cell r="F222" t="str">
            <v>FH</v>
          </cell>
          <cell r="G222" t="str">
            <v>Grid-DG-Batt.</v>
          </cell>
          <cell r="H222" t="str">
            <v>OK</v>
          </cell>
          <cell r="I222" t="str">
            <v>NO</v>
          </cell>
          <cell r="J222" t="str">
            <v>NO</v>
          </cell>
          <cell r="K222" t="str">
            <v>SILVER</v>
          </cell>
          <cell r="L222" t="str">
            <v>Urbain</v>
          </cell>
          <cell r="M222" t="e">
            <v>#N/A</v>
          </cell>
          <cell r="N222" t="str">
            <v>LOME CENTRE</v>
          </cell>
        </row>
        <row r="223">
          <cell r="A223" t="str">
            <v>ATTIEGOU4</v>
          </cell>
          <cell r="B223">
            <v>44855</v>
          </cell>
          <cell r="C223" t="str">
            <v>LOM-352</v>
          </cell>
          <cell r="D223" t="str">
            <v>LOME</v>
          </cell>
          <cell r="E223" t="str">
            <v>LOME-CENTRE</v>
          </cell>
          <cell r="F223" t="str">
            <v>FH</v>
          </cell>
          <cell r="G223" t="str">
            <v>Grid-DG-Batt.</v>
          </cell>
          <cell r="H223" t="str">
            <v>OK</v>
          </cell>
          <cell r="I223" t="str">
            <v>NO</v>
          </cell>
          <cell r="J223" t="str">
            <v>YES</v>
          </cell>
          <cell r="K223" t="str">
            <v>SILVER</v>
          </cell>
          <cell r="L223" t="str">
            <v>Urbain</v>
          </cell>
          <cell r="M223">
            <v>0</v>
          </cell>
          <cell r="N223" t="str">
            <v>LOME CENTRE</v>
          </cell>
        </row>
        <row r="224">
          <cell r="A224" t="str">
            <v>ATTIOGBE-KOPE-TSAGBA</v>
          </cell>
          <cell r="B224">
            <v>45206</v>
          </cell>
          <cell r="C224" t="str">
            <v>PLA-190</v>
          </cell>
          <cell r="D224" t="str">
            <v>PLATEAUX</v>
          </cell>
          <cell r="E224" t="str">
            <v>NOTSE</v>
          </cell>
          <cell r="F224" t="str">
            <v>FH</v>
          </cell>
          <cell r="G224" t="str">
            <v>Grid-DG-Batt.</v>
          </cell>
          <cell r="H224" t="str">
            <v>OK</v>
          </cell>
          <cell r="I224" t="str">
            <v>NO</v>
          </cell>
          <cell r="J224" t="str">
            <v>NO</v>
          </cell>
          <cell r="K224" t="str">
            <v>BRONZE</v>
          </cell>
          <cell r="L224" t="str">
            <v>RURAL</v>
          </cell>
          <cell r="M224">
            <v>0</v>
          </cell>
          <cell r="N224" t="str">
            <v>NOTSE</v>
          </cell>
        </row>
        <row r="225">
          <cell r="A225" t="str">
            <v>AVEDJE</v>
          </cell>
          <cell r="B225">
            <v>40513</v>
          </cell>
          <cell r="C225" t="str">
            <v>MAR-062</v>
          </cell>
          <cell r="D225" t="str">
            <v>MARITIME</v>
          </cell>
          <cell r="E225" t="str">
            <v>TSEVIE</v>
          </cell>
          <cell r="F225" t="str">
            <v>FH</v>
          </cell>
          <cell r="G225" t="str">
            <v>DG-Solar-Batt.</v>
          </cell>
          <cell r="H225" t="str">
            <v>OK</v>
          </cell>
          <cell r="I225" t="str">
            <v>NO</v>
          </cell>
          <cell r="J225" t="str">
            <v>NO</v>
          </cell>
          <cell r="K225" t="str">
            <v>BRONZE</v>
          </cell>
          <cell r="L225" t="str">
            <v>rural</v>
          </cell>
          <cell r="M225" t="str">
            <v>70996663</v>
          </cell>
          <cell r="N225" t="str">
            <v>TSEVIE</v>
          </cell>
        </row>
        <row r="226">
          <cell r="A226" t="str">
            <v>AVEDJI</v>
          </cell>
          <cell r="B226">
            <v>37773</v>
          </cell>
          <cell r="C226" t="str">
            <v>LOM-072</v>
          </cell>
          <cell r="D226" t="str">
            <v>LOME</v>
          </cell>
          <cell r="E226" t="str">
            <v>LOME-OUEST 2</v>
          </cell>
          <cell r="F226" t="str">
            <v>FO</v>
          </cell>
          <cell r="G226" t="str">
            <v>Grid-DG-Batt.</v>
          </cell>
          <cell r="H226" t="str">
            <v>OK</v>
          </cell>
          <cell r="I226" t="str">
            <v>YES</v>
          </cell>
          <cell r="J226" t="str">
            <v>YES</v>
          </cell>
          <cell r="K226" t="str">
            <v>GOLD</v>
          </cell>
          <cell r="L226" t="str">
            <v>Urbain</v>
          </cell>
          <cell r="M226">
            <v>0</v>
          </cell>
          <cell r="N226" t="str">
            <v>LOME OUEST2</v>
          </cell>
        </row>
        <row r="227">
          <cell r="A227" t="str">
            <v>AVEDJI2</v>
          </cell>
          <cell r="B227" t="str">
            <v>04/072011</v>
          </cell>
          <cell r="C227" t="str">
            <v>LOM-073</v>
          </cell>
          <cell r="D227" t="str">
            <v>LOME</v>
          </cell>
          <cell r="E227" t="str">
            <v>LOME-OUEST 2</v>
          </cell>
          <cell r="F227" t="str">
            <v>FO</v>
          </cell>
          <cell r="G227" t="str">
            <v>Grid-DG-Batt.</v>
          </cell>
          <cell r="H227" t="str">
            <v>OK</v>
          </cell>
          <cell r="I227" t="str">
            <v>YES</v>
          </cell>
          <cell r="J227" t="str">
            <v>YES</v>
          </cell>
          <cell r="K227" t="str">
            <v>GOLD</v>
          </cell>
          <cell r="L227" t="str">
            <v>Urbain</v>
          </cell>
          <cell r="M227" t="str">
            <v>70996664</v>
          </cell>
          <cell r="N227" t="str">
            <v>LOME OUEST2</v>
          </cell>
        </row>
        <row r="228">
          <cell r="A228" t="str">
            <v>AVEEVE</v>
          </cell>
          <cell r="B228">
            <v>42654</v>
          </cell>
          <cell r="C228" t="str">
            <v>MAR-035</v>
          </cell>
          <cell r="D228" t="str">
            <v>MARITIME</v>
          </cell>
          <cell r="E228" t="str">
            <v>ANEHO</v>
          </cell>
          <cell r="F228" t="str">
            <v>FH</v>
          </cell>
          <cell r="G228" t="str">
            <v>Grid-DG-Solar-Batt.</v>
          </cell>
          <cell r="H228" t="str">
            <v>OK</v>
          </cell>
          <cell r="I228" t="str">
            <v>NO</v>
          </cell>
          <cell r="J228" t="str">
            <v>NO</v>
          </cell>
          <cell r="K228" t="str">
            <v>BRONZE</v>
          </cell>
          <cell r="L228" t="str">
            <v>rural</v>
          </cell>
          <cell r="M228" t="str">
            <v>70996665</v>
          </cell>
          <cell r="N228" t="str">
            <v>ANEHO</v>
          </cell>
        </row>
        <row r="229">
          <cell r="A229" t="str">
            <v>AVEMARIA-MOOV</v>
          </cell>
          <cell r="B229"/>
          <cell r="C229" t="str">
            <v>LOM-083</v>
          </cell>
          <cell r="D229" t="str">
            <v>LOME</v>
          </cell>
          <cell r="E229" t="str">
            <v>LOME-OUEST 2</v>
          </cell>
          <cell r="F229" t="str">
            <v>FH</v>
          </cell>
          <cell r="G229" t="str">
            <v>Grid-DG-Batt.</v>
          </cell>
          <cell r="H229" t="str">
            <v>OK</v>
          </cell>
          <cell r="I229" t="str">
            <v>NO</v>
          </cell>
          <cell r="J229" t="str">
            <v>NO</v>
          </cell>
          <cell r="K229" t="str">
            <v>GOLD</v>
          </cell>
          <cell r="L229" t="str">
            <v>Urbain</v>
          </cell>
          <cell r="M229">
            <v>0</v>
          </cell>
          <cell r="N229" t="str">
            <v>LOME OUEST2</v>
          </cell>
        </row>
        <row r="230">
          <cell r="A230" t="str">
            <v>AVENOU</v>
          </cell>
          <cell r="B230">
            <v>41815</v>
          </cell>
          <cell r="C230" t="str">
            <v>LOM-084</v>
          </cell>
          <cell r="D230" t="str">
            <v>LOME</v>
          </cell>
          <cell r="E230" t="str">
            <v>LOME-OUEST 2</v>
          </cell>
          <cell r="F230" t="str">
            <v>FO</v>
          </cell>
          <cell r="G230" t="str">
            <v>Grid-DG-Batt.</v>
          </cell>
          <cell r="H230" t="str">
            <v>OK</v>
          </cell>
          <cell r="I230" t="str">
            <v>NO</v>
          </cell>
          <cell r="J230" t="str">
            <v>NO</v>
          </cell>
          <cell r="K230" t="str">
            <v>GOLD</v>
          </cell>
          <cell r="L230" t="str">
            <v>Urbain</v>
          </cell>
          <cell r="M230" t="str">
            <v>70996666</v>
          </cell>
          <cell r="N230" t="str">
            <v>LOME OUEST2</v>
          </cell>
        </row>
        <row r="231">
          <cell r="A231" t="str">
            <v>AVEPOZO</v>
          </cell>
          <cell r="B231">
            <v>39417</v>
          </cell>
          <cell r="C231" t="str">
            <v>LOM-200</v>
          </cell>
          <cell r="D231" t="str">
            <v>LOME</v>
          </cell>
          <cell r="E231" t="str">
            <v>LOME-EST</v>
          </cell>
          <cell r="F231" t="str">
            <v>FO</v>
          </cell>
          <cell r="G231" t="str">
            <v>Grid-DG-Batt.</v>
          </cell>
          <cell r="H231" t="str">
            <v>OK</v>
          </cell>
          <cell r="I231" t="str">
            <v>NO</v>
          </cell>
          <cell r="J231" t="str">
            <v>NO</v>
          </cell>
          <cell r="K231" t="str">
            <v>GOLD</v>
          </cell>
          <cell r="L231" t="str">
            <v>Urbain</v>
          </cell>
          <cell r="M231" t="str">
            <v>70996667</v>
          </cell>
          <cell r="N231" t="str">
            <v>LOME EST</v>
          </cell>
        </row>
        <row r="232">
          <cell r="A232" t="str">
            <v>AVEPOZO2</v>
          </cell>
          <cell r="B232">
            <v>43439</v>
          </cell>
          <cell r="C232" t="str">
            <v>LOM-227</v>
          </cell>
          <cell r="D232" t="str">
            <v>LOME</v>
          </cell>
          <cell r="E232" t="str">
            <v>LOME-EST</v>
          </cell>
          <cell r="F232" t="str">
            <v>FH</v>
          </cell>
          <cell r="G232" t="str">
            <v>Grid-Batt.</v>
          </cell>
          <cell r="H232" t="str">
            <v>N/A</v>
          </cell>
          <cell r="I232" t="str">
            <v>YES</v>
          </cell>
          <cell r="J232" t="str">
            <v>NO</v>
          </cell>
          <cell r="K232" t="str">
            <v>SILVER</v>
          </cell>
          <cell r="L232" t="str">
            <v>Urbain</v>
          </cell>
          <cell r="M232">
            <v>0</v>
          </cell>
          <cell r="N232" t="str">
            <v>LOME EST</v>
          </cell>
        </row>
        <row r="233">
          <cell r="A233" t="str">
            <v>AVETA</v>
          </cell>
          <cell r="B233">
            <v>44111</v>
          </cell>
          <cell r="C233" t="str">
            <v>MAR-086</v>
          </cell>
          <cell r="D233" t="str">
            <v>LOME</v>
          </cell>
          <cell r="E233" t="str">
            <v>LOME-CENTRE</v>
          </cell>
          <cell r="F233" t="str">
            <v>FH</v>
          </cell>
          <cell r="G233" t="str">
            <v>Grid-DG-Batt.</v>
          </cell>
          <cell r="H233" t="str">
            <v>OK</v>
          </cell>
          <cell r="I233" t="str">
            <v>NO</v>
          </cell>
          <cell r="J233" t="str">
            <v>NO</v>
          </cell>
          <cell r="K233" t="str">
            <v>GOLD</v>
          </cell>
          <cell r="L233" t="str">
            <v>SubUrbain</v>
          </cell>
          <cell r="M233" t="str">
            <v>70996429</v>
          </cell>
          <cell r="N233" t="str">
            <v>LOME CENTRE</v>
          </cell>
        </row>
        <row r="234">
          <cell r="A234" t="str">
            <v>AVETONOU</v>
          </cell>
          <cell r="B234">
            <v>41609</v>
          </cell>
          <cell r="C234" t="str">
            <v>PLA-042</v>
          </cell>
          <cell r="D234" t="str">
            <v>MARITIME</v>
          </cell>
          <cell r="E234" t="str">
            <v>KPALIME</v>
          </cell>
          <cell r="F234" t="str">
            <v>FH</v>
          </cell>
          <cell r="G234" t="str">
            <v>Grid-DG-Batt.</v>
          </cell>
          <cell r="H234" t="str">
            <v>OK</v>
          </cell>
          <cell r="I234" t="str">
            <v>NO</v>
          </cell>
          <cell r="J234" t="str">
            <v>NO</v>
          </cell>
          <cell r="K234" t="str">
            <v>BRONZE</v>
          </cell>
          <cell r="L234" t="str">
            <v>rural</v>
          </cell>
          <cell r="M234" t="str">
            <v>70996668</v>
          </cell>
          <cell r="N234" t="str">
            <v>KPALIME</v>
          </cell>
        </row>
        <row r="235">
          <cell r="A235" t="str">
            <v>AVINATO2</v>
          </cell>
          <cell r="B235">
            <v>44614</v>
          </cell>
          <cell r="C235" t="str">
            <v>LOM-275</v>
          </cell>
          <cell r="D235" t="str">
            <v>LOME</v>
          </cell>
          <cell r="E235" t="str">
            <v>LOME-OUEST 1</v>
          </cell>
          <cell r="F235" t="str">
            <v>FH</v>
          </cell>
          <cell r="G235" t="str">
            <v>Grid-DG-Batt.</v>
          </cell>
          <cell r="H235" t="str">
            <v>OK</v>
          </cell>
          <cell r="I235" t="str">
            <v>NO</v>
          </cell>
          <cell r="J235" t="str">
            <v>YES</v>
          </cell>
          <cell r="K235" t="str">
            <v>SILVER</v>
          </cell>
          <cell r="L235" t="str">
            <v>Urbain</v>
          </cell>
          <cell r="M235" t="str">
            <v>70996462</v>
          </cell>
          <cell r="N235" t="str">
            <v>LOME OUEST1</v>
          </cell>
        </row>
        <row r="236">
          <cell r="A236" t="str">
            <v>AVINATO-MOOV</v>
          </cell>
          <cell r="B236"/>
          <cell r="C236" t="str">
            <v>LOM-051</v>
          </cell>
          <cell r="D236" t="str">
            <v>LOME</v>
          </cell>
          <cell r="E236" t="str">
            <v>LOME-OUEST 1</v>
          </cell>
          <cell r="F236" t="str">
            <v>FH</v>
          </cell>
          <cell r="G236" t="str">
            <v>Grid-DG-Batt.</v>
          </cell>
          <cell r="H236" t="str">
            <v>OK</v>
          </cell>
          <cell r="I236" t="str">
            <v>NO</v>
          </cell>
          <cell r="J236" t="str">
            <v>NO</v>
          </cell>
          <cell r="K236" t="str">
            <v>GOLD</v>
          </cell>
          <cell r="L236" t="str">
            <v>Urbain</v>
          </cell>
          <cell r="M236">
            <v>70996669</v>
          </cell>
          <cell r="N236" t="str">
            <v>LOME OUEST1</v>
          </cell>
        </row>
        <row r="237">
          <cell r="A237" t="str">
            <v>AVOUTOKPA</v>
          </cell>
          <cell r="B237">
            <v>41557</v>
          </cell>
          <cell r="C237" t="str">
            <v>MAR-036</v>
          </cell>
          <cell r="D237" t="str">
            <v>MARITIME</v>
          </cell>
          <cell r="E237" t="str">
            <v>ANEHO</v>
          </cell>
          <cell r="F237" t="str">
            <v>FH</v>
          </cell>
          <cell r="G237" t="str">
            <v>Grid-DG-Batt.</v>
          </cell>
          <cell r="H237" t="str">
            <v>OK</v>
          </cell>
          <cell r="I237" t="str">
            <v>NO</v>
          </cell>
          <cell r="J237" t="str">
            <v>YES</v>
          </cell>
          <cell r="K237" t="str">
            <v>BRONZE</v>
          </cell>
          <cell r="L237" t="str">
            <v>rural</v>
          </cell>
          <cell r="M237" t="str">
            <v>70996670</v>
          </cell>
          <cell r="N237" t="str">
            <v>ANEHO</v>
          </cell>
        </row>
        <row r="238">
          <cell r="A238" t="str">
            <v>AWAGOME</v>
          </cell>
          <cell r="B238">
            <v>40148</v>
          </cell>
          <cell r="C238" t="str">
            <v>PLA-009</v>
          </cell>
          <cell r="D238" t="str">
            <v>PLATEAUX</v>
          </cell>
          <cell r="E238" t="str">
            <v>ATAKPAME-OUEST</v>
          </cell>
          <cell r="F238" t="str">
            <v>FO</v>
          </cell>
          <cell r="G238" t="str">
            <v>DG-Solar-Batt.</v>
          </cell>
          <cell r="H238" t="str">
            <v>OK</v>
          </cell>
          <cell r="I238" t="str">
            <v>NO</v>
          </cell>
          <cell r="J238" t="str">
            <v>NO</v>
          </cell>
          <cell r="K238" t="str">
            <v>BRONZE</v>
          </cell>
          <cell r="L238" t="str">
            <v>rural</v>
          </cell>
          <cell r="M238" t="str">
            <v>70996671</v>
          </cell>
          <cell r="N238" t="str">
            <v>ATAKPAME</v>
          </cell>
        </row>
        <row r="239">
          <cell r="A239" t="str">
            <v>AWANDJELO</v>
          </cell>
          <cell r="B239">
            <v>39445</v>
          </cell>
          <cell r="C239" t="str">
            <v>KAR-036</v>
          </cell>
          <cell r="D239" t="str">
            <v>KARA</v>
          </cell>
          <cell r="E239" t="str">
            <v>KARA-OUEST</v>
          </cell>
          <cell r="F239" t="str">
            <v>FH</v>
          </cell>
          <cell r="G239" t="str">
            <v>Grid-DG-Batt.</v>
          </cell>
          <cell r="H239" t="str">
            <v>NOK</v>
          </cell>
          <cell r="I239" t="str">
            <v>NO</v>
          </cell>
          <cell r="J239" t="str">
            <v>NO</v>
          </cell>
          <cell r="K239" t="str">
            <v>SILVER</v>
          </cell>
          <cell r="L239" t="str">
            <v>SubUrbain</v>
          </cell>
          <cell r="M239" t="str">
            <v>70996672</v>
          </cell>
          <cell r="N239" t="str">
            <v>KARA OUEST</v>
          </cell>
        </row>
        <row r="240">
          <cell r="A240" t="str">
            <v>AWATAME</v>
          </cell>
          <cell r="B240">
            <v>41974</v>
          </cell>
          <cell r="C240" t="str">
            <v>LOM-077</v>
          </cell>
          <cell r="D240" t="str">
            <v>LOME</v>
          </cell>
          <cell r="E240" t="str">
            <v>LOME-OUEST 2</v>
          </cell>
          <cell r="F240" t="str">
            <v>FO</v>
          </cell>
          <cell r="G240" t="str">
            <v>Grid-DG-Batt.</v>
          </cell>
          <cell r="H240" t="str">
            <v>OK</v>
          </cell>
          <cell r="I240" t="str">
            <v>NO</v>
          </cell>
          <cell r="J240" t="str">
            <v>NO</v>
          </cell>
          <cell r="K240" t="str">
            <v>GOLD</v>
          </cell>
          <cell r="L240" t="str">
            <v>Urbain</v>
          </cell>
          <cell r="M240" t="str">
            <v>70996673</v>
          </cell>
          <cell r="N240" t="str">
            <v>LOME OUEST2</v>
          </cell>
        </row>
        <row r="241">
          <cell r="A241" t="str">
            <v>AWOUNADJASSI</v>
          </cell>
          <cell r="B241">
            <v>41609</v>
          </cell>
          <cell r="C241" t="str">
            <v>PLA-067</v>
          </cell>
          <cell r="D241" t="str">
            <v>MARITIME</v>
          </cell>
          <cell r="E241" t="str">
            <v>KPALIME</v>
          </cell>
          <cell r="F241" t="str">
            <v>FH</v>
          </cell>
          <cell r="G241" t="str">
            <v>DG-Solar-Batt.</v>
          </cell>
          <cell r="H241" t="str">
            <v>OK</v>
          </cell>
          <cell r="I241" t="str">
            <v>NO</v>
          </cell>
          <cell r="J241" t="str">
            <v>YES</v>
          </cell>
          <cell r="K241" t="str">
            <v>BRONZE</v>
          </cell>
          <cell r="L241" t="str">
            <v>rural</v>
          </cell>
          <cell r="M241" t="str">
            <v>70996674</v>
          </cell>
          <cell r="N241" t="str">
            <v>KPALIME</v>
          </cell>
        </row>
        <row r="242">
          <cell r="A242" t="str">
            <v>AYAKOPE</v>
          </cell>
          <cell r="B242">
            <v>43720</v>
          </cell>
          <cell r="C242" t="str">
            <v>PLA-060</v>
          </cell>
          <cell r="D242" t="str">
            <v>PLATEAUX</v>
          </cell>
          <cell r="E242" t="str">
            <v>NOTSE</v>
          </cell>
          <cell r="F242" t="str">
            <v>FH</v>
          </cell>
          <cell r="G242" t="str">
            <v>DG-Solar-Batt.</v>
          </cell>
          <cell r="H242" t="str">
            <v>OK</v>
          </cell>
          <cell r="I242" t="str">
            <v>NO</v>
          </cell>
          <cell r="J242" t="str">
            <v>NO</v>
          </cell>
          <cell r="K242" t="str">
            <v>BRONZE</v>
          </cell>
          <cell r="L242" t="str">
            <v>rural</v>
          </cell>
          <cell r="M242" t="str">
            <v>70996675</v>
          </cell>
          <cell r="N242" t="str">
            <v>NOTSE</v>
          </cell>
        </row>
        <row r="243">
          <cell r="A243" t="str">
            <v>AZAKPE</v>
          </cell>
          <cell r="B243">
            <v>44672</v>
          </cell>
          <cell r="C243" t="str">
            <v>PLA-201</v>
          </cell>
          <cell r="D243" t="str">
            <v>PLATEAUX</v>
          </cell>
          <cell r="E243" t="str">
            <v>NOTSE</v>
          </cell>
          <cell r="F243" t="str">
            <v>FH</v>
          </cell>
          <cell r="G243" t="str">
            <v>DG-Solar-Batt.</v>
          </cell>
          <cell r="H243" t="str">
            <v>OK</v>
          </cell>
          <cell r="I243" t="str">
            <v>NO</v>
          </cell>
          <cell r="J243" t="str">
            <v>YES</v>
          </cell>
          <cell r="K243" t="str">
            <v>BRONZE</v>
          </cell>
          <cell r="L243" t="str">
            <v>rural</v>
          </cell>
          <cell r="M243" t="str">
            <v>70996463</v>
          </cell>
          <cell r="N243" t="str">
            <v>NOTSE</v>
          </cell>
        </row>
        <row r="244">
          <cell r="A244" t="str">
            <v>AZONAHA</v>
          </cell>
          <cell r="B244">
            <v>44852</v>
          </cell>
          <cell r="C244" t="str">
            <v>PLA-216</v>
          </cell>
          <cell r="D244" t="str">
            <v>PLATEAUX</v>
          </cell>
          <cell r="E244" t="str">
            <v>ATAKPAME-EST</v>
          </cell>
          <cell r="F244" t="str">
            <v>FH</v>
          </cell>
          <cell r="G244" t="str">
            <v>DG-Solar-Batt.</v>
          </cell>
          <cell r="H244" t="str">
            <v>OK</v>
          </cell>
          <cell r="I244" t="str">
            <v>NO</v>
          </cell>
          <cell r="J244" t="str">
            <v>YES</v>
          </cell>
          <cell r="K244" t="str">
            <v>BRONZE</v>
          </cell>
          <cell r="L244" t="str">
            <v>rural</v>
          </cell>
          <cell r="M244" t="str">
            <v>70996515</v>
          </cell>
          <cell r="N244" t="str">
            <v>ATAKPAME</v>
          </cell>
        </row>
        <row r="245">
          <cell r="A245" t="str">
            <v>BABAVE</v>
          </cell>
          <cell r="B245">
            <v>45044</v>
          </cell>
          <cell r="C245" t="str">
            <v>PLA-246</v>
          </cell>
          <cell r="D245" t="str">
            <v>MARITIME</v>
          </cell>
          <cell r="E245" t="str">
            <v>KPALIME</v>
          </cell>
          <cell r="F245" t="str">
            <v>FH</v>
          </cell>
          <cell r="G245" t="str">
            <v>Solar-Batt.</v>
          </cell>
          <cell r="H245" t="str">
            <v>N/A</v>
          </cell>
          <cell r="I245" t="str">
            <v>NO</v>
          </cell>
          <cell r="J245" t="str">
            <v>YES</v>
          </cell>
          <cell r="K245" t="str">
            <v>BRONZE</v>
          </cell>
          <cell r="L245" t="str">
            <v>rural</v>
          </cell>
          <cell r="M245">
            <v>70997367</v>
          </cell>
          <cell r="N245" t="str">
            <v>KPALIME</v>
          </cell>
        </row>
        <row r="246">
          <cell r="A246" t="str">
            <v>BABONA-I</v>
          </cell>
          <cell r="B246">
            <v>45029</v>
          </cell>
          <cell r="C246" t="str">
            <v>SAV-097</v>
          </cell>
          <cell r="D246" t="str">
            <v>SAVANES</v>
          </cell>
          <cell r="E246" t="str">
            <v>DAPAONG 1</v>
          </cell>
          <cell r="F246" t="str">
            <v>FH</v>
          </cell>
          <cell r="G246" t="str">
            <v>DG-Solar-Batt.</v>
          </cell>
          <cell r="H246" t="str">
            <v>OK</v>
          </cell>
          <cell r="I246" t="str">
            <v>NO</v>
          </cell>
          <cell r="J246" t="str">
            <v>NO</v>
          </cell>
          <cell r="K246" t="str">
            <v>BRONZE</v>
          </cell>
          <cell r="L246" t="str">
            <v>rural</v>
          </cell>
          <cell r="M246" t="e">
            <v>#N/A</v>
          </cell>
          <cell r="N246" t="str">
            <v>DAPAONG</v>
          </cell>
        </row>
        <row r="247">
          <cell r="A247" t="str">
            <v>BADINKOPE</v>
          </cell>
          <cell r="B247">
            <v>40609</v>
          </cell>
          <cell r="C247" t="str">
            <v>PLA-034</v>
          </cell>
          <cell r="D247" t="str">
            <v>CENTRALE</v>
          </cell>
          <cell r="E247" t="str">
            <v>BLITTA</v>
          </cell>
          <cell r="F247" t="str">
            <v>FH</v>
          </cell>
          <cell r="G247" t="str">
            <v>DG-Solar-Batt.</v>
          </cell>
          <cell r="H247" t="str">
            <v>OK</v>
          </cell>
          <cell r="I247" t="str">
            <v>NO</v>
          </cell>
          <cell r="J247" t="str">
            <v>NO</v>
          </cell>
          <cell r="K247" t="str">
            <v>SILVER</v>
          </cell>
          <cell r="L247" t="str">
            <v>rural</v>
          </cell>
          <cell r="M247" t="str">
            <v>70996676</v>
          </cell>
          <cell r="N247" t="str">
            <v>ELAVAGNON</v>
          </cell>
        </row>
        <row r="248">
          <cell r="A248" t="str">
            <v>BADJA</v>
          </cell>
          <cell r="B248">
            <v>41040</v>
          </cell>
          <cell r="C248" t="str">
            <v>MAR-053</v>
          </cell>
          <cell r="D248" t="str">
            <v>MARITIME</v>
          </cell>
          <cell r="E248" t="str">
            <v>TSEVIE</v>
          </cell>
          <cell r="F248" t="str">
            <v>FH</v>
          </cell>
          <cell r="G248" t="str">
            <v>Grid-DG-Batt.</v>
          </cell>
          <cell r="H248" t="str">
            <v>OK</v>
          </cell>
          <cell r="I248" t="str">
            <v>NO</v>
          </cell>
          <cell r="J248" t="str">
            <v>NO</v>
          </cell>
          <cell r="K248" t="str">
            <v>SILVER</v>
          </cell>
          <cell r="L248" t="str">
            <v>rural</v>
          </cell>
          <cell r="M248" t="str">
            <v>70996677</v>
          </cell>
          <cell r="N248" t="str">
            <v>TSEVIE</v>
          </cell>
        </row>
        <row r="249">
          <cell r="A249" t="str">
            <v>BADOU</v>
          </cell>
          <cell r="B249"/>
          <cell r="C249" t="str">
            <v>PLA-073</v>
          </cell>
          <cell r="D249" t="str">
            <v>PLATEAUX</v>
          </cell>
          <cell r="E249" t="str">
            <v>BADOU</v>
          </cell>
          <cell r="F249" t="str">
            <v>FH</v>
          </cell>
          <cell r="G249" t="str">
            <v>Grid-2DG-Batt.</v>
          </cell>
          <cell r="H249" t="str">
            <v>OK</v>
          </cell>
          <cell r="I249" t="str">
            <v>NO</v>
          </cell>
          <cell r="J249" t="str">
            <v>YES</v>
          </cell>
          <cell r="K249" t="str">
            <v>SILVER</v>
          </cell>
          <cell r="L249" t="str">
            <v>Urbain</v>
          </cell>
          <cell r="M249" t="str">
            <v>70996678</v>
          </cell>
          <cell r="N249" t="str">
            <v>BADOU</v>
          </cell>
        </row>
        <row r="250">
          <cell r="A250" t="str">
            <v>BADOU3</v>
          </cell>
          <cell r="B250">
            <v>45066</v>
          </cell>
          <cell r="C250" t="str">
            <v>PLA-218</v>
          </cell>
          <cell r="D250" t="str">
            <v>PLATEAUX</v>
          </cell>
          <cell r="E250" t="str">
            <v>BADOU</v>
          </cell>
          <cell r="F250" t="str">
            <v>FH</v>
          </cell>
          <cell r="G250" t="str">
            <v>Grid-DG-Batt.</v>
          </cell>
          <cell r="H250" t="str">
            <v>OK</v>
          </cell>
          <cell r="I250" t="str">
            <v>NO</v>
          </cell>
          <cell r="J250" t="str">
            <v>YES</v>
          </cell>
          <cell r="K250" t="str">
            <v>GOLD</v>
          </cell>
          <cell r="L250" t="str">
            <v>SubUrbain</v>
          </cell>
          <cell r="M250">
            <v>0</v>
          </cell>
          <cell r="N250" t="str">
            <v>BADOU</v>
          </cell>
        </row>
        <row r="251">
          <cell r="A251" t="str">
            <v>BADOUGBE</v>
          </cell>
          <cell r="B251">
            <v>41345</v>
          </cell>
          <cell r="C251" t="str">
            <v>MAR-017</v>
          </cell>
          <cell r="D251" t="str">
            <v>MARITIME</v>
          </cell>
          <cell r="E251" t="str">
            <v>ANEHO</v>
          </cell>
          <cell r="F251" t="str">
            <v>FH</v>
          </cell>
          <cell r="G251" t="str">
            <v>Grid-DG-Batt.</v>
          </cell>
          <cell r="H251" t="str">
            <v>NOK</v>
          </cell>
          <cell r="I251" t="str">
            <v>NO</v>
          </cell>
          <cell r="J251" t="str">
            <v>NO</v>
          </cell>
          <cell r="K251" t="str">
            <v>BRONZE</v>
          </cell>
          <cell r="L251" t="str">
            <v>rural</v>
          </cell>
          <cell r="M251" t="str">
            <v>70996679</v>
          </cell>
          <cell r="N251" t="str">
            <v>ANEHO</v>
          </cell>
        </row>
        <row r="252">
          <cell r="A252" t="str">
            <v>BADOU-KESSIBO</v>
          </cell>
          <cell r="B252">
            <v>40878</v>
          </cell>
          <cell r="C252" t="str">
            <v>PLA-074</v>
          </cell>
          <cell r="D252" t="str">
            <v>PLATEAUX</v>
          </cell>
          <cell r="E252" t="str">
            <v>BADOU</v>
          </cell>
          <cell r="F252" t="str">
            <v>FH</v>
          </cell>
          <cell r="G252" t="str">
            <v>Grid-DG-Batt.</v>
          </cell>
          <cell r="H252" t="str">
            <v>NOK</v>
          </cell>
          <cell r="I252" t="str">
            <v>NO</v>
          </cell>
          <cell r="J252" t="str">
            <v>NO</v>
          </cell>
          <cell r="K252" t="str">
            <v>BRONZE</v>
          </cell>
          <cell r="L252" t="str">
            <v>Urbain</v>
          </cell>
          <cell r="M252" t="str">
            <v>70996680</v>
          </cell>
          <cell r="N252" t="str">
            <v>BADOU</v>
          </cell>
        </row>
        <row r="253">
          <cell r="A253" t="str">
            <v>BAFILO</v>
          </cell>
          <cell r="B253"/>
          <cell r="C253" t="str">
            <v>KAR-069</v>
          </cell>
          <cell r="D253" t="str">
            <v>KARA</v>
          </cell>
          <cell r="E253" t="str">
            <v>KARA-OUEST</v>
          </cell>
          <cell r="F253" t="str">
            <v>FH</v>
          </cell>
          <cell r="G253" t="str">
            <v>Grid-DG-Batt.</v>
          </cell>
          <cell r="H253" t="str">
            <v>NOK</v>
          </cell>
          <cell r="I253" t="str">
            <v>NO</v>
          </cell>
          <cell r="J253" t="str">
            <v>NO</v>
          </cell>
          <cell r="K253" t="str">
            <v>SILVER</v>
          </cell>
          <cell r="L253" t="str">
            <v>Urbain</v>
          </cell>
          <cell r="M253" t="str">
            <v>70996681</v>
          </cell>
          <cell r="N253" t="str">
            <v>KARA OUEST</v>
          </cell>
        </row>
        <row r="254">
          <cell r="A254" t="str">
            <v>BAFILO2</v>
          </cell>
          <cell r="B254">
            <v>45112</v>
          </cell>
          <cell r="C254" t="str">
            <v>KAR-139</v>
          </cell>
          <cell r="D254" t="str">
            <v>KARA</v>
          </cell>
          <cell r="E254" t="str">
            <v>KARA-OUEST</v>
          </cell>
          <cell r="F254" t="str">
            <v>FH</v>
          </cell>
          <cell r="G254" t="str">
            <v>Grid-DG-Batt.</v>
          </cell>
          <cell r="H254" t="str">
            <v>OK</v>
          </cell>
          <cell r="I254" t="str">
            <v>NO</v>
          </cell>
          <cell r="J254" t="str">
            <v>NO</v>
          </cell>
          <cell r="K254" t="str">
            <v>SILVER</v>
          </cell>
          <cell r="L254" t="str">
            <v>Urbain</v>
          </cell>
          <cell r="M254">
            <v>0</v>
          </cell>
          <cell r="N254" t="str">
            <v>KARA OUEST</v>
          </cell>
        </row>
        <row r="255">
          <cell r="A255" t="str">
            <v>BAFILO-MOOV</v>
          </cell>
          <cell r="B255"/>
          <cell r="C255" t="str">
            <v>KAR-070</v>
          </cell>
          <cell r="D255" t="str">
            <v>KARA</v>
          </cell>
          <cell r="E255" t="str">
            <v>KARA-OUEST</v>
          </cell>
          <cell r="F255" t="str">
            <v>FH</v>
          </cell>
          <cell r="G255" t="str">
            <v>Grid-DG-Batt.</v>
          </cell>
          <cell r="H255" t="str">
            <v>NOK</v>
          </cell>
          <cell r="I255" t="str">
            <v>NO</v>
          </cell>
          <cell r="J255" t="str">
            <v>NO</v>
          </cell>
          <cell r="K255" t="str">
            <v>SILVER</v>
          </cell>
          <cell r="L255" t="str">
            <v>Urbain</v>
          </cell>
          <cell r="M255">
            <v>70996682</v>
          </cell>
          <cell r="N255" t="str">
            <v>KARA OUEST</v>
          </cell>
        </row>
        <row r="256">
          <cell r="A256" t="str">
            <v>BAGA</v>
          </cell>
          <cell r="B256">
            <v>41572</v>
          </cell>
          <cell r="C256" t="str">
            <v>KAR-026</v>
          </cell>
          <cell r="D256" t="str">
            <v>KARA</v>
          </cell>
          <cell r="E256" t="str">
            <v>KARA-EST</v>
          </cell>
          <cell r="F256" t="str">
            <v>FH</v>
          </cell>
          <cell r="G256" t="str">
            <v>Grid-DG-Batt.</v>
          </cell>
          <cell r="H256" t="str">
            <v>NOK</v>
          </cell>
          <cell r="I256" t="str">
            <v>NO</v>
          </cell>
          <cell r="J256" t="str">
            <v>NO</v>
          </cell>
          <cell r="K256" t="str">
            <v>BRONZE</v>
          </cell>
          <cell r="L256" t="str">
            <v>SubUrbain</v>
          </cell>
          <cell r="M256" t="str">
            <v>70996683</v>
          </cell>
          <cell r="N256" t="str">
            <v>KARA EST</v>
          </cell>
        </row>
        <row r="257">
          <cell r="A257" t="str">
            <v>BAGHAN</v>
          </cell>
          <cell r="B257">
            <v>38626</v>
          </cell>
          <cell r="C257" t="str">
            <v>KAR-088</v>
          </cell>
          <cell r="D257" t="str">
            <v>KARA</v>
          </cell>
          <cell r="E257" t="str">
            <v>KABOU</v>
          </cell>
          <cell r="F257" t="str">
            <v>FH</v>
          </cell>
          <cell r="G257" t="str">
            <v>DG-Solar-Batt.</v>
          </cell>
          <cell r="H257" t="str">
            <v>OK</v>
          </cell>
          <cell r="I257" t="str">
            <v>NO</v>
          </cell>
          <cell r="J257" t="str">
            <v>NO</v>
          </cell>
          <cell r="K257" t="str">
            <v>SILVER</v>
          </cell>
          <cell r="L257" t="str">
            <v>rural</v>
          </cell>
          <cell r="M257" t="str">
            <v>70996684</v>
          </cell>
          <cell r="N257" t="str">
            <v>KABOU</v>
          </cell>
        </row>
        <row r="258">
          <cell r="A258" t="str">
            <v>BAGO</v>
          </cell>
          <cell r="B258">
            <v>39457</v>
          </cell>
          <cell r="C258" t="str">
            <v>CEN-057</v>
          </cell>
          <cell r="D258" t="str">
            <v>CENTRALE</v>
          </cell>
          <cell r="E258" t="str">
            <v>TCHAMBA</v>
          </cell>
          <cell r="F258" t="str">
            <v>FH</v>
          </cell>
          <cell r="G258" t="str">
            <v>DG-Solar-Batt.</v>
          </cell>
          <cell r="H258" t="str">
            <v>OK</v>
          </cell>
          <cell r="I258" t="str">
            <v>NO</v>
          </cell>
          <cell r="J258" t="str">
            <v>NO</v>
          </cell>
          <cell r="K258" t="str">
            <v>SILVER</v>
          </cell>
          <cell r="L258" t="str">
            <v>rural</v>
          </cell>
          <cell r="M258" t="str">
            <v>70996685</v>
          </cell>
          <cell r="N258" t="str">
            <v>TCHAMBA</v>
          </cell>
        </row>
        <row r="259">
          <cell r="A259" t="str">
            <v>BAGRE</v>
          </cell>
          <cell r="B259">
            <v>42122</v>
          </cell>
          <cell r="C259" t="str">
            <v>SAV-039</v>
          </cell>
          <cell r="D259" t="str">
            <v>SAVANES</v>
          </cell>
          <cell r="E259" t="str">
            <v>DAPAONG 1</v>
          </cell>
          <cell r="F259" t="str">
            <v>FH</v>
          </cell>
          <cell r="G259" t="str">
            <v>DG-Solar-Batt.</v>
          </cell>
          <cell r="H259" t="str">
            <v>NOK</v>
          </cell>
          <cell r="I259" t="str">
            <v>NO</v>
          </cell>
          <cell r="J259" t="str">
            <v>NO</v>
          </cell>
          <cell r="K259" t="str">
            <v>BRONZE</v>
          </cell>
          <cell r="L259" t="str">
            <v>rural</v>
          </cell>
          <cell r="M259" t="str">
            <v>70996686</v>
          </cell>
          <cell r="N259" t="str">
            <v>DAPAONG</v>
          </cell>
        </row>
        <row r="260">
          <cell r="A260" t="str">
            <v>BAGUIDA</v>
          </cell>
          <cell r="B260"/>
          <cell r="C260" t="str">
            <v>LOM-178</v>
          </cell>
          <cell r="D260" t="str">
            <v>LOME</v>
          </cell>
          <cell r="E260" t="str">
            <v>LOME-EST</v>
          </cell>
          <cell r="F260" t="str">
            <v>FO</v>
          </cell>
          <cell r="G260" t="str">
            <v>Grid-DG-Batt.</v>
          </cell>
          <cell r="H260" t="str">
            <v>OK</v>
          </cell>
          <cell r="I260" t="str">
            <v>YES</v>
          </cell>
          <cell r="J260" t="str">
            <v>NO</v>
          </cell>
          <cell r="K260" t="str">
            <v>SILVER</v>
          </cell>
          <cell r="L260" t="str">
            <v>Urbain</v>
          </cell>
          <cell r="M260">
            <v>0</v>
          </cell>
          <cell r="N260" t="str">
            <v>LOME EST</v>
          </cell>
        </row>
        <row r="261">
          <cell r="A261" t="str">
            <v>BAGUIDA2</v>
          </cell>
          <cell r="B261">
            <v>39570</v>
          </cell>
          <cell r="C261" t="str">
            <v>LOM-179</v>
          </cell>
          <cell r="D261" t="str">
            <v>LOME</v>
          </cell>
          <cell r="E261" t="str">
            <v>LOME-EST</v>
          </cell>
          <cell r="F261" t="str">
            <v>FO</v>
          </cell>
          <cell r="G261" t="str">
            <v>Grid-DG-Batt.</v>
          </cell>
          <cell r="H261" t="str">
            <v>OK</v>
          </cell>
          <cell r="I261" t="str">
            <v>NO</v>
          </cell>
          <cell r="J261" t="str">
            <v>NO</v>
          </cell>
          <cell r="K261" t="str">
            <v>GOLD</v>
          </cell>
          <cell r="L261" t="str">
            <v>Urbain</v>
          </cell>
          <cell r="M261" t="str">
            <v>70996687</v>
          </cell>
          <cell r="N261" t="str">
            <v>LOME EST</v>
          </cell>
        </row>
        <row r="262">
          <cell r="A262" t="str">
            <v>BAGUIDA3</v>
          </cell>
          <cell r="B262">
            <v>41445</v>
          </cell>
          <cell r="C262" t="str">
            <v>LOM-180</v>
          </cell>
          <cell r="D262" t="str">
            <v>LOME</v>
          </cell>
          <cell r="E262" t="str">
            <v>LOME-EST</v>
          </cell>
          <cell r="F262" t="str">
            <v>FO</v>
          </cell>
          <cell r="G262" t="str">
            <v>Grid-DG-Batt.</v>
          </cell>
          <cell r="H262" t="str">
            <v>OK</v>
          </cell>
          <cell r="I262" t="str">
            <v>NO</v>
          </cell>
          <cell r="J262" t="str">
            <v>NO</v>
          </cell>
          <cell r="K262" t="str">
            <v>SILVER</v>
          </cell>
          <cell r="L262" t="str">
            <v>Urbain</v>
          </cell>
          <cell r="M262" t="str">
            <v>70996688</v>
          </cell>
          <cell r="N262" t="str">
            <v>LOME EST</v>
          </cell>
        </row>
        <row r="263">
          <cell r="A263" t="str">
            <v>BAGUIDA4</v>
          </cell>
          <cell r="B263">
            <v>41974</v>
          </cell>
          <cell r="C263" t="str">
            <v>LOM-181</v>
          </cell>
          <cell r="D263" t="str">
            <v>LOME</v>
          </cell>
          <cell r="E263" t="str">
            <v>LOME-EST</v>
          </cell>
          <cell r="F263" t="str">
            <v>FO</v>
          </cell>
          <cell r="G263" t="str">
            <v>Grid-DG-Batt.</v>
          </cell>
          <cell r="H263" t="str">
            <v>OK</v>
          </cell>
          <cell r="I263" t="str">
            <v>NO</v>
          </cell>
          <cell r="J263" t="str">
            <v>NO</v>
          </cell>
          <cell r="K263" t="str">
            <v>GOLD</v>
          </cell>
          <cell r="L263" t="str">
            <v>Urbain</v>
          </cell>
          <cell r="M263" t="str">
            <v>70996689</v>
          </cell>
          <cell r="N263" t="str">
            <v>LOME EST</v>
          </cell>
        </row>
        <row r="264">
          <cell r="A264" t="str">
            <v>BAGUIDA6</v>
          </cell>
          <cell r="B264">
            <v>43440</v>
          </cell>
          <cell r="C264" t="str">
            <v>LOM-228</v>
          </cell>
          <cell r="D264" t="str">
            <v>LOME</v>
          </cell>
          <cell r="E264" t="str">
            <v>LOME-EST</v>
          </cell>
          <cell r="F264" t="str">
            <v>FTTM</v>
          </cell>
          <cell r="G264" t="str">
            <v>Grid-DG-Batt.</v>
          </cell>
          <cell r="H264" t="str">
            <v>OK</v>
          </cell>
          <cell r="I264" t="str">
            <v>NO</v>
          </cell>
          <cell r="J264" t="str">
            <v>NO</v>
          </cell>
          <cell r="K264" t="str">
            <v>SILVER</v>
          </cell>
          <cell r="L264" t="str">
            <v>Urbain</v>
          </cell>
          <cell r="M264">
            <v>0</v>
          </cell>
          <cell r="N264" t="str">
            <v>LOME EST</v>
          </cell>
        </row>
        <row r="265">
          <cell r="A265" t="str">
            <v>BAGUIDABENA-MOOV</v>
          </cell>
          <cell r="B265"/>
          <cell r="C265" t="str">
            <v>LOM-182</v>
          </cell>
          <cell r="D265" t="str">
            <v>LOME</v>
          </cell>
          <cell r="E265" t="str">
            <v>LOME-EST</v>
          </cell>
          <cell r="F265" t="str">
            <v>FH</v>
          </cell>
          <cell r="G265" t="str">
            <v>Grid-DG-Batt.</v>
          </cell>
          <cell r="H265" t="str">
            <v>OK</v>
          </cell>
          <cell r="I265" t="str">
            <v>YES</v>
          </cell>
          <cell r="J265" t="str">
            <v>NO</v>
          </cell>
          <cell r="K265" t="str">
            <v>SILVER</v>
          </cell>
          <cell r="L265" t="str">
            <v>Urbain</v>
          </cell>
          <cell r="M265">
            <v>0</v>
          </cell>
          <cell r="N265" t="str">
            <v>LOME EST</v>
          </cell>
        </row>
        <row r="266">
          <cell r="A266" t="str">
            <v>BAGUIDA-MONUMENT</v>
          </cell>
          <cell r="B266">
            <v>43395</v>
          </cell>
          <cell r="C266" t="str">
            <v>LOM-220</v>
          </cell>
          <cell r="D266" t="str">
            <v>LOME</v>
          </cell>
          <cell r="E266" t="str">
            <v>LOME-EST</v>
          </cell>
          <cell r="F266" t="str">
            <v>FH</v>
          </cell>
          <cell r="G266" t="str">
            <v>Grid-Batt.</v>
          </cell>
          <cell r="H266" t="str">
            <v>N/A</v>
          </cell>
          <cell r="I266" t="str">
            <v>YES</v>
          </cell>
          <cell r="J266" t="str">
            <v>NO</v>
          </cell>
          <cell r="K266" t="str">
            <v>SILVER</v>
          </cell>
          <cell r="L266" t="str">
            <v>Urbain</v>
          </cell>
          <cell r="M266">
            <v>0</v>
          </cell>
          <cell r="N266" t="str">
            <v>LOME EST</v>
          </cell>
        </row>
        <row r="267">
          <cell r="A267" t="str">
            <v>BAGUIDA-CITE</v>
          </cell>
          <cell r="B267">
            <v>45255</v>
          </cell>
          <cell r="C267" t="str">
            <v>LOM-332</v>
          </cell>
          <cell r="D267" t="str">
            <v>LOME</v>
          </cell>
          <cell r="E267" t="str">
            <v>LOME-EST</v>
          </cell>
          <cell r="F267" t="str">
            <v>FTTM</v>
          </cell>
          <cell r="G267" t="str">
            <v>Grid-DG-Batt.</v>
          </cell>
          <cell r="H267" t="str">
            <v>OK</v>
          </cell>
          <cell r="I267" t="str">
            <v>NO</v>
          </cell>
          <cell r="J267" t="str">
            <v>NO</v>
          </cell>
          <cell r="K267" t="str">
            <v>BRONZE</v>
          </cell>
          <cell r="L267" t="str">
            <v>URBAN</v>
          </cell>
          <cell r="M267" t="e">
            <v>#N/A</v>
          </cell>
          <cell r="N267" t="str">
            <v>LOME EST</v>
          </cell>
        </row>
        <row r="268">
          <cell r="A268" t="str">
            <v>BALANKA</v>
          </cell>
          <cell r="B268"/>
          <cell r="C268" t="str">
            <v>CEN-050</v>
          </cell>
          <cell r="D268" t="str">
            <v>CENTRALE</v>
          </cell>
          <cell r="E268" t="str">
            <v>TCHAMBA</v>
          </cell>
          <cell r="F268" t="str">
            <v>FH</v>
          </cell>
          <cell r="G268" t="str">
            <v>Grid-DG-Solar-Batt.</v>
          </cell>
          <cell r="H268" t="str">
            <v>NOK</v>
          </cell>
          <cell r="I268" t="str">
            <v>NO</v>
          </cell>
          <cell r="J268" t="str">
            <v>NO</v>
          </cell>
          <cell r="K268" t="str">
            <v>BRONZE</v>
          </cell>
          <cell r="L268" t="str">
            <v>rural</v>
          </cell>
          <cell r="M268" t="str">
            <v>70996690</v>
          </cell>
          <cell r="N268" t="str">
            <v>TCHAMBA</v>
          </cell>
        </row>
        <row r="269">
          <cell r="A269" t="str">
            <v>BANJELI</v>
          </cell>
          <cell r="B269">
            <v>39052</v>
          </cell>
          <cell r="C269" t="str">
            <v>KAR-063</v>
          </cell>
          <cell r="D269" t="str">
            <v>KARA</v>
          </cell>
          <cell r="E269" t="str">
            <v>KABOU</v>
          </cell>
          <cell r="F269" t="str">
            <v>FH</v>
          </cell>
          <cell r="G269" t="str">
            <v>Grid-DG-Solar-Batt.</v>
          </cell>
          <cell r="H269" t="str">
            <v>NOK</v>
          </cell>
          <cell r="I269" t="str">
            <v>NO</v>
          </cell>
          <cell r="J269" t="str">
            <v>YES</v>
          </cell>
          <cell r="K269" t="str">
            <v>BRONZE</v>
          </cell>
          <cell r="L269" t="str">
            <v>rural</v>
          </cell>
          <cell r="M269" t="str">
            <v>70996691</v>
          </cell>
          <cell r="N269" t="str">
            <v>KABOU</v>
          </cell>
        </row>
        <row r="270">
          <cell r="A270" t="str">
            <v>BAPURE</v>
          </cell>
          <cell r="B270">
            <v>39459</v>
          </cell>
          <cell r="C270" t="str">
            <v>KAR-064</v>
          </cell>
          <cell r="D270" t="str">
            <v>KARA</v>
          </cell>
          <cell r="E270" t="str">
            <v>KABOU</v>
          </cell>
          <cell r="F270" t="str">
            <v>FH</v>
          </cell>
          <cell r="G270" t="str">
            <v>DG-Solar-Batt.</v>
          </cell>
          <cell r="H270" t="str">
            <v>OK</v>
          </cell>
          <cell r="I270" t="str">
            <v>NO</v>
          </cell>
          <cell r="J270" t="str">
            <v>NO</v>
          </cell>
          <cell r="K270" t="str">
            <v>BRONZE</v>
          </cell>
          <cell r="L270" t="str">
            <v>rural</v>
          </cell>
          <cell r="M270" t="str">
            <v>70996692</v>
          </cell>
          <cell r="N270" t="str">
            <v>KABOU</v>
          </cell>
        </row>
        <row r="271">
          <cell r="A271" t="str">
            <v>BARIKI</v>
          </cell>
          <cell r="B271" t="str">
            <v>NA</v>
          </cell>
          <cell r="C271" t="str">
            <v>CEN-008</v>
          </cell>
          <cell r="D271" t="str">
            <v>CENTRALE</v>
          </cell>
          <cell r="E271" t="str">
            <v>SOKODE</v>
          </cell>
          <cell r="F271" t="str">
            <v>FO</v>
          </cell>
          <cell r="G271" t="str">
            <v>Grid-DG-Batt.</v>
          </cell>
          <cell r="H271" t="str">
            <v>OK</v>
          </cell>
          <cell r="I271" t="str">
            <v>NO</v>
          </cell>
          <cell r="J271" t="str">
            <v>NO</v>
          </cell>
          <cell r="K271" t="str">
            <v>GOLD</v>
          </cell>
          <cell r="L271" t="str">
            <v>Urbain</v>
          </cell>
          <cell r="M271">
            <v>0</v>
          </cell>
          <cell r="N271" t="str">
            <v>SOKODE</v>
          </cell>
        </row>
        <row r="272">
          <cell r="A272" t="str">
            <v>BARKOSSI</v>
          </cell>
          <cell r="B272"/>
          <cell r="C272" t="str">
            <v>SAV-033</v>
          </cell>
          <cell r="D272" t="str">
            <v>SAVANES</v>
          </cell>
          <cell r="E272" t="str">
            <v>MANGO</v>
          </cell>
          <cell r="F272" t="str">
            <v>FH</v>
          </cell>
          <cell r="G272" t="str">
            <v>Grid-DG-Batt.</v>
          </cell>
          <cell r="H272" t="str">
            <v>OK</v>
          </cell>
          <cell r="I272" t="str">
            <v>NO</v>
          </cell>
          <cell r="J272" t="str">
            <v>NO</v>
          </cell>
          <cell r="K272" t="str">
            <v>GOLD</v>
          </cell>
          <cell r="L272" t="str">
            <v>SubUrbain</v>
          </cell>
          <cell r="M272" t="str">
            <v>70996693</v>
          </cell>
          <cell r="N272" t="str">
            <v>MANGO</v>
          </cell>
        </row>
        <row r="273">
          <cell r="A273" t="str">
            <v>BARRIERE</v>
          </cell>
          <cell r="B273">
            <v>42205</v>
          </cell>
          <cell r="C273" t="str">
            <v>CEN-002</v>
          </cell>
          <cell r="D273" t="str">
            <v>CENTRALE</v>
          </cell>
          <cell r="E273" t="str">
            <v>SOKODE</v>
          </cell>
          <cell r="F273" t="str">
            <v>FO</v>
          </cell>
          <cell r="G273" t="str">
            <v>Grid-DG-Batt.</v>
          </cell>
          <cell r="H273" t="str">
            <v>OK</v>
          </cell>
          <cell r="I273" t="str">
            <v>NO</v>
          </cell>
          <cell r="J273" t="str">
            <v>YES</v>
          </cell>
          <cell r="K273" t="str">
            <v>SILVER</v>
          </cell>
          <cell r="L273" t="str">
            <v>Urbain</v>
          </cell>
          <cell r="M273" t="str">
            <v>70996694</v>
          </cell>
          <cell r="N273" t="str">
            <v>SOKODE</v>
          </cell>
        </row>
        <row r="274">
          <cell r="A274" t="str">
            <v>BASSADJI2</v>
          </cell>
          <cell r="B274">
            <v>44723</v>
          </cell>
          <cell r="C274" t="str">
            <v>LOM-333</v>
          </cell>
          <cell r="D274" t="str">
            <v>LOME</v>
          </cell>
          <cell r="E274" t="str">
            <v>LOME-SUD</v>
          </cell>
          <cell r="F274" t="str">
            <v>FTTM</v>
          </cell>
          <cell r="G274" t="str">
            <v>Grid-DG-Batt.</v>
          </cell>
          <cell r="H274" t="str">
            <v>OK</v>
          </cell>
          <cell r="I274" t="str">
            <v>NO</v>
          </cell>
          <cell r="J274" t="str">
            <v>NO</v>
          </cell>
          <cell r="K274" t="str">
            <v>SILVER</v>
          </cell>
          <cell r="L274" t="str">
            <v>Urbain</v>
          </cell>
          <cell r="M274">
            <v>0</v>
          </cell>
          <cell r="N274" t="str">
            <v>LOME SUD</v>
          </cell>
        </row>
        <row r="275">
          <cell r="A275" t="str">
            <v>BASSADJI-MOOV</v>
          </cell>
          <cell r="B275"/>
          <cell r="C275" t="str">
            <v>LOM-163</v>
          </cell>
          <cell r="D275" t="str">
            <v>LOME</v>
          </cell>
          <cell r="E275" t="str">
            <v>LOME-SUD</v>
          </cell>
          <cell r="F275" t="str">
            <v>FH</v>
          </cell>
          <cell r="G275" t="str">
            <v>Grid-DG-Batt.</v>
          </cell>
          <cell r="H275" t="str">
            <v>OK</v>
          </cell>
          <cell r="I275" t="str">
            <v>NO</v>
          </cell>
          <cell r="J275" t="str">
            <v>NO</v>
          </cell>
          <cell r="K275" t="str">
            <v>GOLD</v>
          </cell>
          <cell r="L275" t="str">
            <v>Urbain</v>
          </cell>
          <cell r="M275" t="str">
            <v>70996695</v>
          </cell>
          <cell r="N275" t="str">
            <v>LOME SUD</v>
          </cell>
        </row>
        <row r="276">
          <cell r="A276" t="str">
            <v>BASSAN-KOPE</v>
          </cell>
          <cell r="B276">
            <v>43881</v>
          </cell>
          <cell r="C276" t="str">
            <v>PLA-149</v>
          </cell>
          <cell r="D276" t="str">
            <v>CENTRALE</v>
          </cell>
          <cell r="E276" t="str">
            <v>BLITTA</v>
          </cell>
          <cell r="F276" t="str">
            <v>FH</v>
          </cell>
          <cell r="G276" t="str">
            <v>DG-Batt.</v>
          </cell>
          <cell r="H276" t="str">
            <v>NOK</v>
          </cell>
          <cell r="I276" t="str">
            <v>NO</v>
          </cell>
          <cell r="J276" t="str">
            <v>NO</v>
          </cell>
          <cell r="K276" t="str">
            <v>BRONZE</v>
          </cell>
          <cell r="L276" t="str">
            <v>rural</v>
          </cell>
          <cell r="M276" t="str">
            <v>70996697</v>
          </cell>
          <cell r="N276" t="str">
            <v>ELAVAGNON</v>
          </cell>
        </row>
        <row r="277">
          <cell r="A277" t="str">
            <v>BASSAR</v>
          </cell>
          <cell r="B277">
            <v>44180</v>
          </cell>
          <cell r="C277" t="str">
            <v>KAR-071</v>
          </cell>
          <cell r="D277" t="str">
            <v>KARA</v>
          </cell>
          <cell r="E277" t="str">
            <v>KABOU</v>
          </cell>
          <cell r="F277" t="str">
            <v>FO</v>
          </cell>
          <cell r="G277" t="str">
            <v>Grid-DG-Batt.</v>
          </cell>
          <cell r="H277" t="str">
            <v>OK</v>
          </cell>
          <cell r="I277" t="str">
            <v>NO</v>
          </cell>
          <cell r="J277" t="str">
            <v>NO</v>
          </cell>
          <cell r="K277" t="str">
            <v>GOLD</v>
          </cell>
          <cell r="L277" t="str">
            <v>Urbain</v>
          </cell>
          <cell r="M277" t="str">
            <v>70996698</v>
          </cell>
          <cell r="N277" t="str">
            <v>KABOU</v>
          </cell>
        </row>
        <row r="278">
          <cell r="A278" t="str">
            <v>BASSAR-BYAKPABE</v>
          </cell>
          <cell r="B278">
            <v>41598</v>
          </cell>
          <cell r="C278" t="str">
            <v>KAR-072</v>
          </cell>
          <cell r="D278" t="str">
            <v>KARA</v>
          </cell>
          <cell r="E278" t="str">
            <v>KABOU</v>
          </cell>
          <cell r="F278" t="str">
            <v>FO</v>
          </cell>
          <cell r="G278" t="str">
            <v>Grid-DG-Batt.</v>
          </cell>
          <cell r="H278" t="str">
            <v>OK</v>
          </cell>
          <cell r="I278" t="str">
            <v>NO</v>
          </cell>
          <cell r="J278" t="str">
            <v>NO</v>
          </cell>
          <cell r="K278" t="str">
            <v>BRONZE</v>
          </cell>
          <cell r="L278" t="str">
            <v>Urbain</v>
          </cell>
          <cell r="M278" t="str">
            <v>70996699</v>
          </cell>
          <cell r="N278" t="str">
            <v>KABOU</v>
          </cell>
        </row>
        <row r="279">
          <cell r="A279" t="str">
            <v>BASSAR-DIGBANDI</v>
          </cell>
          <cell r="B279">
            <v>38975</v>
          </cell>
          <cell r="C279" t="str">
            <v>KAR-073</v>
          </cell>
          <cell r="D279" t="str">
            <v>KARA</v>
          </cell>
          <cell r="E279" t="str">
            <v>KABOU</v>
          </cell>
          <cell r="F279" t="str">
            <v>FO</v>
          </cell>
          <cell r="G279" t="str">
            <v>Grid-DG-Batt.</v>
          </cell>
          <cell r="H279" t="str">
            <v>OK</v>
          </cell>
          <cell r="I279" t="str">
            <v>NO</v>
          </cell>
          <cell r="J279" t="str">
            <v>NO</v>
          </cell>
          <cell r="K279" t="str">
            <v>SILVER</v>
          </cell>
          <cell r="L279" t="str">
            <v>Urbain</v>
          </cell>
          <cell r="M279" t="str">
            <v>70996700</v>
          </cell>
          <cell r="N279" t="str">
            <v>KABOU</v>
          </cell>
        </row>
        <row r="280">
          <cell r="A280" t="str">
            <v>BASSAR-POSTE</v>
          </cell>
          <cell r="B280">
            <v>44180</v>
          </cell>
          <cell r="C280" t="str">
            <v>KAR-127</v>
          </cell>
          <cell r="D280" t="str">
            <v>KARA</v>
          </cell>
          <cell r="E280" t="str">
            <v>KABOU</v>
          </cell>
          <cell r="F280" t="str">
            <v>FH</v>
          </cell>
          <cell r="G280" t="str">
            <v>Grid-DG-Batt.</v>
          </cell>
          <cell r="H280" t="str">
            <v>OK</v>
          </cell>
          <cell r="I280" t="str">
            <v>NO</v>
          </cell>
          <cell r="J280" t="str">
            <v>NO</v>
          </cell>
          <cell r="K280" t="str">
            <v>GOLD</v>
          </cell>
          <cell r="L280" t="str">
            <v>Urbain</v>
          </cell>
          <cell r="M280">
            <v>70997304</v>
          </cell>
          <cell r="N280" t="str">
            <v>KABOU</v>
          </cell>
        </row>
        <row r="281">
          <cell r="A281" t="str">
            <v>BASSAR-SABONDJIDA</v>
          </cell>
          <cell r="B281">
            <v>45077</v>
          </cell>
          <cell r="C281" t="str">
            <v>KAR-148</v>
          </cell>
          <cell r="D281" t="str">
            <v>KARA</v>
          </cell>
          <cell r="E281" t="str">
            <v>KABOU</v>
          </cell>
          <cell r="F281" t="str">
            <v>FH</v>
          </cell>
          <cell r="G281" t="str">
            <v>Grid-DG-Batt.</v>
          </cell>
          <cell r="H281" t="str">
            <v>OK</v>
          </cell>
          <cell r="I281" t="str">
            <v>NO</v>
          </cell>
          <cell r="J281" t="str">
            <v>NO</v>
          </cell>
          <cell r="K281" t="str">
            <v>BRONZE</v>
          </cell>
          <cell r="L281" t="str">
            <v>Urbain</v>
          </cell>
          <cell r="M281">
            <v>0</v>
          </cell>
          <cell r="N281" t="str">
            <v>KABOU</v>
          </cell>
        </row>
        <row r="282">
          <cell r="A282" t="str">
            <v>BATOUME</v>
          </cell>
          <cell r="B282">
            <v>41609</v>
          </cell>
          <cell r="C282" t="str">
            <v>MAR-054</v>
          </cell>
          <cell r="D282" t="str">
            <v>MARITIME</v>
          </cell>
          <cell r="E282" t="str">
            <v>TSEVIE</v>
          </cell>
          <cell r="F282" t="str">
            <v>FH</v>
          </cell>
          <cell r="G282" t="str">
            <v>Grid-DG-Solar-Batt.</v>
          </cell>
          <cell r="H282" t="str">
            <v>OK</v>
          </cell>
          <cell r="I282" t="str">
            <v>NO</v>
          </cell>
          <cell r="J282" t="str">
            <v>NO</v>
          </cell>
          <cell r="K282" t="str">
            <v>BRONZE</v>
          </cell>
          <cell r="L282" t="str">
            <v>rural</v>
          </cell>
          <cell r="M282" t="str">
            <v>70996701</v>
          </cell>
          <cell r="N282" t="str">
            <v>TSEVIE</v>
          </cell>
        </row>
        <row r="283">
          <cell r="A283" t="str">
            <v>BE-APEYEME</v>
          </cell>
          <cell r="B283">
            <v>44609</v>
          </cell>
          <cell r="C283" t="str">
            <v>LOM-299</v>
          </cell>
          <cell r="D283" t="str">
            <v>LOME</v>
          </cell>
          <cell r="E283" t="str">
            <v>LOME-SUD</v>
          </cell>
          <cell r="F283" t="str">
            <v>FH</v>
          </cell>
          <cell r="G283" t="str">
            <v>Grid-DG-Batt.</v>
          </cell>
          <cell r="H283" t="str">
            <v>OK</v>
          </cell>
          <cell r="I283" t="str">
            <v>NO</v>
          </cell>
          <cell r="J283" t="str">
            <v>YES</v>
          </cell>
          <cell r="K283" t="str">
            <v>SILVER</v>
          </cell>
          <cell r="L283" t="str">
            <v>Urbain</v>
          </cell>
          <cell r="M283">
            <v>0</v>
          </cell>
          <cell r="N283" t="str">
            <v>LOME SUD</v>
          </cell>
        </row>
        <row r="284">
          <cell r="A284" t="str">
            <v>BEBEDA</v>
          </cell>
          <cell r="B284">
            <v>40148</v>
          </cell>
          <cell r="C284" t="str">
            <v>KAR-076</v>
          </cell>
          <cell r="D284" t="str">
            <v>KARA</v>
          </cell>
          <cell r="E284" t="str">
            <v>KARA-OUEST</v>
          </cell>
          <cell r="F284" t="str">
            <v>FH</v>
          </cell>
          <cell r="G284" t="str">
            <v>DG-Solar-Batt.</v>
          </cell>
          <cell r="H284" t="str">
            <v>NOK</v>
          </cell>
          <cell r="I284" t="str">
            <v>NO</v>
          </cell>
          <cell r="J284" t="str">
            <v>NO</v>
          </cell>
          <cell r="K284" t="str">
            <v>BRONZE</v>
          </cell>
          <cell r="L284" t="str">
            <v>rural</v>
          </cell>
          <cell r="M284" t="str">
            <v>70996702</v>
          </cell>
          <cell r="N284" t="str">
            <v>KARA OUEST</v>
          </cell>
        </row>
        <row r="285">
          <cell r="A285" t="str">
            <v>BEBIS</v>
          </cell>
          <cell r="B285">
            <v>37803</v>
          </cell>
          <cell r="C285" t="str">
            <v>LOM-164</v>
          </cell>
          <cell r="D285" t="str">
            <v>LOME</v>
          </cell>
          <cell r="E285" t="str">
            <v>LOME-SUD</v>
          </cell>
          <cell r="F285" t="str">
            <v>FO</v>
          </cell>
          <cell r="G285" t="str">
            <v>Grid-DG-Batt.</v>
          </cell>
          <cell r="H285" t="str">
            <v>OK</v>
          </cell>
          <cell r="I285" t="str">
            <v>NO</v>
          </cell>
          <cell r="J285" t="str">
            <v>NO</v>
          </cell>
          <cell r="K285" t="str">
            <v>SILVER</v>
          </cell>
          <cell r="L285" t="str">
            <v>Urbain</v>
          </cell>
          <cell r="M285">
            <v>0</v>
          </cell>
          <cell r="N285" t="str">
            <v>LOME SUD</v>
          </cell>
        </row>
        <row r="286">
          <cell r="A286" t="str">
            <v>BECHATEAU</v>
          </cell>
          <cell r="B286"/>
          <cell r="C286" t="str">
            <v>LOM-165</v>
          </cell>
          <cell r="D286" t="str">
            <v>LOME</v>
          </cell>
          <cell r="E286" t="str">
            <v>LOME-SUD</v>
          </cell>
          <cell r="F286" t="str">
            <v>FO</v>
          </cell>
          <cell r="G286" t="str">
            <v>Grid-DG-Batt.</v>
          </cell>
          <cell r="H286" t="str">
            <v>OK</v>
          </cell>
          <cell r="I286" t="str">
            <v>NO</v>
          </cell>
          <cell r="J286" t="str">
            <v>NO</v>
          </cell>
          <cell r="K286" t="str">
            <v>SILVER</v>
          </cell>
          <cell r="L286" t="str">
            <v>Urbain</v>
          </cell>
          <cell r="M286">
            <v>93741028</v>
          </cell>
          <cell r="N286" t="str">
            <v>LOME SUD</v>
          </cell>
        </row>
        <row r="287">
          <cell r="A287" t="str">
            <v>BECHATEAU2</v>
          </cell>
          <cell r="B287">
            <v>43430</v>
          </cell>
          <cell r="C287" t="str">
            <v>LOM-225</v>
          </cell>
          <cell r="D287" t="str">
            <v>LOME</v>
          </cell>
          <cell r="E287" t="str">
            <v>LOME-SUD</v>
          </cell>
          <cell r="F287" t="str">
            <v>FH</v>
          </cell>
          <cell r="G287" t="str">
            <v>Grid-DG-Batt.</v>
          </cell>
          <cell r="H287" t="str">
            <v>N/A</v>
          </cell>
          <cell r="I287" t="str">
            <v>YES</v>
          </cell>
          <cell r="J287" t="str">
            <v>NO</v>
          </cell>
          <cell r="K287" t="str">
            <v>SILVER</v>
          </cell>
          <cell r="L287" t="str">
            <v>Urbain</v>
          </cell>
          <cell r="M287" t="str">
            <v>90438959/99009990</v>
          </cell>
          <cell r="N287" t="str">
            <v>LOME SUD</v>
          </cell>
        </row>
        <row r="288">
          <cell r="A288" t="str">
            <v>BE-HEDJE</v>
          </cell>
          <cell r="B288">
            <v>44595</v>
          </cell>
          <cell r="C288" t="str">
            <v>LOM-300</v>
          </cell>
          <cell r="D288" t="str">
            <v>LOME</v>
          </cell>
          <cell r="E288" t="str">
            <v>LOME-EST</v>
          </cell>
          <cell r="F288" t="str">
            <v>FTTM</v>
          </cell>
          <cell r="G288" t="str">
            <v>Grid-DG-Batt.</v>
          </cell>
          <cell r="H288" t="str">
            <v>OK</v>
          </cell>
          <cell r="I288" t="str">
            <v>NO</v>
          </cell>
          <cell r="J288" t="str">
            <v>YES</v>
          </cell>
          <cell r="K288" t="str">
            <v>BRONZE</v>
          </cell>
          <cell r="L288" t="str">
            <v>Urbain</v>
          </cell>
          <cell r="M288">
            <v>0</v>
          </cell>
          <cell r="N288" t="str">
            <v>LOME EST</v>
          </cell>
        </row>
        <row r="289">
          <cell r="A289" t="str">
            <v>BEKPOTA</v>
          </cell>
          <cell r="B289">
            <v>38322</v>
          </cell>
          <cell r="C289" t="str">
            <v>LOM-172</v>
          </cell>
          <cell r="D289" t="str">
            <v>LOME</v>
          </cell>
          <cell r="E289" t="str">
            <v>LOME-EST</v>
          </cell>
          <cell r="F289" t="str">
            <v>FO</v>
          </cell>
          <cell r="G289" t="str">
            <v>Grid-DG-Batt.</v>
          </cell>
          <cell r="H289" t="str">
            <v>NOK</v>
          </cell>
          <cell r="I289" t="str">
            <v>NO</v>
          </cell>
          <cell r="J289" t="str">
            <v>NO</v>
          </cell>
          <cell r="K289" t="str">
            <v>SILVER</v>
          </cell>
          <cell r="L289" t="str">
            <v>Urbain</v>
          </cell>
          <cell r="M289" t="str">
            <v>70996703</v>
          </cell>
          <cell r="N289" t="str">
            <v>LOME EST</v>
          </cell>
        </row>
        <row r="290">
          <cell r="A290" t="str">
            <v>BEKPOTA2</v>
          </cell>
          <cell r="B290">
            <v>41991</v>
          </cell>
          <cell r="C290" t="str">
            <v>LOM-206</v>
          </cell>
          <cell r="D290" t="str">
            <v>LOME</v>
          </cell>
          <cell r="E290" t="str">
            <v>LOME-EST</v>
          </cell>
          <cell r="F290" t="str">
            <v>FH</v>
          </cell>
          <cell r="G290" t="str">
            <v>Grid-DG-Batt.</v>
          </cell>
          <cell r="H290" t="str">
            <v>OK</v>
          </cell>
          <cell r="I290" t="str">
            <v>NO</v>
          </cell>
          <cell r="J290" t="str">
            <v>NO</v>
          </cell>
          <cell r="K290" t="str">
            <v>SILVER</v>
          </cell>
          <cell r="L290" t="str">
            <v>Urbain</v>
          </cell>
          <cell r="M290" t="str">
            <v>70996704</v>
          </cell>
          <cell r="N290" t="str">
            <v>LOME EST</v>
          </cell>
        </row>
        <row r="291">
          <cell r="A291" t="str">
            <v>BENA-PLATEAU</v>
          </cell>
          <cell r="B291">
            <v>45117</v>
          </cell>
          <cell r="C291" t="str">
            <v>PLA-219</v>
          </cell>
          <cell r="D291" t="str">
            <v>PLATEAUX</v>
          </cell>
          <cell r="E291" t="str">
            <v>BADOU</v>
          </cell>
          <cell r="F291" t="str">
            <v>FH</v>
          </cell>
          <cell r="G291" t="str">
            <v>DG-Solar-Batt.</v>
          </cell>
          <cell r="H291" t="str">
            <v>OK</v>
          </cell>
          <cell r="I291" t="str">
            <v>NO</v>
          </cell>
          <cell r="J291" t="str">
            <v>NO</v>
          </cell>
          <cell r="K291" t="str">
            <v>BRONZE</v>
          </cell>
          <cell r="L291" t="str">
            <v>rural</v>
          </cell>
          <cell r="M291">
            <v>0</v>
          </cell>
          <cell r="N291" t="str">
            <v>BADOU</v>
          </cell>
        </row>
        <row r="292">
          <cell r="A292" t="str">
            <v>BENIGLATO</v>
          </cell>
          <cell r="B292">
            <v>37773</v>
          </cell>
          <cell r="C292" t="str">
            <v>LOM-149</v>
          </cell>
          <cell r="D292" t="str">
            <v>LOME</v>
          </cell>
          <cell r="E292" t="str">
            <v>LOME-SUD</v>
          </cell>
          <cell r="F292" t="str">
            <v>FO</v>
          </cell>
          <cell r="G292" t="str">
            <v>Grid-DG-Batt.</v>
          </cell>
          <cell r="H292" t="str">
            <v>OK</v>
          </cell>
          <cell r="I292" t="str">
            <v>NO</v>
          </cell>
          <cell r="J292" t="str">
            <v>NO</v>
          </cell>
          <cell r="K292" t="str">
            <v>GOLD</v>
          </cell>
          <cell r="L292" t="str">
            <v>Urbain</v>
          </cell>
          <cell r="M292">
            <v>0</v>
          </cell>
          <cell r="N292" t="str">
            <v>LOME SUD</v>
          </cell>
        </row>
        <row r="293">
          <cell r="A293" t="str">
            <v>BIA</v>
          </cell>
          <cell r="B293"/>
          <cell r="C293" t="str">
            <v>LOM-150</v>
          </cell>
          <cell r="D293" t="str">
            <v>LOME</v>
          </cell>
          <cell r="E293" t="str">
            <v>LOME-SUD</v>
          </cell>
          <cell r="F293" t="str">
            <v>FO</v>
          </cell>
          <cell r="G293" t="str">
            <v>Grid-Batt.</v>
          </cell>
          <cell r="H293" t="str">
            <v>N/A</v>
          </cell>
          <cell r="I293" t="str">
            <v>NO</v>
          </cell>
          <cell r="J293" t="str">
            <v>NO</v>
          </cell>
          <cell r="K293" t="str">
            <v>GOLD</v>
          </cell>
          <cell r="L293" t="str">
            <v>Urbain</v>
          </cell>
          <cell r="M293">
            <v>0</v>
          </cell>
          <cell r="N293" t="str">
            <v>LOME SUD</v>
          </cell>
        </row>
        <row r="294">
          <cell r="A294" t="str">
            <v>BIANKOURI</v>
          </cell>
          <cell r="B294">
            <v>44882</v>
          </cell>
          <cell r="C294" t="str">
            <v>SAV-098</v>
          </cell>
          <cell r="D294" t="str">
            <v>SAVANES</v>
          </cell>
          <cell r="E294" t="str">
            <v>DAPAONG 1</v>
          </cell>
          <cell r="F294" t="str">
            <v>FH</v>
          </cell>
          <cell r="G294" t="str">
            <v>DG-Solar-Batt.</v>
          </cell>
          <cell r="H294" t="str">
            <v>OK</v>
          </cell>
          <cell r="I294" t="str">
            <v>NO</v>
          </cell>
          <cell r="J294" t="str">
            <v>NO</v>
          </cell>
          <cell r="K294" t="str">
            <v>BRONZE</v>
          </cell>
          <cell r="L294" t="str">
            <v>rural</v>
          </cell>
          <cell r="M294">
            <v>70997253</v>
          </cell>
          <cell r="N294" t="str">
            <v>DAPAONG</v>
          </cell>
        </row>
        <row r="295">
          <cell r="A295" t="str">
            <v>BIANKOURI-MOOV</v>
          </cell>
          <cell r="B295">
            <v>43629</v>
          </cell>
          <cell r="C295" t="str">
            <v>SAV-061</v>
          </cell>
          <cell r="D295" t="str">
            <v>SAVANES</v>
          </cell>
          <cell r="E295" t="str">
            <v>DAPAONG 1</v>
          </cell>
          <cell r="F295" t="str">
            <v>FH</v>
          </cell>
          <cell r="G295" t="str">
            <v>Grid-DG-Batt.</v>
          </cell>
          <cell r="H295" t="str">
            <v>OK</v>
          </cell>
          <cell r="I295" t="str">
            <v>NO</v>
          </cell>
          <cell r="J295" t="str">
            <v>NO</v>
          </cell>
          <cell r="K295" t="str">
            <v>BRONZE</v>
          </cell>
          <cell r="L295" t="str">
            <v>rural</v>
          </cell>
          <cell r="M295">
            <v>70996705</v>
          </cell>
          <cell r="N295" t="str">
            <v>DAPAONG</v>
          </cell>
        </row>
        <row r="296">
          <cell r="A296" t="str">
            <v>BIDJANDE</v>
          </cell>
          <cell r="B296">
            <v>43893</v>
          </cell>
          <cell r="C296" t="str">
            <v>KAR-115</v>
          </cell>
          <cell r="D296" t="str">
            <v>KARA</v>
          </cell>
          <cell r="E296" t="str">
            <v>KARA-OUEST</v>
          </cell>
          <cell r="F296" t="str">
            <v>FH</v>
          </cell>
          <cell r="G296" t="str">
            <v>DG-Solar-Batt.</v>
          </cell>
          <cell r="H296" t="str">
            <v>OK</v>
          </cell>
          <cell r="I296" t="str">
            <v>NO</v>
          </cell>
          <cell r="J296" t="str">
            <v>NO</v>
          </cell>
          <cell r="K296" t="str">
            <v>BRONZE</v>
          </cell>
          <cell r="L296" t="str">
            <v>rural</v>
          </cell>
          <cell r="M296" t="str">
            <v>70996706</v>
          </cell>
          <cell r="N296" t="str">
            <v>KARA OUEST</v>
          </cell>
        </row>
        <row r="297">
          <cell r="A297" t="str">
            <v>BIDJENGA</v>
          </cell>
          <cell r="B297">
            <v>45191</v>
          </cell>
          <cell r="C297" t="str">
            <v>SAV-115</v>
          </cell>
          <cell r="D297" t="str">
            <v>SAVANES</v>
          </cell>
          <cell r="E297" t="str">
            <v>DAPAONG 1</v>
          </cell>
          <cell r="F297" t="str">
            <v>FH</v>
          </cell>
          <cell r="G297" t="str">
            <v>Grid-DG-Batt.</v>
          </cell>
          <cell r="H297" t="str">
            <v>OK</v>
          </cell>
          <cell r="I297" t="str">
            <v>NO</v>
          </cell>
          <cell r="J297" t="str">
            <v>NO</v>
          </cell>
          <cell r="K297" t="str">
            <v>BRONZE</v>
          </cell>
          <cell r="L297" t="str">
            <v>Rural</v>
          </cell>
          <cell r="M297">
            <v>0</v>
          </cell>
          <cell r="N297" t="str">
            <v>DAPAONG</v>
          </cell>
        </row>
        <row r="298">
          <cell r="A298" t="str">
            <v>BIEWO-KOPE</v>
          </cell>
          <cell r="B298">
            <v>44855</v>
          </cell>
          <cell r="C298" t="str">
            <v>PLA-220</v>
          </cell>
          <cell r="D298" t="str">
            <v>PLATEAUX</v>
          </cell>
          <cell r="E298" t="str">
            <v>ATAKPAME-OUEST</v>
          </cell>
          <cell r="F298" t="str">
            <v>FH</v>
          </cell>
          <cell r="G298" t="str">
            <v>DG-Solar-Batt.</v>
          </cell>
          <cell r="H298" t="str">
            <v>OK</v>
          </cell>
          <cell r="I298" t="str">
            <v>NO</v>
          </cell>
          <cell r="J298" t="str">
            <v>YES</v>
          </cell>
          <cell r="K298" t="str">
            <v>BRONZE</v>
          </cell>
          <cell r="L298" t="str">
            <v>rural</v>
          </cell>
          <cell r="M298">
            <v>70997254</v>
          </cell>
          <cell r="N298" t="str">
            <v>ELAVAGNON</v>
          </cell>
        </row>
        <row r="299">
          <cell r="A299" t="str">
            <v>BIKPANDJIB-MOOV</v>
          </cell>
          <cell r="B299">
            <v>45164</v>
          </cell>
          <cell r="C299" t="str">
            <v>KAR-155</v>
          </cell>
          <cell r="D299" t="str">
            <v>KARA</v>
          </cell>
          <cell r="E299" t="str">
            <v>KABOU</v>
          </cell>
          <cell r="F299" t="str">
            <v>FH</v>
          </cell>
          <cell r="G299" t="str">
            <v>DG-Solar-Batt.</v>
          </cell>
          <cell r="H299" t="str">
            <v>OK</v>
          </cell>
          <cell r="I299" t="str">
            <v>NO</v>
          </cell>
          <cell r="J299" t="str">
            <v>NO</v>
          </cell>
          <cell r="K299" t="str">
            <v>BRONZE</v>
          </cell>
          <cell r="L299" t="str">
            <v>rural</v>
          </cell>
          <cell r="M299">
            <v>0</v>
          </cell>
          <cell r="N299" t="str">
            <v>KABOU</v>
          </cell>
        </row>
        <row r="300">
          <cell r="A300" t="str">
            <v>BITCHABE</v>
          </cell>
          <cell r="B300">
            <v>39459</v>
          </cell>
          <cell r="C300" t="str">
            <v>KAR-089</v>
          </cell>
          <cell r="D300" t="str">
            <v>KARA</v>
          </cell>
          <cell r="E300" t="str">
            <v>KABOU</v>
          </cell>
          <cell r="F300" t="str">
            <v>FH</v>
          </cell>
          <cell r="G300" t="str">
            <v>Grid-DG-Solar-Batt.</v>
          </cell>
          <cell r="H300" t="str">
            <v>OK</v>
          </cell>
          <cell r="I300" t="str">
            <v>NO</v>
          </cell>
          <cell r="J300" t="str">
            <v>NO</v>
          </cell>
          <cell r="K300" t="str">
            <v>BRONZE</v>
          </cell>
          <cell r="L300" t="str">
            <v>rural</v>
          </cell>
          <cell r="M300" t="str">
            <v>70996707</v>
          </cell>
          <cell r="N300" t="str">
            <v>KABOU</v>
          </cell>
        </row>
        <row r="301">
          <cell r="A301" t="str">
            <v>BLITTA</v>
          </cell>
          <cell r="B301">
            <v>37623</v>
          </cell>
          <cell r="C301" t="str">
            <v>CEN-065</v>
          </cell>
          <cell r="D301" t="str">
            <v>CENTRALE</v>
          </cell>
          <cell r="E301" t="str">
            <v>BLITTA</v>
          </cell>
          <cell r="F301" t="str">
            <v>FO</v>
          </cell>
          <cell r="G301" t="str">
            <v>Grid-DG-Batt.</v>
          </cell>
          <cell r="H301" t="str">
            <v>OK</v>
          </cell>
          <cell r="I301" t="str">
            <v>NO</v>
          </cell>
          <cell r="J301" t="str">
            <v>NO</v>
          </cell>
          <cell r="K301" t="str">
            <v>GOLD</v>
          </cell>
          <cell r="L301" t="str">
            <v>Urbain</v>
          </cell>
          <cell r="M301" t="str">
            <v>70996708</v>
          </cell>
          <cell r="N301" t="str">
            <v>BLITTA</v>
          </cell>
        </row>
        <row r="302">
          <cell r="A302" t="str">
            <v>BLITTAGARE</v>
          </cell>
          <cell r="B302">
            <v>39456</v>
          </cell>
          <cell r="C302" t="str">
            <v>CEN-066</v>
          </cell>
          <cell r="D302" t="str">
            <v>CENTRALE</v>
          </cell>
          <cell r="E302" t="str">
            <v>BLITTA</v>
          </cell>
          <cell r="F302" t="str">
            <v>FO</v>
          </cell>
          <cell r="G302" t="str">
            <v>Grid-DG-Batt.</v>
          </cell>
          <cell r="H302" t="str">
            <v>OK</v>
          </cell>
          <cell r="I302" t="str">
            <v>NO</v>
          </cell>
          <cell r="J302" t="str">
            <v>YES</v>
          </cell>
          <cell r="K302" t="str">
            <v>BRONZE</v>
          </cell>
          <cell r="L302" t="str">
            <v>Urbain</v>
          </cell>
          <cell r="M302" t="str">
            <v>70996709</v>
          </cell>
          <cell r="N302" t="str">
            <v>BLITTA</v>
          </cell>
        </row>
        <row r="303">
          <cell r="A303" t="str">
            <v>BLITTA-LYCEE</v>
          </cell>
          <cell r="B303">
            <v>44849</v>
          </cell>
          <cell r="C303" t="str">
            <v>CEN-113</v>
          </cell>
          <cell r="D303" t="str">
            <v>CENTRALE</v>
          </cell>
          <cell r="E303" t="str">
            <v>BLITTA</v>
          </cell>
          <cell r="F303" t="str">
            <v>FH</v>
          </cell>
          <cell r="G303" t="str">
            <v>Grid-DG-Batt.</v>
          </cell>
          <cell r="H303" t="str">
            <v>OK</v>
          </cell>
          <cell r="I303" t="str">
            <v>NO</v>
          </cell>
          <cell r="J303" t="str">
            <v>YES</v>
          </cell>
          <cell r="K303" t="str">
            <v>BRONZE</v>
          </cell>
          <cell r="L303" t="str">
            <v>Urbain</v>
          </cell>
          <cell r="M303" t="str">
            <v>70996512</v>
          </cell>
          <cell r="N303" t="str">
            <v>BLITTA</v>
          </cell>
        </row>
        <row r="304">
          <cell r="A304" t="str">
            <v>BOCA</v>
          </cell>
          <cell r="B304">
            <v>44532</v>
          </cell>
          <cell r="C304" t="str">
            <v>LOM-301</v>
          </cell>
          <cell r="D304" t="str">
            <v>LOME</v>
          </cell>
          <cell r="E304" t="str">
            <v>LOME-SUD</v>
          </cell>
          <cell r="F304" t="str">
            <v>FTTM</v>
          </cell>
          <cell r="G304" t="str">
            <v>Grid-Batt.</v>
          </cell>
          <cell r="H304" t="str">
            <v>N/A</v>
          </cell>
          <cell r="I304" t="str">
            <v>YES</v>
          </cell>
          <cell r="J304" t="str">
            <v>NO</v>
          </cell>
          <cell r="K304" t="str">
            <v>SILVER</v>
          </cell>
          <cell r="L304" t="str">
            <v>Urbain</v>
          </cell>
          <cell r="M304">
            <v>0</v>
          </cell>
          <cell r="N304" t="str">
            <v>LOME SUD</v>
          </cell>
        </row>
        <row r="305">
          <cell r="A305" t="str">
            <v>BOCCO</v>
          </cell>
          <cell r="B305">
            <v>43944</v>
          </cell>
          <cell r="C305" t="str">
            <v>PLA-173</v>
          </cell>
          <cell r="D305" t="str">
            <v>PLATEAUX</v>
          </cell>
          <cell r="E305" t="str">
            <v>ATAKPAME-EST</v>
          </cell>
          <cell r="F305" t="str">
            <v>FH</v>
          </cell>
          <cell r="G305" t="str">
            <v>DG-Solar-Batt.</v>
          </cell>
          <cell r="H305" t="str">
            <v>OK</v>
          </cell>
          <cell r="I305" t="str">
            <v>NO</v>
          </cell>
          <cell r="J305" t="str">
            <v>NO</v>
          </cell>
          <cell r="K305" t="str">
            <v>BRONZE</v>
          </cell>
          <cell r="L305" t="str">
            <v>rural</v>
          </cell>
          <cell r="M305" t="str">
            <v>70996710</v>
          </cell>
          <cell r="N305" t="str">
            <v>ATAKPAME</v>
          </cell>
        </row>
        <row r="306">
          <cell r="A306" t="str">
            <v>BODJE</v>
          </cell>
          <cell r="B306">
            <v>40513</v>
          </cell>
          <cell r="C306" t="str">
            <v>PLA-129</v>
          </cell>
          <cell r="D306" t="str">
            <v>MARITIME</v>
          </cell>
          <cell r="E306" t="str">
            <v>KPALIME</v>
          </cell>
          <cell r="F306" t="str">
            <v>FH</v>
          </cell>
          <cell r="G306" t="str">
            <v>DG-Solar-Batt.</v>
          </cell>
          <cell r="H306" t="str">
            <v>OK</v>
          </cell>
          <cell r="I306" t="str">
            <v>NO</v>
          </cell>
          <cell r="J306" t="str">
            <v>NO</v>
          </cell>
          <cell r="K306" t="str">
            <v>BRONZE</v>
          </cell>
          <cell r="L306" t="str">
            <v>rural</v>
          </cell>
          <cell r="M306" t="str">
            <v>70996711</v>
          </cell>
          <cell r="N306" t="str">
            <v>KPALIME</v>
          </cell>
        </row>
        <row r="307">
          <cell r="A307" t="str">
            <v>BODJONDE</v>
          </cell>
          <cell r="B307">
            <v>45152</v>
          </cell>
          <cell r="C307" t="str">
            <v>CEN-129</v>
          </cell>
          <cell r="D307" t="str">
            <v>CENTRALE</v>
          </cell>
          <cell r="E307" t="str">
            <v>BLITTA</v>
          </cell>
          <cell r="F307" t="str">
            <v>FH</v>
          </cell>
          <cell r="G307" t="str">
            <v>Grid-DG-Batt.</v>
          </cell>
          <cell r="H307" t="str">
            <v>OK</v>
          </cell>
          <cell r="I307" t="str">
            <v>NO</v>
          </cell>
          <cell r="J307" t="str">
            <v>NO</v>
          </cell>
          <cell r="K307" t="str">
            <v>BRONZE</v>
          </cell>
          <cell r="L307" t="str">
            <v>rural</v>
          </cell>
          <cell r="M307">
            <v>70997280</v>
          </cell>
          <cell r="N307" t="str">
            <v>BLITTA</v>
          </cell>
        </row>
        <row r="308">
          <cell r="A308" t="str">
            <v>BOHOU</v>
          </cell>
          <cell r="B308">
            <v>41739</v>
          </cell>
          <cell r="C308" t="str">
            <v>KAR-018</v>
          </cell>
          <cell r="D308" t="str">
            <v>KARA</v>
          </cell>
          <cell r="E308" t="str">
            <v>KARA-EST</v>
          </cell>
          <cell r="F308" t="str">
            <v>FO</v>
          </cell>
          <cell r="G308" t="str">
            <v>Grid-DG-Batt.</v>
          </cell>
          <cell r="H308" t="str">
            <v>NOK</v>
          </cell>
          <cell r="I308" t="str">
            <v>NO</v>
          </cell>
          <cell r="J308" t="str">
            <v>NO</v>
          </cell>
          <cell r="K308" t="str">
            <v>SILVER</v>
          </cell>
          <cell r="L308" t="str">
            <v>SubUrbain</v>
          </cell>
          <cell r="M308" t="str">
            <v>70996712</v>
          </cell>
          <cell r="N308" t="str">
            <v>KARA EST</v>
          </cell>
        </row>
        <row r="309">
          <cell r="A309" t="str">
            <v>BOKPOKO</v>
          </cell>
          <cell r="B309">
            <v>44546</v>
          </cell>
          <cell r="C309" t="str">
            <v>LOM-276</v>
          </cell>
          <cell r="D309" t="str">
            <v>LOME</v>
          </cell>
          <cell r="E309" t="str">
            <v>LOME-OUEST 1</v>
          </cell>
          <cell r="F309" t="str">
            <v>FH</v>
          </cell>
          <cell r="G309" t="str">
            <v>Grid-DG-Batt.</v>
          </cell>
          <cell r="H309" t="str">
            <v>OK</v>
          </cell>
          <cell r="I309" t="str">
            <v>NO</v>
          </cell>
          <cell r="J309" t="str">
            <v>YES</v>
          </cell>
          <cell r="K309" t="str">
            <v>SILVER</v>
          </cell>
          <cell r="L309" t="str">
            <v>SubUrbain</v>
          </cell>
          <cell r="M309" t="str">
            <v>70996464</v>
          </cell>
          <cell r="N309" t="str">
            <v>LOME OUEST1</v>
          </cell>
        </row>
        <row r="310">
          <cell r="A310" t="str">
            <v>BOLOUGAN-MOOV</v>
          </cell>
          <cell r="B310">
            <v>44861</v>
          </cell>
          <cell r="C310" t="str">
            <v>MAR-145</v>
          </cell>
          <cell r="D310" t="str">
            <v>MARITIME</v>
          </cell>
          <cell r="E310" t="str">
            <v>TSEVIE</v>
          </cell>
          <cell r="F310" t="str">
            <v>FH</v>
          </cell>
          <cell r="G310" t="str">
            <v>Grid-DG-Batt.</v>
          </cell>
          <cell r="H310" t="str">
            <v>OK</v>
          </cell>
          <cell r="I310" t="str">
            <v>NO</v>
          </cell>
          <cell r="J310" t="str">
            <v>YES</v>
          </cell>
          <cell r="K310" t="str">
            <v>BRONZE</v>
          </cell>
          <cell r="L310" t="str">
            <v>SubUrbain</v>
          </cell>
          <cell r="M310">
            <v>0</v>
          </cell>
          <cell r="N310" t="str">
            <v>TSEVIE</v>
          </cell>
        </row>
        <row r="311">
          <cell r="A311" t="str">
            <v>BOMBENGOU-MOOV</v>
          </cell>
          <cell r="B311">
            <v>44867</v>
          </cell>
          <cell r="C311" t="str">
            <v>SAV-110</v>
          </cell>
          <cell r="D311" t="str">
            <v>SAVANES</v>
          </cell>
          <cell r="E311" t="str">
            <v>DAPAONG 1</v>
          </cell>
          <cell r="F311" t="str">
            <v>FH</v>
          </cell>
          <cell r="G311" t="str">
            <v>Grid-DG-Batt.</v>
          </cell>
          <cell r="H311" t="str">
            <v>OK</v>
          </cell>
          <cell r="I311" t="str">
            <v>NO</v>
          </cell>
          <cell r="J311" t="str">
            <v>NO</v>
          </cell>
          <cell r="K311" t="str">
            <v>BRONZE</v>
          </cell>
          <cell r="L311" t="str">
            <v>rural</v>
          </cell>
          <cell r="M311">
            <v>0</v>
          </cell>
          <cell r="N311" t="str">
            <v>DAPAONG</v>
          </cell>
        </row>
        <row r="312">
          <cell r="A312" t="str">
            <v>BOMBOUAKA</v>
          </cell>
          <cell r="B312"/>
          <cell r="C312" t="str">
            <v>SAV-026</v>
          </cell>
          <cell r="D312" t="str">
            <v>SAVANES</v>
          </cell>
          <cell r="E312" t="str">
            <v>DAPAONG 1</v>
          </cell>
          <cell r="F312" t="str">
            <v>FO</v>
          </cell>
          <cell r="G312" t="str">
            <v>Grid-DG-Batt.</v>
          </cell>
          <cell r="H312" t="str">
            <v>OK</v>
          </cell>
          <cell r="I312" t="str">
            <v>NO</v>
          </cell>
          <cell r="J312" t="str">
            <v>NO</v>
          </cell>
          <cell r="K312" t="str">
            <v>SILVER</v>
          </cell>
          <cell r="L312" t="str">
            <v>SubUrbain</v>
          </cell>
          <cell r="M312" t="str">
            <v>70996713</v>
          </cell>
          <cell r="N312" t="str">
            <v>DAPAONG</v>
          </cell>
        </row>
        <row r="313">
          <cell r="A313" t="str">
            <v>BONANGANA</v>
          </cell>
          <cell r="B313">
            <v>43913</v>
          </cell>
          <cell r="C313" t="str">
            <v>CEN-088</v>
          </cell>
          <cell r="D313" t="str">
            <v>CENTRALE</v>
          </cell>
          <cell r="E313" t="str">
            <v>SOKODE</v>
          </cell>
          <cell r="F313" t="str">
            <v>FH</v>
          </cell>
          <cell r="G313" t="str">
            <v>DG-Solar-Batt.</v>
          </cell>
          <cell r="H313" t="str">
            <v>OK</v>
          </cell>
          <cell r="I313" t="str">
            <v>NO</v>
          </cell>
          <cell r="J313" t="str">
            <v>YES</v>
          </cell>
          <cell r="K313" t="str">
            <v>BRONZE</v>
          </cell>
          <cell r="L313" t="str">
            <v>rural</v>
          </cell>
          <cell r="M313" t="str">
            <v>70996714</v>
          </cell>
          <cell r="N313" t="str">
            <v>SOKODE</v>
          </cell>
        </row>
        <row r="314">
          <cell r="A314" t="str">
            <v>BORGOU</v>
          </cell>
          <cell r="B314"/>
          <cell r="C314" t="str">
            <v>SAV-040</v>
          </cell>
          <cell r="D314" t="str">
            <v>SAVANES</v>
          </cell>
          <cell r="E314" t="str">
            <v>DAPAONG 1</v>
          </cell>
          <cell r="F314" t="str">
            <v>FH</v>
          </cell>
          <cell r="G314" t="str">
            <v>Grid-DG-Solar-Batt.</v>
          </cell>
          <cell r="H314" t="str">
            <v>OK</v>
          </cell>
          <cell r="I314" t="str">
            <v>NO</v>
          </cell>
          <cell r="J314" t="str">
            <v>NO</v>
          </cell>
          <cell r="K314" t="str">
            <v>SILVER</v>
          </cell>
          <cell r="L314" t="str">
            <v>rural</v>
          </cell>
          <cell r="M314" t="str">
            <v>70996715</v>
          </cell>
          <cell r="N314" t="str">
            <v>DAPAONG</v>
          </cell>
        </row>
        <row r="315">
          <cell r="A315" t="str">
            <v>BOUFALE</v>
          </cell>
          <cell r="B315">
            <v>43790</v>
          </cell>
          <cell r="C315" t="str">
            <v>KAR-101</v>
          </cell>
          <cell r="D315" t="str">
            <v>KARA</v>
          </cell>
          <cell r="E315" t="str">
            <v>KARA-EST</v>
          </cell>
          <cell r="F315" t="str">
            <v>FH</v>
          </cell>
          <cell r="G315" t="str">
            <v>DG-Solar-Batt.</v>
          </cell>
          <cell r="H315" t="str">
            <v>OK</v>
          </cell>
          <cell r="I315" t="str">
            <v>NO</v>
          </cell>
          <cell r="J315" t="str">
            <v>NO</v>
          </cell>
          <cell r="K315" t="str">
            <v>BRONZE</v>
          </cell>
          <cell r="L315" t="str">
            <v>rural</v>
          </cell>
          <cell r="M315" t="str">
            <v>70996716</v>
          </cell>
          <cell r="N315" t="str">
            <v>KARA EST</v>
          </cell>
        </row>
        <row r="316">
          <cell r="A316" t="str">
            <v>BOUGABOU</v>
          </cell>
          <cell r="B316">
            <v>40148</v>
          </cell>
          <cell r="C316" t="str">
            <v>KAR-077</v>
          </cell>
          <cell r="D316" t="str">
            <v>CENTRALE</v>
          </cell>
          <cell r="E316" t="str">
            <v>SOKODE</v>
          </cell>
          <cell r="F316" t="str">
            <v>FO</v>
          </cell>
          <cell r="G316" t="str">
            <v>DG-Solar-Batt.</v>
          </cell>
          <cell r="H316" t="str">
            <v>OK</v>
          </cell>
          <cell r="I316" t="str">
            <v>NO</v>
          </cell>
          <cell r="J316" t="str">
            <v>NO</v>
          </cell>
          <cell r="K316" t="str">
            <v>BRONZE</v>
          </cell>
          <cell r="L316" t="str">
            <v>rural</v>
          </cell>
          <cell r="M316" t="str">
            <v>70996717</v>
          </cell>
          <cell r="N316" t="str">
            <v>SOKODE</v>
          </cell>
        </row>
        <row r="317">
          <cell r="A317" t="str">
            <v>BOULOHOU-MOOV</v>
          </cell>
          <cell r="B317"/>
          <cell r="C317" t="str">
            <v>CEN-026</v>
          </cell>
          <cell r="D317" t="str">
            <v>KARA</v>
          </cell>
          <cell r="E317" t="str">
            <v>KABOU</v>
          </cell>
          <cell r="F317" t="str">
            <v>FH</v>
          </cell>
          <cell r="G317" t="str">
            <v>DG-Solar-Batt.</v>
          </cell>
          <cell r="H317" t="str">
            <v>OK</v>
          </cell>
          <cell r="I317" t="str">
            <v>NO</v>
          </cell>
          <cell r="J317" t="str">
            <v>NO</v>
          </cell>
          <cell r="K317" t="str">
            <v>BRONZE</v>
          </cell>
          <cell r="L317" t="str">
            <v>rural</v>
          </cell>
          <cell r="M317">
            <v>70996718</v>
          </cell>
          <cell r="N317" t="str">
            <v>KABOU</v>
          </cell>
        </row>
        <row r="318">
          <cell r="A318" t="str">
            <v>BOULOUGOU</v>
          </cell>
          <cell r="B318">
            <v>41244</v>
          </cell>
          <cell r="C318" t="str">
            <v>SAV-034</v>
          </cell>
          <cell r="D318" t="str">
            <v>SAVANES</v>
          </cell>
          <cell r="E318" t="str">
            <v>MANGO</v>
          </cell>
          <cell r="F318" t="str">
            <v>FH</v>
          </cell>
          <cell r="G318" t="str">
            <v>DG-Solar-Batt.</v>
          </cell>
          <cell r="H318" t="str">
            <v>OK</v>
          </cell>
          <cell r="I318" t="str">
            <v>NO</v>
          </cell>
          <cell r="J318" t="str">
            <v>NO</v>
          </cell>
          <cell r="K318" t="str">
            <v>BRONZE</v>
          </cell>
          <cell r="L318" t="str">
            <v>rural</v>
          </cell>
          <cell r="M318" t="str">
            <v>70996719</v>
          </cell>
          <cell r="N318" t="str">
            <v>MANGO</v>
          </cell>
        </row>
        <row r="319">
          <cell r="A319" t="str">
            <v>BOUMONGA</v>
          </cell>
          <cell r="B319">
            <v>42395</v>
          </cell>
          <cell r="C319" t="str">
            <v>SAV-001</v>
          </cell>
          <cell r="D319" t="str">
            <v>SAVANES</v>
          </cell>
          <cell r="E319" t="str">
            <v>DAPAONG 1</v>
          </cell>
          <cell r="F319" t="str">
            <v>FH</v>
          </cell>
          <cell r="G319" t="str">
            <v>Grid-DG-Batt.</v>
          </cell>
          <cell r="H319" t="str">
            <v>OK</v>
          </cell>
          <cell r="I319" t="str">
            <v>NO</v>
          </cell>
          <cell r="J319" t="str">
            <v>YES</v>
          </cell>
          <cell r="K319" t="str">
            <v>GOLD</v>
          </cell>
          <cell r="L319" t="str">
            <v>SubUrbain</v>
          </cell>
          <cell r="M319" t="str">
            <v>70996720</v>
          </cell>
          <cell r="N319" t="str">
            <v>DAPAONG</v>
          </cell>
        </row>
        <row r="320">
          <cell r="A320" t="str">
            <v>BOUNDJAL</v>
          </cell>
          <cell r="B320">
            <v>45022</v>
          </cell>
          <cell r="C320" t="str">
            <v>KAR-140</v>
          </cell>
          <cell r="D320" t="str">
            <v>KARA</v>
          </cell>
          <cell r="E320" t="str">
            <v>KABOU</v>
          </cell>
          <cell r="F320" t="str">
            <v>FH</v>
          </cell>
          <cell r="G320" t="str">
            <v>DG-Solar-Batt.</v>
          </cell>
          <cell r="H320" t="str">
            <v>OK</v>
          </cell>
          <cell r="I320" t="str">
            <v>NO</v>
          </cell>
          <cell r="J320" t="str">
            <v>YES</v>
          </cell>
          <cell r="K320" t="str">
            <v>BRONZE</v>
          </cell>
          <cell r="L320" t="str">
            <v>rural</v>
          </cell>
          <cell r="M320">
            <v>70997264</v>
          </cell>
          <cell r="N320" t="str">
            <v>KABOU</v>
          </cell>
        </row>
        <row r="321">
          <cell r="A321" t="str">
            <v>BOURJOUARE</v>
          </cell>
          <cell r="B321">
            <v>41609</v>
          </cell>
          <cell r="C321" t="str">
            <v>SAV-041</v>
          </cell>
          <cell r="D321" t="str">
            <v>SAVANES</v>
          </cell>
          <cell r="E321" t="str">
            <v>DAPAONG 1</v>
          </cell>
          <cell r="F321" t="str">
            <v>FH</v>
          </cell>
          <cell r="G321" t="str">
            <v>DG-Solar-Batt.</v>
          </cell>
          <cell r="H321" t="str">
            <v>NOK</v>
          </cell>
          <cell r="I321" t="str">
            <v>NO</v>
          </cell>
          <cell r="J321" t="str">
            <v>YES</v>
          </cell>
          <cell r="K321" t="str">
            <v>BRONZE</v>
          </cell>
          <cell r="L321" t="str">
            <v>rural</v>
          </cell>
          <cell r="M321" t="str">
            <v>70996722</v>
          </cell>
          <cell r="N321" t="str">
            <v>DAPAONG</v>
          </cell>
        </row>
        <row r="322">
          <cell r="A322" t="str">
            <v>BOWOUNDA</v>
          </cell>
          <cell r="B322">
            <v>43435</v>
          </cell>
          <cell r="C322" t="str">
            <v>CEN-018</v>
          </cell>
          <cell r="D322" t="str">
            <v>CENTRALE</v>
          </cell>
          <cell r="E322" t="str">
            <v>SOKODE</v>
          </cell>
          <cell r="F322" t="str">
            <v>FH</v>
          </cell>
          <cell r="G322" t="str">
            <v>Grid-DG-Solar-Batt.</v>
          </cell>
          <cell r="H322" t="str">
            <v>OK</v>
          </cell>
          <cell r="I322" t="str">
            <v>NO</v>
          </cell>
          <cell r="J322" t="str">
            <v>NO</v>
          </cell>
          <cell r="K322" t="str">
            <v>BRONZE</v>
          </cell>
          <cell r="L322" t="str">
            <v>rural</v>
          </cell>
          <cell r="M322" t="str">
            <v>70996723</v>
          </cell>
          <cell r="N322" t="str">
            <v>SOKODE</v>
          </cell>
        </row>
        <row r="323">
          <cell r="A323" t="str">
            <v>BROUKOU</v>
          </cell>
          <cell r="B323">
            <v>40887</v>
          </cell>
          <cell r="C323" t="str">
            <v>KAR-057</v>
          </cell>
          <cell r="D323" t="str">
            <v>KARA</v>
          </cell>
          <cell r="E323" t="str">
            <v>KARA-OUEST</v>
          </cell>
          <cell r="F323" t="str">
            <v>FH</v>
          </cell>
          <cell r="G323" t="str">
            <v>DG-Solar-Batt.</v>
          </cell>
          <cell r="H323" t="str">
            <v>OK</v>
          </cell>
          <cell r="I323" t="str">
            <v>NO</v>
          </cell>
          <cell r="J323" t="str">
            <v>NO</v>
          </cell>
          <cell r="K323" t="str">
            <v>SILVER</v>
          </cell>
          <cell r="L323" t="str">
            <v>rural</v>
          </cell>
          <cell r="M323" t="str">
            <v>70996724</v>
          </cell>
          <cell r="N323" t="str">
            <v>KARA OUEST</v>
          </cell>
        </row>
        <row r="324">
          <cell r="A324" t="str">
            <v>BROUNFOU</v>
          </cell>
          <cell r="B324">
            <v>41928</v>
          </cell>
          <cell r="C324" t="str">
            <v>PLA-097</v>
          </cell>
          <cell r="D324" t="str">
            <v>PLATEAUX</v>
          </cell>
          <cell r="E324" t="str">
            <v>BADOU</v>
          </cell>
          <cell r="F324" t="str">
            <v>FH</v>
          </cell>
          <cell r="G324" t="str">
            <v>DG-Solar-Batt.</v>
          </cell>
          <cell r="H324" t="str">
            <v>NOK</v>
          </cell>
          <cell r="I324" t="str">
            <v>NO</v>
          </cell>
          <cell r="J324" t="str">
            <v>NO</v>
          </cell>
          <cell r="K324" t="str">
            <v>BRONZE</v>
          </cell>
          <cell r="L324" t="str">
            <v>rural</v>
          </cell>
          <cell r="M324" t="str">
            <v>70996725</v>
          </cell>
          <cell r="N324" t="str">
            <v>BADOU</v>
          </cell>
        </row>
        <row r="325">
          <cell r="A325" t="str">
            <v>BTCI</v>
          </cell>
          <cell r="B325">
            <v>45272</v>
          </cell>
          <cell r="C325" t="str">
            <v>LOM-381</v>
          </cell>
          <cell r="D325" t="str">
            <v>LOME</v>
          </cell>
          <cell r="E325" t="str">
            <v>LOME-SUD</v>
          </cell>
          <cell r="F325" t="str">
            <v>FTTM</v>
          </cell>
          <cell r="G325" t="str">
            <v>Grid-DG-Batt.</v>
          </cell>
          <cell r="H325" t="str">
            <v>OK</v>
          </cell>
          <cell r="I325" t="str">
            <v>NO</v>
          </cell>
          <cell r="J325">
            <v>0</v>
          </cell>
          <cell r="K325" t="str">
            <v>GOLD</v>
          </cell>
          <cell r="L325" t="str">
            <v>Urban</v>
          </cell>
          <cell r="M325">
            <v>0</v>
          </cell>
          <cell r="N325" t="str">
            <v>LOME SUD</v>
          </cell>
        </row>
        <row r="326">
          <cell r="A326" t="str">
            <v>CACAVELLI1</v>
          </cell>
          <cell r="B326">
            <v>40513</v>
          </cell>
          <cell r="C326" t="str">
            <v>LOM-011</v>
          </cell>
          <cell r="D326" t="str">
            <v>LOME</v>
          </cell>
          <cell r="E326" t="str">
            <v>LOME-NORD</v>
          </cell>
          <cell r="F326" t="str">
            <v>FO</v>
          </cell>
          <cell r="G326" t="str">
            <v>Grid-DG-Batt.</v>
          </cell>
          <cell r="H326" t="str">
            <v>OK</v>
          </cell>
          <cell r="I326" t="str">
            <v>NO</v>
          </cell>
          <cell r="J326" t="str">
            <v>NO</v>
          </cell>
          <cell r="K326" t="str">
            <v>PLATINUM</v>
          </cell>
          <cell r="L326" t="str">
            <v>Urbain</v>
          </cell>
          <cell r="M326">
            <v>0</v>
          </cell>
          <cell r="N326" t="str">
            <v>LOME NORD</v>
          </cell>
        </row>
        <row r="327">
          <cell r="A327" t="str">
            <v>CACAVELLI2</v>
          </cell>
          <cell r="B327">
            <v>40457</v>
          </cell>
          <cell r="C327" t="str">
            <v>LOM-012</v>
          </cell>
          <cell r="D327" t="str">
            <v>LOME</v>
          </cell>
          <cell r="E327" t="str">
            <v>LOME-NORD</v>
          </cell>
          <cell r="F327" t="str">
            <v>FH</v>
          </cell>
          <cell r="G327" t="str">
            <v>Grid-Batt.</v>
          </cell>
          <cell r="H327" t="str">
            <v>N/A</v>
          </cell>
          <cell r="I327" t="str">
            <v>NO</v>
          </cell>
          <cell r="J327" t="str">
            <v>YES</v>
          </cell>
          <cell r="K327" t="str">
            <v>SILVER</v>
          </cell>
          <cell r="L327" t="str">
            <v>Urbain</v>
          </cell>
          <cell r="M327">
            <v>0</v>
          </cell>
          <cell r="N327" t="str">
            <v>LOME NORD</v>
          </cell>
        </row>
        <row r="328">
          <cell r="A328" t="str">
            <v>CACAVELLI3</v>
          </cell>
          <cell r="B328">
            <v>43124</v>
          </cell>
          <cell r="C328" t="str">
            <v>LOM-036</v>
          </cell>
          <cell r="D328" t="str">
            <v>LOME</v>
          </cell>
          <cell r="E328" t="str">
            <v>LOME-NORD</v>
          </cell>
          <cell r="F328" t="str">
            <v>FH</v>
          </cell>
          <cell r="G328" t="str">
            <v>Grid-Batt.</v>
          </cell>
          <cell r="H328" t="str">
            <v>N/A</v>
          </cell>
          <cell r="I328" t="str">
            <v>YES</v>
          </cell>
          <cell r="J328" t="str">
            <v>NO</v>
          </cell>
          <cell r="K328" t="str">
            <v>SILVER</v>
          </cell>
          <cell r="L328" t="str">
            <v>Urbain</v>
          </cell>
          <cell r="M328">
            <v>0</v>
          </cell>
          <cell r="N328" t="str">
            <v>LOME NORD</v>
          </cell>
        </row>
        <row r="329">
          <cell r="A329" t="str">
            <v>CAFEBAZAR</v>
          </cell>
          <cell r="B329">
            <v>41609</v>
          </cell>
          <cell r="C329" t="str">
            <v>CEN-009</v>
          </cell>
          <cell r="D329" t="str">
            <v>CENTRALE</v>
          </cell>
          <cell r="E329" t="str">
            <v>SOKODE</v>
          </cell>
          <cell r="F329" t="str">
            <v>FO</v>
          </cell>
          <cell r="G329" t="str">
            <v>Grid-DG-Batt.</v>
          </cell>
          <cell r="H329" t="str">
            <v>OK</v>
          </cell>
          <cell r="I329" t="str">
            <v>NO</v>
          </cell>
          <cell r="J329" t="str">
            <v>NO</v>
          </cell>
          <cell r="K329" t="str">
            <v>SILVER</v>
          </cell>
          <cell r="L329" t="str">
            <v>Urbain</v>
          </cell>
          <cell r="M329">
            <v>70996911</v>
          </cell>
          <cell r="N329" t="str">
            <v>SOKODE</v>
          </cell>
        </row>
        <row r="330">
          <cell r="A330" t="str">
            <v>CAISSE</v>
          </cell>
          <cell r="B330">
            <v>44272</v>
          </cell>
          <cell r="C330" t="str">
            <v>LOM-253</v>
          </cell>
          <cell r="D330" t="str">
            <v>LOME</v>
          </cell>
          <cell r="E330" t="str">
            <v>LOME-CENTRE</v>
          </cell>
          <cell r="F330" t="str">
            <v>FH</v>
          </cell>
          <cell r="G330" t="str">
            <v>Grid-Batt.</v>
          </cell>
          <cell r="H330" t="str">
            <v>N/A</v>
          </cell>
          <cell r="I330" t="str">
            <v>NO</v>
          </cell>
          <cell r="J330" t="str">
            <v>NO</v>
          </cell>
          <cell r="K330" t="str">
            <v>PLATINUM</v>
          </cell>
          <cell r="L330" t="str">
            <v>Urbain</v>
          </cell>
          <cell r="M330">
            <v>0</v>
          </cell>
          <cell r="N330" t="str">
            <v>LOME CENTRE</v>
          </cell>
        </row>
        <row r="331">
          <cell r="A331" t="str">
            <v>CAMP-GP</v>
          </cell>
          <cell r="B331">
            <v>42657</v>
          </cell>
          <cell r="C331" t="str">
            <v>LOM-045</v>
          </cell>
          <cell r="D331" t="str">
            <v>LOME</v>
          </cell>
          <cell r="E331" t="str">
            <v>LOME-OUEST 1</v>
          </cell>
          <cell r="F331" t="str">
            <v>FO</v>
          </cell>
          <cell r="G331" t="str">
            <v>Grid-DG-Batt.</v>
          </cell>
          <cell r="H331" t="str">
            <v>OK</v>
          </cell>
          <cell r="I331" t="str">
            <v>NO</v>
          </cell>
          <cell r="J331" t="str">
            <v>NO</v>
          </cell>
          <cell r="K331" t="str">
            <v>GOLD</v>
          </cell>
          <cell r="L331" t="str">
            <v>Urbain</v>
          </cell>
          <cell r="M331" t="str">
            <v>70996728</v>
          </cell>
          <cell r="N331" t="str">
            <v>LOME OUEST1</v>
          </cell>
        </row>
        <row r="332">
          <cell r="A332" t="str">
            <v>CAMP-POLICE</v>
          </cell>
          <cell r="B332">
            <v>43265</v>
          </cell>
          <cell r="C332" t="str">
            <v>LOM-212</v>
          </cell>
          <cell r="D332" t="str">
            <v>LOME</v>
          </cell>
          <cell r="E332" t="str">
            <v>LOME-OUEST 1</v>
          </cell>
          <cell r="F332" t="str">
            <v>FH</v>
          </cell>
          <cell r="G332" t="str">
            <v>Grid-DG-Batt.</v>
          </cell>
          <cell r="H332" t="str">
            <v>OK</v>
          </cell>
          <cell r="I332" t="str">
            <v>NO</v>
          </cell>
          <cell r="J332" t="str">
            <v>NO</v>
          </cell>
          <cell r="K332" t="str">
            <v>SILVER</v>
          </cell>
          <cell r="L332" t="str">
            <v>Urbain</v>
          </cell>
          <cell r="M332">
            <v>0</v>
          </cell>
          <cell r="N332" t="str">
            <v>LOME OUEST1</v>
          </cell>
        </row>
        <row r="333">
          <cell r="A333" t="str">
            <v>CAMPUS-DAAS</v>
          </cell>
          <cell r="B333">
            <v>44866</v>
          </cell>
          <cell r="C333" t="str">
            <v>LOM-334</v>
          </cell>
          <cell r="D333" t="str">
            <v>LOME</v>
          </cell>
          <cell r="E333" t="str">
            <v>LOME-CENTRE</v>
          </cell>
          <cell r="F333" t="str">
            <v>FH</v>
          </cell>
          <cell r="G333" t="str">
            <v>Grid-DG-Batt.</v>
          </cell>
          <cell r="H333" t="str">
            <v>OK</v>
          </cell>
          <cell r="I333" t="str">
            <v>NO</v>
          </cell>
          <cell r="J333" t="str">
            <v>YES</v>
          </cell>
          <cell r="K333" t="str">
            <v>PLATINUM</v>
          </cell>
          <cell r="L333" t="str">
            <v>Urbain</v>
          </cell>
          <cell r="M333">
            <v>70997325</v>
          </cell>
          <cell r="N333" t="str">
            <v>LOME CENTRE</v>
          </cell>
        </row>
        <row r="334">
          <cell r="A334" t="str">
            <v>CAMPUS-MOOV</v>
          </cell>
          <cell r="B334"/>
          <cell r="C334" t="str">
            <v>LOM-105</v>
          </cell>
          <cell r="D334" t="str">
            <v>LOME</v>
          </cell>
          <cell r="E334" t="str">
            <v>LOME-CENTRE</v>
          </cell>
          <cell r="F334" t="str">
            <v>FO</v>
          </cell>
          <cell r="G334" t="str">
            <v>Grid-DG-Batt.</v>
          </cell>
          <cell r="H334" t="str">
            <v>OK</v>
          </cell>
          <cell r="I334" t="str">
            <v>NO</v>
          </cell>
          <cell r="J334" t="str">
            <v>NO</v>
          </cell>
          <cell r="K334" t="str">
            <v>PLATINUM</v>
          </cell>
          <cell r="L334" t="str">
            <v>Urbain</v>
          </cell>
          <cell r="M334">
            <v>0</v>
          </cell>
          <cell r="N334" t="str">
            <v>LOME CENTRE</v>
          </cell>
        </row>
        <row r="335">
          <cell r="A335" t="str">
            <v>CARREFOUR-MARGOT</v>
          </cell>
          <cell r="B335">
            <v>42347</v>
          </cell>
          <cell r="C335" t="str">
            <v>LOM-039</v>
          </cell>
          <cell r="D335" t="str">
            <v>LOME</v>
          </cell>
          <cell r="E335" t="str">
            <v>LOME-OUEST 2</v>
          </cell>
          <cell r="F335" t="str">
            <v>FO</v>
          </cell>
          <cell r="G335" t="str">
            <v>Grid-Batt.</v>
          </cell>
          <cell r="H335" t="str">
            <v>N/A</v>
          </cell>
          <cell r="I335" t="str">
            <v>YES</v>
          </cell>
          <cell r="J335" t="str">
            <v>NO</v>
          </cell>
          <cell r="K335" t="str">
            <v>SILVER</v>
          </cell>
          <cell r="L335" t="str">
            <v>Urbain</v>
          </cell>
          <cell r="M335">
            <v>0</v>
          </cell>
          <cell r="N335" t="str">
            <v>LOME OUEST2</v>
          </cell>
        </row>
        <row r="336">
          <cell r="A336" t="str">
            <v>CASSABLANCA3-MOOV</v>
          </cell>
          <cell r="B336">
            <v>45272</v>
          </cell>
          <cell r="C336" t="str">
            <v>LOM-390</v>
          </cell>
          <cell r="D336" t="str">
            <v>LOME</v>
          </cell>
          <cell r="E336" t="str">
            <v>LOME-CENTRE</v>
          </cell>
          <cell r="F336" t="str">
            <v>FTTM</v>
          </cell>
          <cell r="G336" t="str">
            <v>Grid-DG-Batt.</v>
          </cell>
          <cell r="H336" t="str">
            <v>OK</v>
          </cell>
          <cell r="I336" t="str">
            <v>NO</v>
          </cell>
          <cell r="J336">
            <v>0</v>
          </cell>
          <cell r="K336" t="str">
            <v>SILVER</v>
          </cell>
          <cell r="L336" t="str">
            <v>Urban</v>
          </cell>
          <cell r="M336" t="e">
            <v>#N/A</v>
          </cell>
          <cell r="N336" t="str">
            <v>LOME CENTRE</v>
          </cell>
        </row>
        <row r="337">
          <cell r="A337" t="str">
            <v>CASABLANCA2</v>
          </cell>
          <cell r="B337">
            <v>38200</v>
          </cell>
          <cell r="C337" t="str">
            <v>LOM-119</v>
          </cell>
          <cell r="D337" t="str">
            <v>LOME</v>
          </cell>
          <cell r="E337" t="str">
            <v>LOME-CENTRE</v>
          </cell>
          <cell r="F337" t="str">
            <v>FO</v>
          </cell>
          <cell r="G337" t="str">
            <v>Grid-DG-Batt.</v>
          </cell>
          <cell r="H337" t="str">
            <v>OK</v>
          </cell>
          <cell r="I337" t="str">
            <v>NO</v>
          </cell>
          <cell r="J337" t="str">
            <v>YES</v>
          </cell>
          <cell r="K337" t="str">
            <v>GOLD</v>
          </cell>
          <cell r="L337" t="str">
            <v>Urbain</v>
          </cell>
          <cell r="M337">
            <v>0</v>
          </cell>
          <cell r="N337" t="str">
            <v>LOME CENTRE</v>
          </cell>
        </row>
        <row r="338">
          <cell r="A338" t="str">
            <v>CASSABLANCA</v>
          </cell>
          <cell r="B338">
            <v>44986</v>
          </cell>
          <cell r="C338" t="str">
            <v>LOM-360</v>
          </cell>
          <cell r="D338" t="str">
            <v>LOME</v>
          </cell>
          <cell r="E338" t="str">
            <v>LOME-CENTRE</v>
          </cell>
          <cell r="F338" t="str">
            <v>FTTM</v>
          </cell>
          <cell r="G338" t="str">
            <v>Grid-DG-Batt.</v>
          </cell>
          <cell r="H338" t="str">
            <v>OK</v>
          </cell>
          <cell r="I338" t="str">
            <v>NO</v>
          </cell>
          <cell r="J338" t="str">
            <v>YES</v>
          </cell>
          <cell r="K338" t="str">
            <v>GOLD</v>
          </cell>
          <cell r="L338" t="str">
            <v>Urbain</v>
          </cell>
          <cell r="M338" t="e">
            <v>#N/A</v>
          </cell>
          <cell r="N338" t="str">
            <v>LOME SUD</v>
          </cell>
        </row>
        <row r="339">
          <cell r="A339" t="str">
            <v>CERFER</v>
          </cell>
          <cell r="B339">
            <v>38200</v>
          </cell>
          <cell r="C339" t="str">
            <v>LOM-129</v>
          </cell>
          <cell r="D339" t="str">
            <v>LOME</v>
          </cell>
          <cell r="E339" t="str">
            <v>LOME-CENTRE</v>
          </cell>
          <cell r="F339" t="str">
            <v>FO</v>
          </cell>
          <cell r="G339" t="str">
            <v>Grid-DG-Batt.</v>
          </cell>
          <cell r="H339" t="str">
            <v>OK</v>
          </cell>
          <cell r="I339" t="str">
            <v>NO</v>
          </cell>
          <cell r="J339" t="str">
            <v>NO</v>
          </cell>
          <cell r="K339" t="str">
            <v>PLATINUM</v>
          </cell>
          <cell r="L339" t="str">
            <v>Urbain</v>
          </cell>
          <cell r="M339">
            <v>0</v>
          </cell>
          <cell r="N339" t="str">
            <v>LOME CENTRE</v>
          </cell>
        </row>
        <row r="340">
          <cell r="A340" t="str">
            <v>CERFER2-MOOV</v>
          </cell>
          <cell r="B340"/>
          <cell r="C340" t="str">
            <v>LOM-130</v>
          </cell>
          <cell r="D340" t="str">
            <v>LOME</v>
          </cell>
          <cell r="E340" t="str">
            <v>LOME-CENTRE</v>
          </cell>
          <cell r="F340" t="str">
            <v>FH</v>
          </cell>
          <cell r="G340" t="str">
            <v>Grid-DG-Batt.</v>
          </cell>
          <cell r="H340" t="str">
            <v>OK</v>
          </cell>
          <cell r="I340" t="str">
            <v>NO</v>
          </cell>
          <cell r="J340" t="str">
            <v>NO</v>
          </cell>
          <cell r="K340" t="str">
            <v>PLATINUM</v>
          </cell>
          <cell r="L340" t="str">
            <v>Urbain</v>
          </cell>
          <cell r="M340">
            <v>0</v>
          </cell>
          <cell r="N340" t="str">
            <v>LOME CENTRE</v>
          </cell>
        </row>
        <row r="341">
          <cell r="A341" t="str">
            <v>CERFER3</v>
          </cell>
          <cell r="B341">
            <v>44742</v>
          </cell>
          <cell r="C341" t="str">
            <v>LOM-302</v>
          </cell>
          <cell r="D341" t="str">
            <v>LOME</v>
          </cell>
          <cell r="E341" t="str">
            <v>LOME-CENTRE</v>
          </cell>
          <cell r="F341" t="str">
            <v>FTTM</v>
          </cell>
          <cell r="G341" t="str">
            <v>Grid-DG-Batt.</v>
          </cell>
          <cell r="H341" t="str">
            <v>OK</v>
          </cell>
          <cell r="I341" t="str">
            <v>NO</v>
          </cell>
          <cell r="J341" t="str">
            <v>YES</v>
          </cell>
          <cell r="K341" t="str">
            <v>PLATINUM</v>
          </cell>
          <cell r="L341" t="str">
            <v>Urbain</v>
          </cell>
          <cell r="M341">
            <v>0</v>
          </cell>
          <cell r="N341" t="str">
            <v>LOME CENTRE</v>
          </cell>
        </row>
        <row r="342">
          <cell r="A342" t="str">
            <v>CINKASSE</v>
          </cell>
          <cell r="B342"/>
          <cell r="C342" t="str">
            <v>SAV-010</v>
          </cell>
          <cell r="D342" t="str">
            <v>SAVANES</v>
          </cell>
          <cell r="E342" t="str">
            <v>DAPAONG 1</v>
          </cell>
          <cell r="F342" t="str">
            <v>FO</v>
          </cell>
          <cell r="G342" t="str">
            <v>Grid-DG-Batt.</v>
          </cell>
          <cell r="H342" t="str">
            <v>OK</v>
          </cell>
          <cell r="I342" t="str">
            <v>NO</v>
          </cell>
          <cell r="J342" t="str">
            <v>YES</v>
          </cell>
          <cell r="K342" t="str">
            <v>PLATINUM</v>
          </cell>
          <cell r="L342" t="str">
            <v>Urbain</v>
          </cell>
          <cell r="M342" t="str">
            <v>70996731</v>
          </cell>
          <cell r="N342" t="str">
            <v>DAPAONG</v>
          </cell>
        </row>
        <row r="343">
          <cell r="A343" t="str">
            <v>CINKASSE-BOSCO</v>
          </cell>
          <cell r="B343">
            <v>43629</v>
          </cell>
          <cell r="C343" t="str">
            <v>SAV-062</v>
          </cell>
          <cell r="D343" t="str">
            <v>SAVANES</v>
          </cell>
          <cell r="E343" t="str">
            <v>DAPAONG 1</v>
          </cell>
          <cell r="F343" t="str">
            <v>FH</v>
          </cell>
          <cell r="G343" t="str">
            <v>Grid-DG-Batt.</v>
          </cell>
          <cell r="H343" t="str">
            <v>OK</v>
          </cell>
          <cell r="I343" t="str">
            <v>NO</v>
          </cell>
          <cell r="J343" t="str">
            <v>YES</v>
          </cell>
          <cell r="K343" t="str">
            <v>PLATINUM</v>
          </cell>
          <cell r="L343" t="str">
            <v>Urbain</v>
          </cell>
          <cell r="M343" t="str">
            <v>70996732</v>
          </cell>
          <cell r="N343" t="str">
            <v>DAPAONG</v>
          </cell>
        </row>
        <row r="344">
          <cell r="A344" t="str">
            <v>CINKASSE-BOUSSONGA</v>
          </cell>
          <cell r="B344">
            <v>40561</v>
          </cell>
          <cell r="C344" t="str">
            <v>SAV-011</v>
          </cell>
          <cell r="D344" t="str">
            <v>SAVANES</v>
          </cell>
          <cell r="E344" t="str">
            <v>DAPAONG 1</v>
          </cell>
          <cell r="F344" t="str">
            <v>FO</v>
          </cell>
          <cell r="G344" t="str">
            <v>Grid-DG-Batt.</v>
          </cell>
          <cell r="H344" t="str">
            <v>OK</v>
          </cell>
          <cell r="I344" t="str">
            <v>NO</v>
          </cell>
          <cell r="J344" t="str">
            <v>NO</v>
          </cell>
          <cell r="K344" t="str">
            <v>GOLD</v>
          </cell>
          <cell r="L344" t="str">
            <v>Urbain</v>
          </cell>
          <cell r="M344" t="str">
            <v>70996733</v>
          </cell>
          <cell r="N344" t="str">
            <v>DAPAONG</v>
          </cell>
        </row>
        <row r="345">
          <cell r="A345" t="str">
            <v>CINKASSE-KOMOLOQS</v>
          </cell>
          <cell r="B345">
            <v>40561</v>
          </cell>
          <cell r="C345" t="str">
            <v>SAV-012</v>
          </cell>
          <cell r="D345" t="str">
            <v>SAVANES</v>
          </cell>
          <cell r="E345" t="str">
            <v>DAPAONG 1</v>
          </cell>
          <cell r="F345" t="str">
            <v>FH</v>
          </cell>
          <cell r="G345" t="str">
            <v>Grid-DG-Batt.</v>
          </cell>
          <cell r="H345" t="str">
            <v>OK</v>
          </cell>
          <cell r="I345" t="str">
            <v>NO</v>
          </cell>
          <cell r="J345" t="str">
            <v>NO</v>
          </cell>
          <cell r="K345" t="str">
            <v>PLATINUM</v>
          </cell>
          <cell r="L345" t="str">
            <v>Urbain</v>
          </cell>
          <cell r="M345" t="str">
            <v>70996734</v>
          </cell>
          <cell r="N345" t="str">
            <v>DAPAONG</v>
          </cell>
        </row>
        <row r="346">
          <cell r="A346" t="str">
            <v>CINKASSE-KPALBIAGA</v>
          </cell>
          <cell r="B346">
            <v>45100</v>
          </cell>
          <cell r="C346" t="str">
            <v>SAV-099</v>
          </cell>
          <cell r="D346" t="str">
            <v>SAVANES</v>
          </cell>
          <cell r="E346" t="str">
            <v>DAPAONG 1</v>
          </cell>
          <cell r="F346"/>
          <cell r="G346" t="str">
            <v>Grid-DG-Batt.</v>
          </cell>
          <cell r="H346" t="str">
            <v>OK</v>
          </cell>
          <cell r="I346" t="str">
            <v>NO</v>
          </cell>
          <cell r="J346" t="str">
            <v>NO</v>
          </cell>
          <cell r="K346" t="str">
            <v>PLATINUM</v>
          </cell>
          <cell r="L346" t="str">
            <v>SubUrbain</v>
          </cell>
          <cell r="M346">
            <v>70997368</v>
          </cell>
          <cell r="N346" t="str">
            <v>DAPAONG</v>
          </cell>
        </row>
        <row r="347">
          <cell r="A347" t="str">
            <v>CINKASSE-MOOV</v>
          </cell>
          <cell r="B347">
            <v>45229</v>
          </cell>
          <cell r="C347" t="str">
            <v>SAV-119</v>
          </cell>
          <cell r="D347" t="str">
            <v>SAVANES</v>
          </cell>
          <cell r="E347" t="str">
            <v>DAPAONG 1</v>
          </cell>
          <cell r="F347" t="str">
            <v>FH</v>
          </cell>
          <cell r="G347" t="str">
            <v>Grid-DG-Batt.</v>
          </cell>
          <cell r="H347" t="str">
            <v>OK</v>
          </cell>
          <cell r="I347" t="str">
            <v>NO</v>
          </cell>
          <cell r="J347" t="str">
            <v>NO</v>
          </cell>
          <cell r="K347" t="str">
            <v>PLATINUM</v>
          </cell>
          <cell r="L347" t="str">
            <v>URBAN</v>
          </cell>
          <cell r="M347">
            <v>0</v>
          </cell>
          <cell r="N347" t="str">
            <v>DAPAONG</v>
          </cell>
        </row>
        <row r="348">
          <cell r="A348" t="str">
            <v>CINKASSE-TOTAL</v>
          </cell>
          <cell r="B348">
            <v>43879</v>
          </cell>
          <cell r="C348" t="str">
            <v>SAV-076</v>
          </cell>
          <cell r="D348" t="str">
            <v>SAVANES</v>
          </cell>
          <cell r="E348" t="str">
            <v>DAPAONG 1</v>
          </cell>
          <cell r="F348" t="str">
            <v>FH</v>
          </cell>
          <cell r="G348" t="str">
            <v>Grid-DG-Batt.</v>
          </cell>
          <cell r="H348" t="str">
            <v>OK</v>
          </cell>
          <cell r="I348" t="str">
            <v>NO</v>
          </cell>
          <cell r="J348" t="str">
            <v>NO</v>
          </cell>
          <cell r="K348" t="str">
            <v>GOLD</v>
          </cell>
          <cell r="L348" t="str">
            <v>Urbain</v>
          </cell>
          <cell r="M348" t="str">
            <v>70996735</v>
          </cell>
          <cell r="N348" t="str">
            <v>DAPAONG</v>
          </cell>
        </row>
        <row r="349">
          <cell r="A349" t="str">
            <v>CONGAT-MOOV</v>
          </cell>
          <cell r="B349"/>
          <cell r="C349" t="str">
            <v>LOM-018</v>
          </cell>
          <cell r="D349" t="str">
            <v>LOME</v>
          </cell>
          <cell r="E349" t="str">
            <v>LOME-NORD</v>
          </cell>
          <cell r="F349" t="str">
            <v>FH</v>
          </cell>
          <cell r="G349" t="str">
            <v>Grid-DG-Batt.</v>
          </cell>
          <cell r="H349" t="str">
            <v>OK</v>
          </cell>
          <cell r="I349" t="str">
            <v>YES</v>
          </cell>
          <cell r="J349" t="str">
            <v>NO</v>
          </cell>
          <cell r="K349" t="str">
            <v>GOLD</v>
          </cell>
          <cell r="L349" t="str">
            <v>Urbain</v>
          </cell>
          <cell r="M349">
            <v>70996736</v>
          </cell>
          <cell r="N349" t="str">
            <v>LOME NORD</v>
          </cell>
        </row>
        <row r="350">
          <cell r="A350" t="str">
            <v>COUR-DAPPEL</v>
          </cell>
          <cell r="B350">
            <v>43810</v>
          </cell>
          <cell r="C350" t="str">
            <v>LOM-237</v>
          </cell>
          <cell r="D350" t="str">
            <v>LOME</v>
          </cell>
          <cell r="E350" t="str">
            <v>LOME-NORD</v>
          </cell>
          <cell r="F350" t="str">
            <v>FO</v>
          </cell>
          <cell r="G350" t="str">
            <v>Grid-DG-Batt.</v>
          </cell>
          <cell r="H350" t="str">
            <v>N/A</v>
          </cell>
          <cell r="I350" t="str">
            <v>NO</v>
          </cell>
          <cell r="J350" t="str">
            <v>NO</v>
          </cell>
          <cell r="K350" t="str">
            <v>SILVER</v>
          </cell>
          <cell r="L350" t="str">
            <v>Urbain</v>
          </cell>
          <cell r="M350">
            <v>0</v>
          </cell>
          <cell r="N350" t="str">
            <v>LOME NORD</v>
          </cell>
        </row>
        <row r="351">
          <cell r="A351" t="str">
            <v>DAGBATI</v>
          </cell>
          <cell r="B351">
            <v>41609</v>
          </cell>
          <cell r="C351" t="str">
            <v>MAR-037</v>
          </cell>
          <cell r="D351" t="str">
            <v>MARITIME</v>
          </cell>
          <cell r="E351" t="str">
            <v>ANEHO</v>
          </cell>
          <cell r="F351" t="str">
            <v>FH</v>
          </cell>
          <cell r="G351" t="str">
            <v>Grid-DG-Batt.</v>
          </cell>
          <cell r="H351" t="str">
            <v>OK</v>
          </cell>
          <cell r="I351" t="str">
            <v>NO</v>
          </cell>
          <cell r="J351" t="str">
            <v>NO</v>
          </cell>
          <cell r="K351" t="str">
            <v>BRONZE</v>
          </cell>
          <cell r="L351" t="str">
            <v>rural</v>
          </cell>
          <cell r="M351" t="str">
            <v>70996737</v>
          </cell>
          <cell r="N351" t="str">
            <v>ANEHO</v>
          </cell>
        </row>
        <row r="352">
          <cell r="A352" t="str">
            <v>DAGUE</v>
          </cell>
          <cell r="B352">
            <v>44116</v>
          </cell>
          <cell r="C352" t="str">
            <v>MAR-087</v>
          </cell>
          <cell r="D352" t="str">
            <v>LOME</v>
          </cell>
          <cell r="E352" t="str">
            <v>LOME-EST</v>
          </cell>
          <cell r="F352" t="str">
            <v>FH</v>
          </cell>
          <cell r="G352" t="str">
            <v>Grid-DG-Batt.</v>
          </cell>
          <cell r="H352" t="str">
            <v>OK</v>
          </cell>
          <cell r="I352" t="str">
            <v>NO</v>
          </cell>
          <cell r="J352" t="str">
            <v>NO</v>
          </cell>
          <cell r="K352" t="str">
            <v>GOLD</v>
          </cell>
          <cell r="L352" t="str">
            <v>SubUrbain</v>
          </cell>
          <cell r="M352" t="str">
            <v>70996430</v>
          </cell>
          <cell r="N352" t="str">
            <v>LOME EST</v>
          </cell>
        </row>
        <row r="353">
          <cell r="A353" t="str">
            <v>DALAVE</v>
          </cell>
          <cell r="B353">
            <v>41457</v>
          </cell>
          <cell r="C353" t="str">
            <v>MAR-004</v>
          </cell>
          <cell r="D353" t="str">
            <v>MARITIME</v>
          </cell>
          <cell r="E353" t="str">
            <v>TSEVIE</v>
          </cell>
          <cell r="F353" t="str">
            <v>FH</v>
          </cell>
          <cell r="G353" t="str">
            <v>Grid-DG-Batt.</v>
          </cell>
          <cell r="H353" t="str">
            <v>OK</v>
          </cell>
          <cell r="I353" t="str">
            <v>NO</v>
          </cell>
          <cell r="J353" t="str">
            <v>NO</v>
          </cell>
          <cell r="K353" t="str">
            <v>SILVER</v>
          </cell>
          <cell r="L353" t="str">
            <v>rural</v>
          </cell>
          <cell r="M353" t="str">
            <v>70996738</v>
          </cell>
          <cell r="N353" t="str">
            <v>TSEVIE</v>
          </cell>
        </row>
        <row r="354">
          <cell r="A354" t="str">
            <v>DALAVE-ROUTE</v>
          </cell>
          <cell r="B354">
            <v>44790</v>
          </cell>
          <cell r="C354" t="str">
            <v>MAR-141</v>
          </cell>
          <cell r="D354" t="str">
            <v>MARITIME</v>
          </cell>
          <cell r="E354" t="str">
            <v>TSEVIE</v>
          </cell>
          <cell r="F354" t="str">
            <v>FH</v>
          </cell>
          <cell r="G354" t="str">
            <v>DG-Solar-Batt.</v>
          </cell>
          <cell r="H354" t="str">
            <v>OK</v>
          </cell>
          <cell r="I354" t="str">
            <v>NO</v>
          </cell>
          <cell r="J354" t="str">
            <v>YES</v>
          </cell>
          <cell r="K354" t="str">
            <v>BRONZE</v>
          </cell>
          <cell r="L354" t="str">
            <v>rural</v>
          </cell>
          <cell r="M354" t="str">
            <v>70996502</v>
          </cell>
          <cell r="N354" t="str">
            <v>TSEVIE</v>
          </cell>
        </row>
        <row r="355">
          <cell r="A355" t="str">
            <v>DALIME</v>
          </cell>
          <cell r="B355">
            <v>40646</v>
          </cell>
          <cell r="C355" t="str">
            <v>LOM-046</v>
          </cell>
          <cell r="D355" t="str">
            <v>LOME</v>
          </cell>
          <cell r="E355" t="str">
            <v>LOME-OUEST 1</v>
          </cell>
          <cell r="F355" t="str">
            <v>FO</v>
          </cell>
          <cell r="G355" t="str">
            <v>Grid-DG-Batt.</v>
          </cell>
          <cell r="H355" t="str">
            <v>OK</v>
          </cell>
          <cell r="I355" t="str">
            <v>NO</v>
          </cell>
          <cell r="J355" t="str">
            <v>NO</v>
          </cell>
          <cell r="K355" t="str">
            <v>GOLD</v>
          </cell>
          <cell r="L355" t="str">
            <v>Urbain</v>
          </cell>
          <cell r="M355" t="str">
            <v>70996739</v>
          </cell>
          <cell r="N355" t="str">
            <v>LOME OUEST1</v>
          </cell>
        </row>
        <row r="356">
          <cell r="A356" t="str">
            <v>DALINKO2</v>
          </cell>
          <cell r="B356">
            <v>44665</v>
          </cell>
          <cell r="C356" t="str">
            <v>LOM-303</v>
          </cell>
          <cell r="D356" t="str">
            <v>LOME</v>
          </cell>
          <cell r="E356" t="str">
            <v>LOME-OUEST 1</v>
          </cell>
          <cell r="F356" t="str">
            <v>FH</v>
          </cell>
          <cell r="G356" t="str">
            <v>Grid-DG-Batt.</v>
          </cell>
          <cell r="H356" t="str">
            <v>OK</v>
          </cell>
          <cell r="I356" t="str">
            <v>NO</v>
          </cell>
          <cell r="J356" t="str">
            <v>YES</v>
          </cell>
          <cell r="K356" t="str">
            <v>SILVER</v>
          </cell>
          <cell r="L356" t="str">
            <v>Urbain</v>
          </cell>
          <cell r="M356" t="str">
            <v>70996465</v>
          </cell>
          <cell r="N356" t="str">
            <v>LOME OUEST1</v>
          </cell>
        </row>
        <row r="357">
          <cell r="A357" t="str">
            <v>DALINKO-MOOV</v>
          </cell>
          <cell r="B357">
            <v>44078</v>
          </cell>
          <cell r="C357" t="str">
            <v>LOM-243</v>
          </cell>
          <cell r="D357" t="str">
            <v>LOME</v>
          </cell>
          <cell r="E357" t="str">
            <v>LOME-OUEST 1</v>
          </cell>
          <cell r="F357" t="str">
            <v>FH</v>
          </cell>
          <cell r="G357" t="str">
            <v>Grid-DG-Batt.</v>
          </cell>
          <cell r="H357" t="str">
            <v>OK</v>
          </cell>
          <cell r="I357" t="str">
            <v>NO</v>
          </cell>
          <cell r="J357" t="str">
            <v>NO</v>
          </cell>
          <cell r="K357" t="str">
            <v>SILVER</v>
          </cell>
          <cell r="L357" t="str">
            <v>Urbain</v>
          </cell>
          <cell r="M357">
            <v>0</v>
          </cell>
          <cell r="N357" t="str">
            <v>LOME OUEST1</v>
          </cell>
        </row>
        <row r="358">
          <cell r="A358" t="str">
            <v>DANGBESSITO</v>
          </cell>
          <cell r="B358">
            <v>44684</v>
          </cell>
          <cell r="C358" t="str">
            <v>LOM-304</v>
          </cell>
          <cell r="D358" t="str">
            <v>LOME</v>
          </cell>
          <cell r="E358" t="str">
            <v>LOME-OUEST 1</v>
          </cell>
          <cell r="F358" t="str">
            <v>FH</v>
          </cell>
          <cell r="G358" t="str">
            <v>Grid-DG-Batt.</v>
          </cell>
          <cell r="H358" t="str">
            <v>OK</v>
          </cell>
          <cell r="I358" t="str">
            <v>NO</v>
          </cell>
          <cell r="J358" t="str">
            <v>YES</v>
          </cell>
          <cell r="K358" t="str">
            <v>SILVER</v>
          </cell>
          <cell r="L358" t="str">
            <v>SubUrbain</v>
          </cell>
          <cell r="M358" t="str">
            <v>70996466</v>
          </cell>
          <cell r="N358" t="str">
            <v>LOME OUEST1</v>
          </cell>
        </row>
        <row r="359">
          <cell r="A359" t="str">
            <v>DANGBESSITO2</v>
          </cell>
          <cell r="B359">
            <v>45206</v>
          </cell>
          <cell r="C359" t="str">
            <v>LOM-379</v>
          </cell>
          <cell r="D359" t="str">
            <v>LOME</v>
          </cell>
          <cell r="E359" t="str">
            <v>LOME-OUEST 1</v>
          </cell>
          <cell r="F359" t="str">
            <v>FH</v>
          </cell>
          <cell r="G359" t="str">
            <v>Grid-DG-Batt.</v>
          </cell>
          <cell r="H359" t="str">
            <v>NOK</v>
          </cell>
          <cell r="I359" t="str">
            <v>NO</v>
          </cell>
          <cell r="J359" t="str">
            <v>NO</v>
          </cell>
          <cell r="K359" t="str">
            <v>SILVER</v>
          </cell>
          <cell r="L359" t="str">
            <v>SUBURBAN</v>
          </cell>
          <cell r="M359">
            <v>0</v>
          </cell>
          <cell r="N359" t="str">
            <v>LOME OUEST1</v>
          </cell>
        </row>
        <row r="360">
          <cell r="A360" t="str">
            <v>DANTCHO</v>
          </cell>
          <cell r="B360">
            <v>43907</v>
          </cell>
          <cell r="C360" t="str">
            <v>CEN-086</v>
          </cell>
          <cell r="D360" t="str">
            <v>CENTRALE</v>
          </cell>
          <cell r="E360" t="str">
            <v>TCHAMBA</v>
          </cell>
          <cell r="F360" t="str">
            <v>FH</v>
          </cell>
          <cell r="G360" t="str">
            <v>Grid-DG-Batt.</v>
          </cell>
          <cell r="H360" t="str">
            <v>OK</v>
          </cell>
          <cell r="I360" t="str">
            <v>NO</v>
          </cell>
          <cell r="J360" t="str">
            <v>NO</v>
          </cell>
          <cell r="K360" t="str">
            <v>BRONZE</v>
          </cell>
          <cell r="L360" t="str">
            <v>rural</v>
          </cell>
          <cell r="M360" t="str">
            <v>70996740</v>
          </cell>
          <cell r="N360" t="str">
            <v>TCHAMBA</v>
          </cell>
        </row>
        <row r="361">
          <cell r="A361" t="str">
            <v>DANYI</v>
          </cell>
          <cell r="B361"/>
          <cell r="C361" t="str">
            <v>PLA-062</v>
          </cell>
          <cell r="D361" t="str">
            <v>MARITIME</v>
          </cell>
          <cell r="E361" t="str">
            <v>KPALIME</v>
          </cell>
          <cell r="F361" t="str">
            <v>FH</v>
          </cell>
          <cell r="G361" t="str">
            <v>Grid-DG-Batt.</v>
          </cell>
          <cell r="H361" t="str">
            <v>NOK</v>
          </cell>
          <cell r="I361" t="str">
            <v>NO</v>
          </cell>
          <cell r="J361" t="str">
            <v>YES</v>
          </cell>
          <cell r="K361" t="str">
            <v>SILVER</v>
          </cell>
          <cell r="L361" t="str">
            <v>SubUrbain</v>
          </cell>
          <cell r="M361" t="str">
            <v>70996741</v>
          </cell>
          <cell r="N361" t="str">
            <v>KPALIME</v>
          </cell>
        </row>
        <row r="362">
          <cell r="A362" t="str">
            <v>DANYI-DZOGBEGAN</v>
          </cell>
          <cell r="B362">
            <v>43900</v>
          </cell>
          <cell r="C362" t="str">
            <v>PLA-159</v>
          </cell>
          <cell r="D362" t="str">
            <v>MARITIME</v>
          </cell>
          <cell r="E362" t="str">
            <v>KPALIME</v>
          </cell>
          <cell r="F362" t="str">
            <v>FH</v>
          </cell>
          <cell r="G362" t="str">
            <v>Grid-DG-Batt.</v>
          </cell>
          <cell r="H362" t="str">
            <v>NOK</v>
          </cell>
          <cell r="I362" t="str">
            <v>NO</v>
          </cell>
          <cell r="J362" t="str">
            <v>NO</v>
          </cell>
          <cell r="K362" t="str">
            <v>BRONZE</v>
          </cell>
          <cell r="L362" t="str">
            <v>rural</v>
          </cell>
          <cell r="M362" t="str">
            <v>70996742</v>
          </cell>
          <cell r="N362" t="str">
            <v>KPALIME</v>
          </cell>
        </row>
        <row r="363">
          <cell r="A363" t="str">
            <v>DANYI-ELAVAGNON</v>
          </cell>
          <cell r="B363">
            <v>39612</v>
          </cell>
          <cell r="C363" t="str">
            <v>PLA-068</v>
          </cell>
          <cell r="D363" t="str">
            <v>MARITIME</v>
          </cell>
          <cell r="E363" t="str">
            <v>KPALIME</v>
          </cell>
          <cell r="F363" t="str">
            <v>FH</v>
          </cell>
          <cell r="G363" t="str">
            <v>Grid-DG-Solar-Batt.</v>
          </cell>
          <cell r="H363" t="str">
            <v>NOK</v>
          </cell>
          <cell r="I363" t="str">
            <v>NO</v>
          </cell>
          <cell r="J363" t="str">
            <v>NO</v>
          </cell>
          <cell r="K363" t="str">
            <v>BRONZE</v>
          </cell>
          <cell r="L363" t="str">
            <v>SubUrbain</v>
          </cell>
          <cell r="M363" t="str">
            <v>70996743</v>
          </cell>
          <cell r="N363" t="str">
            <v>KPALIME</v>
          </cell>
        </row>
        <row r="364">
          <cell r="A364" t="str">
            <v>DANYI-KONTA</v>
          </cell>
          <cell r="B364">
            <v>43883</v>
          </cell>
          <cell r="C364" t="str">
            <v>PLA-151</v>
          </cell>
          <cell r="D364" t="str">
            <v>PLATEAUX</v>
          </cell>
          <cell r="E364" t="str">
            <v>BADOU</v>
          </cell>
          <cell r="F364" t="str">
            <v>FH</v>
          </cell>
          <cell r="G364" t="str">
            <v>Grid-DG-Batt.</v>
          </cell>
          <cell r="H364" t="str">
            <v>NOK</v>
          </cell>
          <cell r="I364" t="str">
            <v>NO</v>
          </cell>
          <cell r="J364" t="str">
            <v>NO</v>
          </cell>
          <cell r="K364" t="str">
            <v>BRONZE</v>
          </cell>
          <cell r="L364" t="str">
            <v>rural</v>
          </cell>
          <cell r="M364" t="str">
            <v>70996744</v>
          </cell>
          <cell r="N364" t="str">
            <v>BADOU</v>
          </cell>
        </row>
        <row r="365">
          <cell r="A365" t="str">
            <v>DAOUDE</v>
          </cell>
          <cell r="B365">
            <v>38687</v>
          </cell>
          <cell r="C365" t="str">
            <v>KAR-078</v>
          </cell>
          <cell r="D365" t="str">
            <v>KARA</v>
          </cell>
          <cell r="E365" t="str">
            <v>KARA-OUEST</v>
          </cell>
          <cell r="F365" t="str">
            <v>FH</v>
          </cell>
          <cell r="G365" t="str">
            <v>DG-Solar-Batt.</v>
          </cell>
          <cell r="H365" t="str">
            <v>OK</v>
          </cell>
          <cell r="I365" t="str">
            <v>NO</v>
          </cell>
          <cell r="J365" t="str">
            <v>NO</v>
          </cell>
          <cell r="K365" t="str">
            <v>BRONZE</v>
          </cell>
          <cell r="L365" t="str">
            <v>rural</v>
          </cell>
          <cell r="M365" t="str">
            <v>70996745</v>
          </cell>
          <cell r="N365" t="str">
            <v>KARA OUEST</v>
          </cell>
        </row>
        <row r="366">
          <cell r="A366" t="str">
            <v>DAPAONG</v>
          </cell>
          <cell r="B366"/>
          <cell r="C366" t="str">
            <v>SAV-002</v>
          </cell>
          <cell r="D366" t="str">
            <v>SAVANES</v>
          </cell>
          <cell r="E366" t="str">
            <v>DAPAONG 1</v>
          </cell>
          <cell r="F366" t="str">
            <v>FO</v>
          </cell>
          <cell r="G366" t="str">
            <v>Grid-DG-Batt.</v>
          </cell>
          <cell r="H366" t="str">
            <v>OK</v>
          </cell>
          <cell r="I366" t="str">
            <v>NO</v>
          </cell>
          <cell r="J366" t="str">
            <v>YES</v>
          </cell>
          <cell r="K366" t="str">
            <v>GOLD</v>
          </cell>
          <cell r="L366" t="str">
            <v>Urbain</v>
          </cell>
          <cell r="M366" t="str">
            <v>70996746</v>
          </cell>
          <cell r="N366" t="str">
            <v>DAPAONG</v>
          </cell>
        </row>
        <row r="367">
          <cell r="A367" t="str">
            <v>DAPAONG-AKASSOM</v>
          </cell>
          <cell r="B367">
            <v>45205</v>
          </cell>
          <cell r="C367" t="str">
            <v>SAV-111</v>
          </cell>
          <cell r="D367" t="str">
            <v>SAVANES</v>
          </cell>
          <cell r="E367" t="str">
            <v>DAPAONG 1</v>
          </cell>
          <cell r="F367" t="str">
            <v>FH</v>
          </cell>
          <cell r="G367" t="str">
            <v>Grid-DG-Batt.</v>
          </cell>
          <cell r="H367" t="str">
            <v>OK</v>
          </cell>
          <cell r="I367" t="str">
            <v>NO</v>
          </cell>
          <cell r="J367" t="str">
            <v>NO</v>
          </cell>
          <cell r="K367" t="str">
            <v>SILVER</v>
          </cell>
          <cell r="L367" t="str">
            <v>RURAL</v>
          </cell>
          <cell r="M367">
            <v>0</v>
          </cell>
          <cell r="N367" t="str">
            <v>DAPAONG</v>
          </cell>
        </row>
        <row r="368">
          <cell r="A368" t="str">
            <v>DAPAONG-CITE</v>
          </cell>
          <cell r="B368">
            <v>44653</v>
          </cell>
          <cell r="C368" t="str">
            <v>SAV-095</v>
          </cell>
          <cell r="D368" t="str">
            <v>SAVANES</v>
          </cell>
          <cell r="E368" t="str">
            <v>DAPAONG 1</v>
          </cell>
          <cell r="F368" t="str">
            <v>FH</v>
          </cell>
          <cell r="G368" t="str">
            <v>Grid-DG-Batt.</v>
          </cell>
          <cell r="H368" t="str">
            <v>OK</v>
          </cell>
          <cell r="I368" t="str">
            <v>NO</v>
          </cell>
          <cell r="J368" t="str">
            <v>YES</v>
          </cell>
          <cell r="K368" t="str">
            <v>GOLD</v>
          </cell>
          <cell r="L368" t="str">
            <v>Urbain</v>
          </cell>
          <cell r="M368" t="str">
            <v>70996467</v>
          </cell>
          <cell r="N368" t="str">
            <v>DAPAONG</v>
          </cell>
        </row>
        <row r="369">
          <cell r="A369" t="str">
            <v>DAPAONG-COLLINE</v>
          </cell>
          <cell r="B369"/>
          <cell r="C369" t="str">
            <v>SAV-003</v>
          </cell>
          <cell r="D369" t="str">
            <v>SAVANES</v>
          </cell>
          <cell r="E369" t="str">
            <v>DAPAONG 1</v>
          </cell>
          <cell r="F369" t="str">
            <v>FH</v>
          </cell>
          <cell r="G369" t="str">
            <v>Grid-DG-Batt.</v>
          </cell>
          <cell r="H369" t="str">
            <v>OK</v>
          </cell>
          <cell r="I369" t="str">
            <v>NO</v>
          </cell>
          <cell r="J369" t="str">
            <v>NO</v>
          </cell>
          <cell r="K369" t="str">
            <v>PLATINUM</v>
          </cell>
          <cell r="L369" t="str">
            <v>Urbain</v>
          </cell>
          <cell r="M369" t="str">
            <v>70996747</v>
          </cell>
          <cell r="N369" t="str">
            <v>DAPAONG</v>
          </cell>
        </row>
        <row r="370">
          <cell r="A370" t="str">
            <v>DAPAONG-CRETFP</v>
          </cell>
          <cell r="B370">
            <v>45185</v>
          </cell>
          <cell r="C370" t="str">
            <v>SAV-112</v>
          </cell>
          <cell r="D370" t="str">
            <v>SAVANES</v>
          </cell>
          <cell r="E370" t="str">
            <v>DAPAONG 1</v>
          </cell>
          <cell r="F370" t="str">
            <v>FH</v>
          </cell>
          <cell r="G370" t="str">
            <v>Grid-DG-Batt.</v>
          </cell>
          <cell r="H370" t="str">
            <v>OK</v>
          </cell>
          <cell r="I370" t="str">
            <v>NO</v>
          </cell>
          <cell r="J370" t="str">
            <v>NO</v>
          </cell>
          <cell r="K370" t="str">
            <v>GOLD</v>
          </cell>
          <cell r="L370" t="str">
            <v>Urbain</v>
          </cell>
          <cell r="M370">
            <v>0</v>
          </cell>
          <cell r="N370" t="str">
            <v>DAPAONG</v>
          </cell>
        </row>
        <row r="371">
          <cell r="A371" t="str">
            <v>DAPAONG-KOMBOLOAGA</v>
          </cell>
          <cell r="B371">
            <v>43867</v>
          </cell>
          <cell r="C371" t="str">
            <v>SAV-071</v>
          </cell>
          <cell r="D371" t="str">
            <v>SAVANES</v>
          </cell>
          <cell r="E371" t="str">
            <v>DAPAONG 1</v>
          </cell>
          <cell r="F371" t="str">
            <v>FH</v>
          </cell>
          <cell r="G371" t="str">
            <v>Grid-DG-Batt.</v>
          </cell>
          <cell r="H371" t="str">
            <v>OK</v>
          </cell>
          <cell r="I371" t="str">
            <v>NO</v>
          </cell>
          <cell r="J371" t="str">
            <v>NO</v>
          </cell>
          <cell r="K371" t="str">
            <v>GOLD</v>
          </cell>
          <cell r="L371" t="str">
            <v>Urbain</v>
          </cell>
          <cell r="M371" t="str">
            <v>70996748</v>
          </cell>
          <cell r="N371" t="str">
            <v>DAPAONG</v>
          </cell>
        </row>
        <row r="372">
          <cell r="A372" t="str">
            <v>DAPAONG-LAMIREL</v>
          </cell>
          <cell r="B372">
            <v>40148</v>
          </cell>
          <cell r="C372" t="str">
            <v>SAV-004</v>
          </cell>
          <cell r="D372" t="str">
            <v>SAVANES</v>
          </cell>
          <cell r="E372" t="str">
            <v>DAPAONG 1</v>
          </cell>
          <cell r="F372" t="str">
            <v>FH</v>
          </cell>
          <cell r="G372" t="str">
            <v>Grid-DG-Batt.</v>
          </cell>
          <cell r="H372" t="str">
            <v>OK</v>
          </cell>
          <cell r="I372" t="str">
            <v>NO</v>
          </cell>
          <cell r="J372" t="str">
            <v>NO</v>
          </cell>
          <cell r="K372" t="str">
            <v>GOLD</v>
          </cell>
          <cell r="L372" t="str">
            <v>Urbain</v>
          </cell>
          <cell r="M372" t="str">
            <v>70996749</v>
          </cell>
          <cell r="N372" t="str">
            <v>DAPAONG</v>
          </cell>
        </row>
        <row r="373">
          <cell r="A373" t="str">
            <v>DAPAONGLT-MOOV</v>
          </cell>
          <cell r="B373">
            <v>45179</v>
          </cell>
          <cell r="C373" t="str">
            <v>SAV-113</v>
          </cell>
          <cell r="D373" t="str">
            <v>SAVANES</v>
          </cell>
          <cell r="E373" t="str">
            <v>DAPAONG 1</v>
          </cell>
          <cell r="F373" t="str">
            <v>FTTM</v>
          </cell>
          <cell r="G373" t="str">
            <v>Grid-DG-Batt.</v>
          </cell>
          <cell r="H373" t="str">
            <v>NOK</v>
          </cell>
          <cell r="I373" t="str">
            <v>NO</v>
          </cell>
          <cell r="J373" t="str">
            <v>NO</v>
          </cell>
          <cell r="K373" t="str">
            <v>SILVER</v>
          </cell>
          <cell r="L373" t="str">
            <v>Urbain</v>
          </cell>
          <cell r="M373">
            <v>0</v>
          </cell>
          <cell r="N373" t="str">
            <v>DAPAONG</v>
          </cell>
        </row>
        <row r="374">
          <cell r="A374" t="str">
            <v>DAPAONG-NATBAGOU</v>
          </cell>
          <cell r="B374">
            <v>45097</v>
          </cell>
          <cell r="C374" t="str">
            <v>SAV-100</v>
          </cell>
          <cell r="D374" t="str">
            <v>SAVANES</v>
          </cell>
          <cell r="E374" t="str">
            <v>DAPAONG 1</v>
          </cell>
          <cell r="F374" t="str">
            <v>FH</v>
          </cell>
          <cell r="G374" t="str">
            <v>Grid-DG-Batt.</v>
          </cell>
          <cell r="H374" t="str">
            <v>OK</v>
          </cell>
          <cell r="I374" t="str">
            <v>NO</v>
          </cell>
          <cell r="J374" t="str">
            <v>NO</v>
          </cell>
          <cell r="K374" t="str">
            <v>GOLD</v>
          </cell>
          <cell r="L374" t="str">
            <v>SubUrbain</v>
          </cell>
          <cell r="M374">
            <v>70997369</v>
          </cell>
          <cell r="N374" t="str">
            <v>DAPAONG</v>
          </cell>
        </row>
        <row r="375">
          <cell r="A375" t="str">
            <v>DAPAONG-PRO-MOOV</v>
          </cell>
          <cell r="B375">
            <v>44548</v>
          </cell>
          <cell r="C375" t="str">
            <v>SAV-090</v>
          </cell>
          <cell r="D375" t="str">
            <v>SAVANES</v>
          </cell>
          <cell r="E375" t="str">
            <v>DAPAONG 1</v>
          </cell>
          <cell r="F375" t="str">
            <v>FH</v>
          </cell>
          <cell r="G375" t="str">
            <v>Grid-DG-Batt.</v>
          </cell>
          <cell r="H375" t="str">
            <v>OK</v>
          </cell>
          <cell r="I375" t="str">
            <v>NO</v>
          </cell>
          <cell r="J375" t="str">
            <v>YES</v>
          </cell>
          <cell r="K375" t="str">
            <v>GOLD</v>
          </cell>
          <cell r="L375" t="str">
            <v>SubUrbain</v>
          </cell>
          <cell r="M375">
            <v>0</v>
          </cell>
          <cell r="N375" t="str">
            <v>DAPAONG</v>
          </cell>
        </row>
        <row r="376">
          <cell r="A376" t="str">
            <v>DAPAONG-TANTIEGOU</v>
          </cell>
          <cell r="B376">
            <v>45185</v>
          </cell>
          <cell r="C376" t="str">
            <v>SAV-114</v>
          </cell>
          <cell r="D376" t="str">
            <v>SAVANES</v>
          </cell>
          <cell r="E376" t="str">
            <v>DAPAONG 1</v>
          </cell>
          <cell r="F376" t="str">
            <v>FH</v>
          </cell>
          <cell r="G376" t="str">
            <v>Grid-DG-Batt.</v>
          </cell>
          <cell r="H376" t="str">
            <v>OK</v>
          </cell>
          <cell r="I376" t="str">
            <v>NO</v>
          </cell>
          <cell r="J376" t="str">
            <v>NO</v>
          </cell>
          <cell r="K376" t="str">
            <v>SILVER</v>
          </cell>
          <cell r="L376" t="str">
            <v>SubUrbain</v>
          </cell>
          <cell r="M376">
            <v>0</v>
          </cell>
          <cell r="N376" t="str">
            <v>DAPAONG</v>
          </cell>
        </row>
        <row r="377">
          <cell r="A377" t="str">
            <v>DAPAONG-ZONGO</v>
          </cell>
          <cell r="B377">
            <v>40247</v>
          </cell>
          <cell r="C377" t="str">
            <v>SAV-005</v>
          </cell>
          <cell r="D377" t="str">
            <v>SAVANES</v>
          </cell>
          <cell r="E377" t="str">
            <v>DAPAONG 1</v>
          </cell>
          <cell r="F377" t="str">
            <v>FH</v>
          </cell>
          <cell r="G377" t="str">
            <v>Grid-DG-Batt.</v>
          </cell>
          <cell r="H377" t="str">
            <v>NOK</v>
          </cell>
          <cell r="I377" t="str">
            <v>NO</v>
          </cell>
          <cell r="J377" t="str">
            <v>YES</v>
          </cell>
          <cell r="K377" t="str">
            <v>SILVER</v>
          </cell>
          <cell r="L377" t="str">
            <v>Urbain</v>
          </cell>
          <cell r="M377" t="str">
            <v>70996750</v>
          </cell>
          <cell r="N377" t="str">
            <v>DAPAONG</v>
          </cell>
        </row>
        <row r="378">
          <cell r="A378" t="str">
            <v>DASSAGBA</v>
          </cell>
          <cell r="B378">
            <v>44708</v>
          </cell>
          <cell r="C378" t="str">
            <v>PLA-202</v>
          </cell>
          <cell r="D378" t="str">
            <v>PLATEAUX</v>
          </cell>
          <cell r="E378" t="str">
            <v>ATAKPAME-EST</v>
          </cell>
          <cell r="F378" t="str">
            <v>FH</v>
          </cell>
          <cell r="G378" t="str">
            <v>DG-Solar-Batt.</v>
          </cell>
          <cell r="H378" t="str">
            <v>OK</v>
          </cell>
          <cell r="I378" t="str">
            <v>NO</v>
          </cell>
          <cell r="J378" t="str">
            <v>YES</v>
          </cell>
          <cell r="K378" t="str">
            <v>BRONZE</v>
          </cell>
          <cell r="L378" t="str">
            <v>SubUrbain</v>
          </cell>
          <cell r="M378" t="str">
            <v>70996469</v>
          </cell>
          <cell r="N378" t="str">
            <v>ATAKPAME</v>
          </cell>
        </row>
        <row r="379">
          <cell r="A379" t="str">
            <v>DATCHA</v>
          </cell>
          <cell r="B379">
            <v>40247</v>
          </cell>
          <cell r="C379" t="str">
            <v>PLA-010</v>
          </cell>
          <cell r="D379" t="str">
            <v>PLATEAUX</v>
          </cell>
          <cell r="E379" t="str">
            <v>ATAKPAME-EST</v>
          </cell>
          <cell r="F379" t="str">
            <v>FH</v>
          </cell>
          <cell r="G379" t="str">
            <v>Grid-DG-Batt.</v>
          </cell>
          <cell r="H379" t="str">
            <v>NOK</v>
          </cell>
          <cell r="I379" t="str">
            <v>NO</v>
          </cell>
          <cell r="J379" t="str">
            <v>NO</v>
          </cell>
          <cell r="K379" t="str">
            <v>SILVER</v>
          </cell>
          <cell r="L379" t="str">
            <v>SubUrbain</v>
          </cell>
          <cell r="M379" t="str">
            <v>70996751</v>
          </cell>
          <cell r="N379" t="str">
            <v>ATAKPAME</v>
          </cell>
        </row>
        <row r="380">
          <cell r="A380" t="str">
            <v>DAVIE</v>
          </cell>
          <cell r="B380">
            <v>40148</v>
          </cell>
          <cell r="C380" t="str">
            <v>MAR-005</v>
          </cell>
          <cell r="D380" t="str">
            <v>MARITIME</v>
          </cell>
          <cell r="E380" t="str">
            <v>TSEVIE</v>
          </cell>
          <cell r="F380" t="str">
            <v>FH</v>
          </cell>
          <cell r="G380" t="str">
            <v>Grid-DG-Batt.</v>
          </cell>
          <cell r="H380" t="str">
            <v>OK</v>
          </cell>
          <cell r="I380" t="str">
            <v>NO</v>
          </cell>
          <cell r="J380" t="str">
            <v>NO</v>
          </cell>
          <cell r="K380" t="str">
            <v>GOLD</v>
          </cell>
          <cell r="L380" t="str">
            <v>SubUrbain</v>
          </cell>
          <cell r="M380" t="str">
            <v>70996752</v>
          </cell>
          <cell r="N380" t="str">
            <v>TSEVIE</v>
          </cell>
        </row>
        <row r="381">
          <cell r="A381" t="str">
            <v>DAVIE-MOOV</v>
          </cell>
          <cell r="B381"/>
          <cell r="C381" t="str">
            <v>MAR-006</v>
          </cell>
          <cell r="D381" t="str">
            <v>MARITIME</v>
          </cell>
          <cell r="E381" t="str">
            <v>TSEVIE</v>
          </cell>
          <cell r="F381" t="str">
            <v>FH</v>
          </cell>
          <cell r="G381" t="str">
            <v>Grid-DG-Batt.</v>
          </cell>
          <cell r="H381" t="str">
            <v>OK</v>
          </cell>
          <cell r="I381" t="str">
            <v>NO</v>
          </cell>
          <cell r="J381" t="str">
            <v>NO</v>
          </cell>
          <cell r="K381" t="str">
            <v>SILVER</v>
          </cell>
          <cell r="L381" t="str">
            <v>SubUrbain</v>
          </cell>
          <cell r="M381">
            <v>70997331</v>
          </cell>
          <cell r="N381" t="str">
            <v>TSEVIE</v>
          </cell>
        </row>
        <row r="382">
          <cell r="A382" t="str">
            <v>DAVIE-VILLAGE</v>
          </cell>
          <cell r="B382">
            <v>45113</v>
          </cell>
          <cell r="C382" t="str">
            <v>MAR-166</v>
          </cell>
          <cell r="D382" t="str">
            <v>MARITIME</v>
          </cell>
          <cell r="E382" t="str">
            <v>TSEVIE</v>
          </cell>
          <cell r="F382" t="str">
            <v>FH</v>
          </cell>
          <cell r="G382" t="str">
            <v>Grid-DG-Batt.</v>
          </cell>
          <cell r="H382" t="str">
            <v>OK</v>
          </cell>
          <cell r="I382" t="str">
            <v>NO</v>
          </cell>
          <cell r="J382" t="str">
            <v>YES</v>
          </cell>
          <cell r="K382" t="str">
            <v>SILVER</v>
          </cell>
          <cell r="L382" t="str">
            <v>SubUrbain</v>
          </cell>
          <cell r="M382">
            <v>70997331</v>
          </cell>
          <cell r="N382" t="str">
            <v>TSEVIE</v>
          </cell>
        </row>
        <row r="383">
          <cell r="A383" t="str">
            <v>DECON</v>
          </cell>
          <cell r="B383">
            <v>40406</v>
          </cell>
          <cell r="C383" t="str">
            <v>LOM-151</v>
          </cell>
          <cell r="D383" t="str">
            <v>LOME</v>
          </cell>
          <cell r="E383" t="str">
            <v>LOME-SUD</v>
          </cell>
          <cell r="F383" t="str">
            <v>FO</v>
          </cell>
          <cell r="G383" t="str">
            <v>Grid-Batt.</v>
          </cell>
          <cell r="H383" t="str">
            <v>N/A</v>
          </cell>
          <cell r="I383" t="str">
            <v>YES</v>
          </cell>
          <cell r="J383" t="str">
            <v>YES</v>
          </cell>
          <cell r="K383" t="str">
            <v>GOLD</v>
          </cell>
          <cell r="L383" t="str">
            <v>Urbain</v>
          </cell>
          <cell r="M383" t="str">
            <v>70996754</v>
          </cell>
          <cell r="N383" t="str">
            <v>LOME SUD</v>
          </cell>
        </row>
        <row r="384">
          <cell r="A384" t="str">
            <v>DEFALE-HAUT</v>
          </cell>
          <cell r="B384">
            <v>41824</v>
          </cell>
          <cell r="C384" t="str">
            <v>KAR-027</v>
          </cell>
          <cell r="D384" t="str">
            <v>KARA</v>
          </cell>
          <cell r="E384" t="str">
            <v>KANTE</v>
          </cell>
          <cell r="F384" t="str">
            <v>FH</v>
          </cell>
          <cell r="G384" t="str">
            <v>DG-Solar-Batt.</v>
          </cell>
          <cell r="H384" t="str">
            <v>OK</v>
          </cell>
          <cell r="I384" t="str">
            <v>NO</v>
          </cell>
          <cell r="J384" t="str">
            <v>NO</v>
          </cell>
          <cell r="K384" t="str">
            <v>SILVER</v>
          </cell>
          <cell r="L384" t="str">
            <v>rural</v>
          </cell>
          <cell r="M384" t="str">
            <v>70996755</v>
          </cell>
          <cell r="N384" t="str">
            <v>KANTE</v>
          </cell>
        </row>
        <row r="385">
          <cell r="A385" t="str">
            <v>DEMAKPOE2</v>
          </cell>
          <cell r="B385">
            <v>40802</v>
          </cell>
          <cell r="C385" t="str">
            <v>LOM-028</v>
          </cell>
          <cell r="D385" t="str">
            <v>LOME</v>
          </cell>
          <cell r="E385" t="str">
            <v>LOME-OUEST 1</v>
          </cell>
          <cell r="F385" t="str">
            <v>FO</v>
          </cell>
          <cell r="G385" t="str">
            <v>Grid-DG-Batt.</v>
          </cell>
          <cell r="H385" t="str">
            <v>OK</v>
          </cell>
          <cell r="I385" t="str">
            <v>NO</v>
          </cell>
          <cell r="J385" t="str">
            <v>NO</v>
          </cell>
          <cell r="K385" t="str">
            <v>GOLD</v>
          </cell>
          <cell r="L385" t="str">
            <v>Urbain</v>
          </cell>
          <cell r="M385" t="str">
            <v>70996756</v>
          </cell>
          <cell r="N385" t="str">
            <v>LOME OUEST1</v>
          </cell>
        </row>
        <row r="386">
          <cell r="A386" t="str">
            <v>DEMAKPOE3</v>
          </cell>
          <cell r="B386">
            <v>40254</v>
          </cell>
          <cell r="C386" t="str">
            <v>LOM-029</v>
          </cell>
          <cell r="D386" t="str">
            <v>LOME</v>
          </cell>
          <cell r="E386" t="str">
            <v>LOME-OUEST 1</v>
          </cell>
          <cell r="F386" t="str">
            <v>FO</v>
          </cell>
          <cell r="G386" t="str">
            <v>Grid-DG-Batt.</v>
          </cell>
          <cell r="H386" t="str">
            <v>OK</v>
          </cell>
          <cell r="I386" t="str">
            <v>NO</v>
          </cell>
          <cell r="J386" t="str">
            <v>NO</v>
          </cell>
          <cell r="K386" t="str">
            <v>SILVER</v>
          </cell>
          <cell r="L386" t="str">
            <v>Urbain</v>
          </cell>
          <cell r="M386" t="str">
            <v>70996757</v>
          </cell>
          <cell r="N386" t="str">
            <v>LOME OUEST1</v>
          </cell>
        </row>
        <row r="387">
          <cell r="A387" t="str">
            <v>DEMAKPOE4</v>
          </cell>
          <cell r="B387">
            <v>43265</v>
          </cell>
          <cell r="C387" t="str">
            <v>LOM-213</v>
          </cell>
          <cell r="D387" t="str">
            <v>LOME</v>
          </cell>
          <cell r="E387" t="str">
            <v>LOME-OUEST 1</v>
          </cell>
          <cell r="F387" t="str">
            <v>FH</v>
          </cell>
          <cell r="G387" t="str">
            <v>Grid-Batt.</v>
          </cell>
          <cell r="H387" t="str">
            <v>N/A</v>
          </cell>
          <cell r="I387" t="str">
            <v>YES</v>
          </cell>
          <cell r="J387" t="str">
            <v>NO</v>
          </cell>
          <cell r="K387" t="str">
            <v>BRONZE</v>
          </cell>
          <cell r="L387" t="str">
            <v>Urbain</v>
          </cell>
          <cell r="M387">
            <v>0</v>
          </cell>
          <cell r="N387" t="str">
            <v>LOME OUEST1</v>
          </cell>
        </row>
        <row r="388">
          <cell r="A388" t="str">
            <v>DEVE</v>
          </cell>
          <cell r="B388">
            <v>42156</v>
          </cell>
          <cell r="C388" t="str">
            <v>PLA-056</v>
          </cell>
          <cell r="D388" t="str">
            <v>PLATEAUX</v>
          </cell>
          <cell r="E388" t="str">
            <v>NOTSE</v>
          </cell>
          <cell r="F388" t="str">
            <v>FH</v>
          </cell>
          <cell r="G388" t="str">
            <v>DG-Solar-Batt.</v>
          </cell>
          <cell r="H388" t="str">
            <v>NOK</v>
          </cell>
          <cell r="I388" t="str">
            <v>NO</v>
          </cell>
          <cell r="J388" t="str">
            <v>NO</v>
          </cell>
          <cell r="K388" t="str">
            <v>BRONZE</v>
          </cell>
          <cell r="L388" t="str">
            <v>rural</v>
          </cell>
          <cell r="M388" t="str">
            <v>70996758</v>
          </cell>
          <cell r="N388" t="str">
            <v>NOTSE</v>
          </cell>
        </row>
        <row r="389">
          <cell r="A389" t="str">
            <v>DEVEGO</v>
          </cell>
          <cell r="B389">
            <v>44807</v>
          </cell>
          <cell r="C389" t="str">
            <v>MAR-143</v>
          </cell>
          <cell r="D389" t="str">
            <v>LOME</v>
          </cell>
          <cell r="E389" t="str">
            <v>LOME-EST</v>
          </cell>
          <cell r="F389" t="str">
            <v>FH</v>
          </cell>
          <cell r="G389" t="str">
            <v>Grid-DG-Batt.</v>
          </cell>
          <cell r="H389" t="str">
            <v>OK</v>
          </cell>
          <cell r="I389" t="str">
            <v>NO</v>
          </cell>
          <cell r="J389" t="str">
            <v>NO</v>
          </cell>
          <cell r="K389" t="str">
            <v>SILVER</v>
          </cell>
          <cell r="L389" t="str">
            <v>rural</v>
          </cell>
          <cell r="M389">
            <v>0</v>
          </cell>
          <cell r="N389" t="str">
            <v>LOME EST</v>
          </cell>
        </row>
        <row r="390">
          <cell r="A390" t="str">
            <v>DEVEGO2</v>
          </cell>
          <cell r="B390">
            <v>44091</v>
          </cell>
          <cell r="C390" t="str">
            <v>MAR-093</v>
          </cell>
          <cell r="D390" t="str">
            <v>LOME</v>
          </cell>
          <cell r="E390" t="str">
            <v>LOME-EST</v>
          </cell>
          <cell r="F390" t="str">
            <v>FH</v>
          </cell>
          <cell r="G390" t="str">
            <v>Grid-DG-Batt.</v>
          </cell>
          <cell r="H390" t="str">
            <v>OK</v>
          </cell>
          <cell r="I390" t="str">
            <v>NO</v>
          </cell>
          <cell r="J390" t="str">
            <v>YES</v>
          </cell>
          <cell r="K390" t="str">
            <v>SILVER</v>
          </cell>
          <cell r="L390" t="str">
            <v>SubUrbain</v>
          </cell>
          <cell r="M390" t="str">
            <v>70996759</v>
          </cell>
          <cell r="N390" t="str">
            <v>LOME EST</v>
          </cell>
        </row>
        <row r="391">
          <cell r="A391" t="str">
            <v>DEVIKINME</v>
          </cell>
          <cell r="B391">
            <v>44722</v>
          </cell>
          <cell r="C391" t="str">
            <v>LOM-335</v>
          </cell>
          <cell r="D391" t="str">
            <v>LOME</v>
          </cell>
          <cell r="E391" t="str">
            <v>LOME-EST</v>
          </cell>
          <cell r="F391" t="str">
            <v>FTTM</v>
          </cell>
          <cell r="G391" t="str">
            <v>Grid-DG-Batt.</v>
          </cell>
          <cell r="H391" t="str">
            <v>OK</v>
          </cell>
          <cell r="I391" t="str">
            <v>NO</v>
          </cell>
          <cell r="J391" t="str">
            <v>NO</v>
          </cell>
          <cell r="K391" t="str">
            <v>BRONZE</v>
          </cell>
          <cell r="L391" t="str">
            <v>SubUrbain</v>
          </cell>
          <cell r="M391">
            <v>70997327</v>
          </cell>
          <cell r="N391" t="str">
            <v>LOME EST</v>
          </cell>
        </row>
        <row r="392">
          <cell r="A392" t="str">
            <v>DICAME</v>
          </cell>
          <cell r="B392">
            <v>42563</v>
          </cell>
          <cell r="C392" t="str">
            <v>LOM-003</v>
          </cell>
          <cell r="D392" t="str">
            <v>LOME</v>
          </cell>
          <cell r="E392" t="str">
            <v>LOME-NORD</v>
          </cell>
          <cell r="F392" t="str">
            <v>FO</v>
          </cell>
          <cell r="G392" t="str">
            <v>Grid-DG-Batt.</v>
          </cell>
          <cell r="H392" t="str">
            <v>OK</v>
          </cell>
          <cell r="I392" t="str">
            <v>NO</v>
          </cell>
          <cell r="J392" t="str">
            <v>NO</v>
          </cell>
          <cell r="K392" t="str">
            <v>GOLD</v>
          </cell>
          <cell r="L392" t="str">
            <v>Urbain</v>
          </cell>
          <cell r="M392" t="str">
            <v>70996760</v>
          </cell>
          <cell r="N392" t="str">
            <v>LOME NORD</v>
          </cell>
        </row>
        <row r="393">
          <cell r="A393" t="str">
            <v>DIGUENGUE</v>
          </cell>
          <cell r="B393">
            <v>42156</v>
          </cell>
          <cell r="C393" t="str">
            <v>CEN-071</v>
          </cell>
          <cell r="D393" t="str">
            <v>CENTRALE</v>
          </cell>
          <cell r="E393" t="str">
            <v>BLITTA</v>
          </cell>
          <cell r="F393" t="str">
            <v>FH</v>
          </cell>
          <cell r="G393" t="str">
            <v>DG-Solar-Batt.</v>
          </cell>
          <cell r="H393" t="str">
            <v>NOK</v>
          </cell>
          <cell r="I393" t="str">
            <v>NO</v>
          </cell>
          <cell r="J393" t="str">
            <v>NO</v>
          </cell>
          <cell r="K393" t="str">
            <v>BRONZE</v>
          </cell>
          <cell r="L393" t="str">
            <v>rural</v>
          </cell>
          <cell r="M393" t="str">
            <v>70996762</v>
          </cell>
          <cell r="N393" t="str">
            <v>BLITTA</v>
          </cell>
        </row>
        <row r="394">
          <cell r="A394" t="str">
            <v>DIMORE</v>
          </cell>
          <cell r="B394">
            <v>38687</v>
          </cell>
          <cell r="C394" t="str">
            <v>KAR-090</v>
          </cell>
          <cell r="D394" t="str">
            <v>KARA</v>
          </cell>
          <cell r="E394" t="str">
            <v>KABOU</v>
          </cell>
          <cell r="F394" t="str">
            <v>FH</v>
          </cell>
          <cell r="G394" t="str">
            <v>Grid-DG-Solar-Batt.</v>
          </cell>
          <cell r="H394" t="str">
            <v>OK</v>
          </cell>
          <cell r="I394" t="str">
            <v>NO</v>
          </cell>
          <cell r="J394" t="str">
            <v>NO</v>
          </cell>
          <cell r="K394" t="str">
            <v>BRONZE</v>
          </cell>
          <cell r="L394" t="str">
            <v>rural</v>
          </cell>
          <cell r="M394" t="str">
            <v>70996763</v>
          </cell>
          <cell r="N394" t="str">
            <v>KABOU</v>
          </cell>
        </row>
        <row r="395">
          <cell r="A395" t="str">
            <v>DJABOKOU</v>
          </cell>
          <cell r="B395">
            <v>45173</v>
          </cell>
          <cell r="C395" t="str">
            <v>KAR-162</v>
          </cell>
          <cell r="D395" t="str">
            <v>SAVANES</v>
          </cell>
          <cell r="E395" t="str">
            <v>MANGO</v>
          </cell>
          <cell r="F395" t="str">
            <v>FH</v>
          </cell>
          <cell r="G395" t="str">
            <v>DG-Solar-Batt.</v>
          </cell>
          <cell r="H395" t="str">
            <v>OK</v>
          </cell>
          <cell r="I395" t="str">
            <v>NO</v>
          </cell>
          <cell r="J395" t="str">
            <v>NO</v>
          </cell>
          <cell r="K395" t="str">
            <v>BRONZE</v>
          </cell>
          <cell r="L395" t="str">
            <v>rural</v>
          </cell>
          <cell r="M395">
            <v>0</v>
          </cell>
          <cell r="N395" t="str">
            <v>MANGO</v>
          </cell>
        </row>
        <row r="396">
          <cell r="A396" t="str">
            <v>DJADOUKOPE</v>
          </cell>
          <cell r="B396">
            <v>43983</v>
          </cell>
          <cell r="C396" t="str">
            <v>LOM-242</v>
          </cell>
          <cell r="D396" t="str">
            <v>LOME</v>
          </cell>
          <cell r="E396" t="str">
            <v>LOME-NORD</v>
          </cell>
          <cell r="F396" t="str">
            <v>FH</v>
          </cell>
          <cell r="G396" t="str">
            <v>Grid-DG-Batt.</v>
          </cell>
          <cell r="H396" t="str">
            <v>OK</v>
          </cell>
          <cell r="I396" t="str">
            <v>NO</v>
          </cell>
          <cell r="J396" t="str">
            <v>NO</v>
          </cell>
          <cell r="K396" t="str">
            <v>GOLD</v>
          </cell>
          <cell r="L396" t="str">
            <v>SubUrbain</v>
          </cell>
          <cell r="M396" t="str">
            <v>70996764</v>
          </cell>
          <cell r="N396" t="str">
            <v>LOME NORD</v>
          </cell>
        </row>
        <row r="397">
          <cell r="A397" t="str">
            <v>DJAGBLE</v>
          </cell>
          <cell r="B397">
            <v>40791</v>
          </cell>
          <cell r="C397" t="str">
            <v>LOM-233</v>
          </cell>
          <cell r="D397" t="str">
            <v>LOME</v>
          </cell>
          <cell r="E397" t="str">
            <v>LOME-CENTRE</v>
          </cell>
          <cell r="F397" t="str">
            <v>FH</v>
          </cell>
          <cell r="G397" t="str">
            <v>Grid-DG-Batt.</v>
          </cell>
          <cell r="H397" t="str">
            <v>OK</v>
          </cell>
          <cell r="I397" t="str">
            <v>NO</v>
          </cell>
          <cell r="J397" t="str">
            <v>NO</v>
          </cell>
          <cell r="K397" t="str">
            <v>GOLD</v>
          </cell>
          <cell r="L397" t="str">
            <v>SubUrbain</v>
          </cell>
          <cell r="M397" t="str">
            <v>70996765</v>
          </cell>
          <cell r="N397" t="str">
            <v>LOME CENTRE</v>
          </cell>
        </row>
        <row r="398">
          <cell r="A398" t="str">
            <v>DJAGBLE4</v>
          </cell>
          <cell r="B398">
            <v>45096</v>
          </cell>
          <cell r="C398" t="str">
            <v>LOM-336</v>
          </cell>
          <cell r="D398" t="str">
            <v>LOME</v>
          </cell>
          <cell r="E398" t="str">
            <v>LOME-CENTRE</v>
          </cell>
          <cell r="F398" t="str">
            <v>FH</v>
          </cell>
          <cell r="G398" t="str">
            <v>Grid-DG-Batt.</v>
          </cell>
          <cell r="H398" t="str">
            <v>OK</v>
          </cell>
          <cell r="I398" t="str">
            <v>NO</v>
          </cell>
          <cell r="J398" t="str">
            <v>NO</v>
          </cell>
          <cell r="K398" t="str">
            <v>SILVER</v>
          </cell>
          <cell r="L398" t="str">
            <v>SubUrbain</v>
          </cell>
          <cell r="M398">
            <v>0</v>
          </cell>
          <cell r="N398" t="str">
            <v>LOME CENTRE</v>
          </cell>
        </row>
        <row r="399">
          <cell r="A399" t="str">
            <v>DJAGBLE5</v>
          </cell>
          <cell r="B399">
            <v>44830</v>
          </cell>
          <cell r="C399" t="str">
            <v>LOM-337</v>
          </cell>
          <cell r="D399" t="str">
            <v>LOME</v>
          </cell>
          <cell r="E399" t="str">
            <v>LOME-CENTRE</v>
          </cell>
          <cell r="F399" t="str">
            <v>FH</v>
          </cell>
          <cell r="G399" t="str">
            <v>DG-Batt.</v>
          </cell>
          <cell r="H399" t="str">
            <v>OK</v>
          </cell>
          <cell r="I399" t="str">
            <v>NO</v>
          </cell>
          <cell r="J399" t="str">
            <v>YES</v>
          </cell>
          <cell r="K399" t="str">
            <v>GOLD</v>
          </cell>
          <cell r="L399" t="str">
            <v>SubUrbain</v>
          </cell>
          <cell r="M399" t="str">
            <v>70996507</v>
          </cell>
          <cell r="N399" t="str">
            <v>LOME CENTRE</v>
          </cell>
        </row>
        <row r="400">
          <cell r="A400" t="str">
            <v>DJAGBLE-ABOLAVE</v>
          </cell>
          <cell r="B400">
            <v>45206</v>
          </cell>
          <cell r="C400" t="str">
            <v>MAR-158</v>
          </cell>
          <cell r="D400" t="str">
            <v>LOME</v>
          </cell>
          <cell r="E400" t="str">
            <v>LOME-CENTRE</v>
          </cell>
          <cell r="F400" t="str">
            <v>FTTM</v>
          </cell>
          <cell r="G400" t="str">
            <v>Grid-DG-Batt.</v>
          </cell>
          <cell r="H400" t="str">
            <v>OK</v>
          </cell>
          <cell r="I400" t="str">
            <v>NO</v>
          </cell>
          <cell r="J400" t="str">
            <v>NO</v>
          </cell>
          <cell r="K400" t="str">
            <v>GOLD</v>
          </cell>
          <cell r="L400" t="str">
            <v>URBAN</v>
          </cell>
          <cell r="M400">
            <v>0</v>
          </cell>
          <cell r="N400" t="str">
            <v>LOME CENTRE</v>
          </cell>
        </row>
        <row r="401">
          <cell r="A401" t="str">
            <v>DJAGBLE-AGODOME</v>
          </cell>
          <cell r="B401">
            <v>43871</v>
          </cell>
          <cell r="C401" t="str">
            <v>LOM-238</v>
          </cell>
          <cell r="D401" t="str">
            <v>LOME</v>
          </cell>
          <cell r="E401" t="str">
            <v>LOME-CENTRE</v>
          </cell>
          <cell r="F401" t="str">
            <v>FH</v>
          </cell>
          <cell r="G401" t="str">
            <v>Grid-DG-Batt.</v>
          </cell>
          <cell r="H401" t="str">
            <v>OK</v>
          </cell>
          <cell r="I401" t="str">
            <v>NO</v>
          </cell>
          <cell r="J401" t="str">
            <v>NO</v>
          </cell>
          <cell r="K401" t="str">
            <v>SILVER</v>
          </cell>
          <cell r="L401" t="str">
            <v>SubUrbain</v>
          </cell>
          <cell r="M401" t="str">
            <v>70996766</v>
          </cell>
          <cell r="N401" t="str">
            <v>LOME CENTRE</v>
          </cell>
        </row>
        <row r="402">
          <cell r="A402" t="str">
            <v>DJAGBLE-PERIPHERIE</v>
          </cell>
          <cell r="B402">
            <v>44532</v>
          </cell>
          <cell r="C402" t="str">
            <v>LOM-278</v>
          </cell>
          <cell r="D402" t="str">
            <v>LOME</v>
          </cell>
          <cell r="E402" t="str">
            <v>LOME-CENTRE</v>
          </cell>
          <cell r="F402" t="str">
            <v>FH</v>
          </cell>
          <cell r="G402" t="str">
            <v>Grid-DG-Batt.</v>
          </cell>
          <cell r="H402" t="str">
            <v>OK</v>
          </cell>
          <cell r="I402" t="str">
            <v>NO</v>
          </cell>
          <cell r="J402" t="str">
            <v>YES</v>
          </cell>
          <cell r="K402" t="str">
            <v>SILVER</v>
          </cell>
          <cell r="L402" t="str">
            <v>SubUrbain</v>
          </cell>
          <cell r="M402" t="str">
            <v>70996468</v>
          </cell>
          <cell r="N402" t="str">
            <v>LOME CENTRE</v>
          </cell>
        </row>
        <row r="403">
          <cell r="A403" t="str">
            <v>DJAGBLE-ZAVADJI</v>
          </cell>
          <cell r="B403">
            <v>44108</v>
          </cell>
          <cell r="C403" t="str">
            <v>LOM-259</v>
          </cell>
          <cell r="D403" t="str">
            <v>LOME</v>
          </cell>
          <cell r="E403" t="str">
            <v>LOME-CENTRE</v>
          </cell>
          <cell r="F403" t="str">
            <v>FH</v>
          </cell>
          <cell r="G403" t="str">
            <v>Grid-DG-Batt.</v>
          </cell>
          <cell r="H403" t="str">
            <v>NOK</v>
          </cell>
          <cell r="I403" t="str">
            <v>NO</v>
          </cell>
          <cell r="J403" t="str">
            <v>NO</v>
          </cell>
          <cell r="K403" t="str">
            <v>GOLD</v>
          </cell>
          <cell r="L403" t="str">
            <v>SubUrbain</v>
          </cell>
          <cell r="M403" t="str">
            <v>70996431</v>
          </cell>
          <cell r="N403" t="str">
            <v>LOME CENTRE</v>
          </cell>
        </row>
        <row r="404">
          <cell r="A404" t="str">
            <v>DJAKPAGA-MOOV</v>
          </cell>
          <cell r="B404"/>
          <cell r="C404" t="str">
            <v>SAV-015</v>
          </cell>
          <cell r="D404" t="str">
            <v>SAVANES</v>
          </cell>
          <cell r="E404" t="str">
            <v>DAPAONG 1</v>
          </cell>
          <cell r="F404" t="str">
            <v>FH</v>
          </cell>
          <cell r="G404" t="str">
            <v>DG-Solar-Batt.</v>
          </cell>
          <cell r="H404" t="str">
            <v>NOK</v>
          </cell>
          <cell r="I404" t="str">
            <v>NO</v>
          </cell>
          <cell r="J404" t="str">
            <v>YES</v>
          </cell>
          <cell r="K404" t="str">
            <v>SILVER</v>
          </cell>
          <cell r="L404" t="str">
            <v>rural</v>
          </cell>
          <cell r="M404">
            <v>70996767</v>
          </cell>
          <cell r="N404" t="str">
            <v>DAPAONG</v>
          </cell>
        </row>
        <row r="405">
          <cell r="A405" t="str">
            <v>DJAMDE</v>
          </cell>
          <cell r="B405">
            <v>38322</v>
          </cell>
          <cell r="C405" t="str">
            <v>KAR-079</v>
          </cell>
          <cell r="D405" t="str">
            <v>KARA</v>
          </cell>
          <cell r="E405" t="str">
            <v>KARA-OUEST</v>
          </cell>
          <cell r="F405" t="str">
            <v>FO</v>
          </cell>
          <cell r="G405" t="str">
            <v>Grid-DG-Solar-Batt.</v>
          </cell>
          <cell r="H405" t="str">
            <v>NOK</v>
          </cell>
          <cell r="I405" t="str">
            <v>NO</v>
          </cell>
          <cell r="J405" t="str">
            <v>NO</v>
          </cell>
          <cell r="K405" t="str">
            <v>BRONZE</v>
          </cell>
          <cell r="L405" t="str">
            <v>rural</v>
          </cell>
          <cell r="M405" t="str">
            <v>70996768</v>
          </cell>
          <cell r="N405" t="str">
            <v>KARA OUEST</v>
          </cell>
        </row>
        <row r="406">
          <cell r="A406" t="str">
            <v>DJANGALE</v>
          </cell>
          <cell r="B406">
            <v>43781</v>
          </cell>
          <cell r="C406" t="str">
            <v>SAV-066</v>
          </cell>
          <cell r="D406" t="str">
            <v>SAVANES</v>
          </cell>
          <cell r="E406" t="str">
            <v>MANGO</v>
          </cell>
          <cell r="F406" t="str">
            <v>FH</v>
          </cell>
          <cell r="G406" t="str">
            <v>DG-Solar-Batt.</v>
          </cell>
          <cell r="H406" t="str">
            <v>OK</v>
          </cell>
          <cell r="I406" t="str">
            <v>NO</v>
          </cell>
          <cell r="J406" t="str">
            <v>NO</v>
          </cell>
          <cell r="K406" t="str">
            <v>BRONZE</v>
          </cell>
          <cell r="L406" t="str">
            <v>rural</v>
          </cell>
          <cell r="M406" t="str">
            <v>70996769</v>
          </cell>
          <cell r="N406" t="str">
            <v>MANGO</v>
          </cell>
        </row>
        <row r="407">
          <cell r="A407" t="str">
            <v>DJARKPANGA</v>
          </cell>
          <cell r="B407">
            <v>38453</v>
          </cell>
          <cell r="C407" t="str">
            <v>CEN-023</v>
          </cell>
          <cell r="D407" t="str">
            <v>KARA</v>
          </cell>
          <cell r="E407" t="str">
            <v>KABOU</v>
          </cell>
          <cell r="F407" t="str">
            <v>FH</v>
          </cell>
          <cell r="G407" t="str">
            <v>Grid-DG-Solar-Batt.</v>
          </cell>
          <cell r="H407" t="str">
            <v>OK</v>
          </cell>
          <cell r="I407" t="str">
            <v>NO</v>
          </cell>
          <cell r="J407" t="str">
            <v>YES</v>
          </cell>
          <cell r="K407" t="str">
            <v>SILVER</v>
          </cell>
          <cell r="L407" t="str">
            <v>SubUrbain</v>
          </cell>
          <cell r="M407" t="str">
            <v>70996770</v>
          </cell>
          <cell r="N407" t="str">
            <v>KABOU</v>
          </cell>
        </row>
        <row r="408">
          <cell r="A408" t="str">
            <v>DJARKPANGA-PREFECTURE</v>
          </cell>
          <cell r="B408">
            <v>43871</v>
          </cell>
          <cell r="C408" t="str">
            <v>CEN-082</v>
          </cell>
          <cell r="D408" t="str">
            <v>KARA</v>
          </cell>
          <cell r="E408" t="str">
            <v>KABOU</v>
          </cell>
          <cell r="F408" t="str">
            <v>FH</v>
          </cell>
          <cell r="G408" t="str">
            <v>Grid-DG-Batt.</v>
          </cell>
          <cell r="H408" t="str">
            <v>OK</v>
          </cell>
          <cell r="I408" t="str">
            <v>NO</v>
          </cell>
          <cell r="J408" t="str">
            <v>NO</v>
          </cell>
          <cell r="K408" t="str">
            <v>BRONZE</v>
          </cell>
          <cell r="L408" t="str">
            <v>SubUrbain</v>
          </cell>
          <cell r="M408" t="str">
            <v>70996771</v>
          </cell>
          <cell r="N408" t="str">
            <v>KABOU</v>
          </cell>
        </row>
        <row r="409">
          <cell r="A409" t="str">
            <v>DJEKLOE</v>
          </cell>
          <cell r="B409">
            <v>43564</v>
          </cell>
          <cell r="C409" t="str">
            <v>PLA-028</v>
          </cell>
          <cell r="D409" t="str">
            <v>PLATEAUX</v>
          </cell>
          <cell r="E409" t="str">
            <v>NOTSE</v>
          </cell>
          <cell r="F409" t="str">
            <v>FH</v>
          </cell>
          <cell r="G409" t="str">
            <v>DG-Batt.</v>
          </cell>
          <cell r="H409" t="str">
            <v>OK</v>
          </cell>
          <cell r="I409" t="str">
            <v>NO</v>
          </cell>
          <cell r="J409" t="str">
            <v>NO</v>
          </cell>
          <cell r="K409" t="str">
            <v>BRONZE</v>
          </cell>
          <cell r="L409" t="str">
            <v>rural</v>
          </cell>
          <cell r="M409" t="str">
            <v>70996772</v>
          </cell>
          <cell r="N409" t="str">
            <v>NOTSE</v>
          </cell>
        </row>
        <row r="410">
          <cell r="A410" t="str">
            <v>DJEMEGNI</v>
          </cell>
          <cell r="B410">
            <v>44711</v>
          </cell>
          <cell r="C410" t="str">
            <v>PLA-203</v>
          </cell>
          <cell r="D410" t="str">
            <v>PLATEAUX</v>
          </cell>
          <cell r="E410" t="str">
            <v>NOTSE</v>
          </cell>
          <cell r="F410" t="str">
            <v>FH</v>
          </cell>
          <cell r="G410" t="str">
            <v>Grid-DG-Batt.</v>
          </cell>
          <cell r="H410" t="str">
            <v>OK</v>
          </cell>
          <cell r="I410" t="str">
            <v>NO</v>
          </cell>
          <cell r="J410" t="str">
            <v>YES</v>
          </cell>
          <cell r="K410" t="str">
            <v>BRONZE</v>
          </cell>
          <cell r="L410" t="str">
            <v>rural</v>
          </cell>
          <cell r="M410" t="str">
            <v>70996470</v>
          </cell>
          <cell r="N410" t="str">
            <v>NOTSE</v>
          </cell>
        </row>
        <row r="411">
          <cell r="A411" t="str">
            <v>DIDJOLE</v>
          </cell>
          <cell r="B411">
            <v>38200</v>
          </cell>
          <cell r="C411" t="str">
            <v>LOM-085</v>
          </cell>
          <cell r="D411" t="str">
            <v>LOME</v>
          </cell>
          <cell r="E411" t="str">
            <v>LOME-OUEST 2</v>
          </cell>
          <cell r="F411" t="str">
            <v>FO</v>
          </cell>
          <cell r="G411" t="str">
            <v>Grid-DG-Batt.</v>
          </cell>
          <cell r="H411" t="str">
            <v>OK</v>
          </cell>
          <cell r="I411" t="str">
            <v>NO</v>
          </cell>
          <cell r="J411" t="str">
            <v>NO</v>
          </cell>
          <cell r="K411" t="str">
            <v>GOLD</v>
          </cell>
          <cell r="L411" t="str">
            <v>Urbain</v>
          </cell>
          <cell r="M411" t="e">
            <v>#N/A</v>
          </cell>
          <cell r="N411" t="str">
            <v>LOME OUEST2</v>
          </cell>
        </row>
        <row r="412">
          <cell r="A412" t="str">
            <v>DIDJOLE2</v>
          </cell>
          <cell r="B412">
            <v>40949</v>
          </cell>
          <cell r="C412" t="str">
            <v>LOM-111</v>
          </cell>
          <cell r="D412" t="str">
            <v>LOME</v>
          </cell>
          <cell r="E412" t="str">
            <v>LOME-OUEST 2</v>
          </cell>
          <cell r="F412" t="str">
            <v>FO</v>
          </cell>
          <cell r="G412" t="str">
            <v>Grid-DG-Batt.</v>
          </cell>
          <cell r="H412" t="str">
            <v>OK</v>
          </cell>
          <cell r="I412" t="str">
            <v>NO</v>
          </cell>
          <cell r="J412" t="str">
            <v>NO</v>
          </cell>
          <cell r="K412" t="str">
            <v>SILVER</v>
          </cell>
          <cell r="L412" t="str">
            <v>Urbain</v>
          </cell>
          <cell r="M412" t="e">
            <v>#N/A</v>
          </cell>
          <cell r="N412" t="str">
            <v>LOME OUEST2</v>
          </cell>
        </row>
        <row r="413">
          <cell r="A413" t="str">
            <v>DJIDJOLE7</v>
          </cell>
          <cell r="B413">
            <v>45090</v>
          </cell>
          <cell r="C413" t="str">
            <v>LOM-349</v>
          </cell>
          <cell r="D413" t="str">
            <v>LOME</v>
          </cell>
          <cell r="E413" t="str">
            <v>LOME-OUEST 2</v>
          </cell>
          <cell r="F413" t="str">
            <v>FTTM</v>
          </cell>
          <cell r="G413" t="str">
            <v>Grid-DG-Batt.</v>
          </cell>
          <cell r="H413" t="str">
            <v>OK</v>
          </cell>
          <cell r="I413" t="str">
            <v>NO</v>
          </cell>
          <cell r="J413" t="str">
            <v>NO</v>
          </cell>
          <cell r="K413" t="str">
            <v>SILVER</v>
          </cell>
          <cell r="L413" t="str">
            <v>Urbain</v>
          </cell>
          <cell r="M413">
            <v>0</v>
          </cell>
          <cell r="N413" t="str">
            <v>LOME OUEST2</v>
          </cell>
        </row>
        <row r="414">
          <cell r="A414" t="str">
            <v>DJIDJOLE8</v>
          </cell>
          <cell r="B414">
            <v>44862</v>
          </cell>
          <cell r="C414" t="str">
            <v>LOM-361</v>
          </cell>
          <cell r="D414" t="str">
            <v>LOME</v>
          </cell>
          <cell r="E414" t="str">
            <v>LOME-OUEST 2</v>
          </cell>
          <cell r="F414" t="str">
            <v>FTTM</v>
          </cell>
          <cell r="G414" t="str">
            <v>Grid-DG-Batt.</v>
          </cell>
          <cell r="H414" t="str">
            <v>OK</v>
          </cell>
          <cell r="I414" t="str">
            <v>NO</v>
          </cell>
          <cell r="J414" t="str">
            <v>YES</v>
          </cell>
          <cell r="K414" t="str">
            <v>BRONZE</v>
          </cell>
          <cell r="L414" t="str">
            <v>Urbain</v>
          </cell>
          <cell r="M414">
            <v>0</v>
          </cell>
          <cell r="N414" t="str">
            <v>LOME OUEST2</v>
          </cell>
        </row>
        <row r="415">
          <cell r="A415" t="str">
            <v>DJIFAKPOTA</v>
          </cell>
          <cell r="B415">
            <v>40148</v>
          </cell>
          <cell r="C415" t="str">
            <v>LOM-207</v>
          </cell>
          <cell r="D415" t="str">
            <v>LOME</v>
          </cell>
          <cell r="E415" t="str">
            <v>LOME-EST</v>
          </cell>
          <cell r="F415" t="str">
            <v>FO</v>
          </cell>
          <cell r="G415" t="str">
            <v>Grid-DG-Batt.</v>
          </cell>
          <cell r="H415" t="str">
            <v>OK</v>
          </cell>
          <cell r="I415" t="str">
            <v>NO</v>
          </cell>
          <cell r="J415" t="str">
            <v>NO</v>
          </cell>
          <cell r="K415" t="str">
            <v>SILVER</v>
          </cell>
          <cell r="L415" t="str">
            <v>Urbain</v>
          </cell>
          <cell r="M415" t="str">
            <v>70996773</v>
          </cell>
          <cell r="N415" t="str">
            <v>LOME EST</v>
          </cell>
        </row>
        <row r="416">
          <cell r="A416" t="str">
            <v>DJIFAKPOTA2-MOOV</v>
          </cell>
          <cell r="B416"/>
          <cell r="C416" t="str">
            <v>LOM-208</v>
          </cell>
          <cell r="D416" t="str">
            <v>LOME</v>
          </cell>
          <cell r="E416" t="str">
            <v>LOME-EST</v>
          </cell>
          <cell r="F416" t="str">
            <v>FH</v>
          </cell>
          <cell r="G416" t="str">
            <v>Grid-DG-Batt.</v>
          </cell>
          <cell r="H416" t="str">
            <v>OK</v>
          </cell>
          <cell r="I416" t="str">
            <v>YES</v>
          </cell>
          <cell r="J416" t="str">
            <v>NO</v>
          </cell>
          <cell r="K416" t="str">
            <v>GOLD</v>
          </cell>
          <cell r="L416" t="str">
            <v>Urbain</v>
          </cell>
          <cell r="M416" t="str">
            <v>70996774</v>
          </cell>
          <cell r="N416" t="str">
            <v>LOME EST</v>
          </cell>
        </row>
        <row r="417">
          <cell r="A417" t="str">
            <v>DJIMEGNI</v>
          </cell>
          <cell r="B417">
            <v>44848</v>
          </cell>
          <cell r="C417" t="str">
            <v>PLA-221</v>
          </cell>
          <cell r="D417" t="str">
            <v>PLATEAUX</v>
          </cell>
          <cell r="E417" t="str">
            <v>NOTSE</v>
          </cell>
          <cell r="F417" t="str">
            <v>FH</v>
          </cell>
          <cell r="G417" t="str">
            <v>DG-Solar-Batt.</v>
          </cell>
          <cell r="H417" t="str">
            <v>OK</v>
          </cell>
          <cell r="I417" t="str">
            <v>NO</v>
          </cell>
          <cell r="J417" t="str">
            <v>NO</v>
          </cell>
          <cell r="K417" t="str">
            <v>BRONZE</v>
          </cell>
          <cell r="L417" t="str">
            <v>rural</v>
          </cell>
          <cell r="M417" t="e">
            <v>#N/A</v>
          </cell>
          <cell r="N417" t="str">
            <v>KPALIME</v>
          </cell>
        </row>
        <row r="418">
          <cell r="A418" t="str">
            <v>DJIYEGA</v>
          </cell>
          <cell r="B418">
            <v>43866</v>
          </cell>
          <cell r="C418" t="str">
            <v>SAV-069</v>
          </cell>
          <cell r="D418" t="str">
            <v>SAVANES</v>
          </cell>
          <cell r="E418" t="str">
            <v>DAPAONG 1</v>
          </cell>
          <cell r="F418" t="str">
            <v>FH</v>
          </cell>
          <cell r="G418" t="str">
            <v>DG-Solar-Batt.</v>
          </cell>
          <cell r="H418" t="str">
            <v>NOK</v>
          </cell>
          <cell r="I418" t="str">
            <v>NO</v>
          </cell>
          <cell r="J418" t="str">
            <v>YES</v>
          </cell>
          <cell r="K418" t="str">
            <v>SILVER</v>
          </cell>
          <cell r="L418" t="str">
            <v>rural</v>
          </cell>
          <cell r="M418" t="str">
            <v>70996775</v>
          </cell>
          <cell r="N418" t="str">
            <v>DAPAONG</v>
          </cell>
        </row>
        <row r="419">
          <cell r="A419" t="str">
            <v>DJOGBE-KOPE-TODJI</v>
          </cell>
          <cell r="B419">
            <v>44857</v>
          </cell>
          <cell r="C419" t="str">
            <v>PLA-222</v>
          </cell>
          <cell r="D419" t="str">
            <v>PLATEAUX</v>
          </cell>
          <cell r="E419" t="str">
            <v>BADOU</v>
          </cell>
          <cell r="F419" t="str">
            <v>FH</v>
          </cell>
          <cell r="G419" t="str">
            <v>DG-Solar-Batt.</v>
          </cell>
          <cell r="H419" t="str">
            <v>OK</v>
          </cell>
          <cell r="I419" t="str">
            <v>NO</v>
          </cell>
          <cell r="J419" t="str">
            <v>YES</v>
          </cell>
          <cell r="K419" t="str">
            <v>BRONZE</v>
          </cell>
          <cell r="L419" t="str">
            <v>rural</v>
          </cell>
          <cell r="M419" t="str">
            <v>70996420</v>
          </cell>
          <cell r="N419" t="str">
            <v>BADOU</v>
          </cell>
        </row>
        <row r="420">
          <cell r="A420" t="str">
            <v>DJON-KOTORA</v>
          </cell>
          <cell r="B420">
            <v>41609</v>
          </cell>
          <cell r="C420" t="str">
            <v>PLA-098</v>
          </cell>
          <cell r="D420" t="str">
            <v>PLATEAUX</v>
          </cell>
          <cell r="E420" t="str">
            <v>BADOU</v>
          </cell>
          <cell r="F420" t="str">
            <v>FH</v>
          </cell>
          <cell r="G420" t="str">
            <v>Grid-DG-Batt.</v>
          </cell>
          <cell r="H420" t="str">
            <v>NOK</v>
          </cell>
          <cell r="I420" t="str">
            <v>NO</v>
          </cell>
          <cell r="J420" t="str">
            <v>YES</v>
          </cell>
          <cell r="K420" t="str">
            <v>BRONZE</v>
          </cell>
          <cell r="L420" t="str">
            <v>rural</v>
          </cell>
          <cell r="M420" t="str">
            <v>70996776</v>
          </cell>
          <cell r="N420" t="str">
            <v>BADOU</v>
          </cell>
        </row>
        <row r="421">
          <cell r="A421" t="str">
            <v>DJOUKA-KOPE</v>
          </cell>
          <cell r="B421">
            <v>44855</v>
          </cell>
          <cell r="C421" t="str">
            <v>PLA-224</v>
          </cell>
          <cell r="D421" t="str">
            <v>CENTRALE</v>
          </cell>
          <cell r="E421" t="str">
            <v>BLITTA</v>
          </cell>
          <cell r="F421" t="str">
            <v>FH</v>
          </cell>
          <cell r="G421" t="str">
            <v>DG-Solar-Batt.</v>
          </cell>
          <cell r="H421" t="str">
            <v>OK</v>
          </cell>
          <cell r="I421" t="str">
            <v>NO</v>
          </cell>
          <cell r="J421" t="str">
            <v>YES</v>
          </cell>
          <cell r="K421" t="str">
            <v>BRONZE</v>
          </cell>
          <cell r="L421" t="str">
            <v>rural</v>
          </cell>
          <cell r="M421" t="str">
            <v>70996516</v>
          </cell>
          <cell r="N421" t="str">
            <v>ELAVAGNON</v>
          </cell>
        </row>
        <row r="422">
          <cell r="A422" t="str">
            <v>DOGBEAVOU</v>
          </cell>
          <cell r="B422">
            <v>41697</v>
          </cell>
          <cell r="C422" t="str">
            <v>LOM-120</v>
          </cell>
          <cell r="D422" t="str">
            <v>LOME</v>
          </cell>
          <cell r="E422" t="str">
            <v>LOME-SUD</v>
          </cell>
          <cell r="F422" t="str">
            <v>FO</v>
          </cell>
          <cell r="G422" t="str">
            <v>Grid-DG-Batt.</v>
          </cell>
          <cell r="H422" t="str">
            <v>NOK</v>
          </cell>
          <cell r="I422" t="str">
            <v>NO</v>
          </cell>
          <cell r="J422" t="str">
            <v>NO</v>
          </cell>
          <cell r="K422" t="str">
            <v>BRONZE</v>
          </cell>
          <cell r="L422" t="str">
            <v>Urbain</v>
          </cell>
          <cell r="M422" t="str">
            <v>70996777</v>
          </cell>
          <cell r="N422" t="str">
            <v>LOME SUD</v>
          </cell>
        </row>
        <row r="423">
          <cell r="A423" t="str">
            <v>DOGOBLE</v>
          </cell>
          <cell r="B423">
            <v>40513</v>
          </cell>
          <cell r="C423" t="str">
            <v>CEN-061</v>
          </cell>
          <cell r="D423" t="str">
            <v>CENTRALE</v>
          </cell>
          <cell r="E423" t="str">
            <v>BLITTA</v>
          </cell>
          <cell r="F423" t="str">
            <v>FO</v>
          </cell>
          <cell r="G423" t="str">
            <v>DG-Solar-Batt.</v>
          </cell>
          <cell r="H423" t="str">
            <v>OK</v>
          </cell>
          <cell r="I423" t="str">
            <v>NO</v>
          </cell>
          <cell r="J423" t="str">
            <v>NO</v>
          </cell>
          <cell r="K423" t="str">
            <v>BRONZE</v>
          </cell>
          <cell r="L423" t="str">
            <v>rural</v>
          </cell>
          <cell r="M423" t="str">
            <v>70996778</v>
          </cell>
          <cell r="N423" t="str">
            <v>BLITTA</v>
          </cell>
        </row>
        <row r="424">
          <cell r="A424" t="str">
            <v>DONTOUGOU</v>
          </cell>
          <cell r="B424">
            <v>40148</v>
          </cell>
          <cell r="C424" t="str">
            <v>SAV-016</v>
          </cell>
          <cell r="D424" t="str">
            <v>SAVANES</v>
          </cell>
          <cell r="E424" t="str">
            <v>DAPAONG 1</v>
          </cell>
          <cell r="F424" t="str">
            <v>FH</v>
          </cell>
          <cell r="G424" t="str">
            <v>DG-Solar-Batt.</v>
          </cell>
          <cell r="H424" t="str">
            <v>OK</v>
          </cell>
          <cell r="I424" t="str">
            <v>NO</v>
          </cell>
          <cell r="J424" t="str">
            <v>YES</v>
          </cell>
          <cell r="K424" t="str">
            <v>BRONZE</v>
          </cell>
          <cell r="L424" t="str">
            <v>rural</v>
          </cell>
          <cell r="M424" t="str">
            <v>70996779</v>
          </cell>
          <cell r="N424" t="str">
            <v>DAPAONG</v>
          </cell>
        </row>
        <row r="425">
          <cell r="A425" t="str">
            <v>DOUFOULI</v>
          </cell>
          <cell r="B425">
            <v>43622</v>
          </cell>
          <cell r="C425" t="str">
            <v>CEN-072</v>
          </cell>
          <cell r="D425" t="str">
            <v>CENTRALE</v>
          </cell>
          <cell r="E425" t="str">
            <v>BLITTA</v>
          </cell>
          <cell r="F425" t="str">
            <v>FH</v>
          </cell>
          <cell r="G425" t="str">
            <v>DG-Solar-Batt.</v>
          </cell>
          <cell r="H425" t="str">
            <v>OK</v>
          </cell>
          <cell r="I425" t="str">
            <v>NO</v>
          </cell>
          <cell r="J425" t="str">
            <v>NO</v>
          </cell>
          <cell r="K425" t="str">
            <v>BRONZE</v>
          </cell>
          <cell r="L425" t="str">
            <v>rural</v>
          </cell>
          <cell r="M425" t="str">
            <v>70996780</v>
          </cell>
          <cell r="N425" t="str">
            <v>BLITTA</v>
          </cell>
        </row>
        <row r="426">
          <cell r="A426" t="str">
            <v>DOULASSAME</v>
          </cell>
          <cell r="B426">
            <v>38200</v>
          </cell>
          <cell r="C426" t="str">
            <v>LOM-131</v>
          </cell>
          <cell r="D426" t="str">
            <v>LOME</v>
          </cell>
          <cell r="E426" t="str">
            <v>LOME-SUD</v>
          </cell>
          <cell r="F426" t="str">
            <v>FO</v>
          </cell>
          <cell r="G426" t="str">
            <v>Grid-DG-Batt.</v>
          </cell>
          <cell r="H426" t="str">
            <v>OK</v>
          </cell>
          <cell r="I426" t="str">
            <v>NO</v>
          </cell>
          <cell r="J426" t="str">
            <v>NO</v>
          </cell>
          <cell r="K426" t="str">
            <v>SILVER</v>
          </cell>
          <cell r="L426" t="str">
            <v>Urbain</v>
          </cell>
          <cell r="M426" t="str">
            <v>70996433</v>
          </cell>
          <cell r="N426" t="str">
            <v>LOME SUD</v>
          </cell>
        </row>
        <row r="427">
          <cell r="A427" t="str">
            <v>DOUMASSESSE</v>
          </cell>
          <cell r="B427">
            <v>44270</v>
          </cell>
          <cell r="C427" t="str">
            <v>LOM-251</v>
          </cell>
          <cell r="D427" t="str">
            <v>LOME</v>
          </cell>
          <cell r="E427" t="str">
            <v>LOME-CENTRE</v>
          </cell>
          <cell r="F427" t="str">
            <v>FH</v>
          </cell>
          <cell r="G427" t="str">
            <v>Grid-Batt.</v>
          </cell>
          <cell r="H427" t="str">
            <v>N/A</v>
          </cell>
          <cell r="I427" t="str">
            <v>YES</v>
          </cell>
          <cell r="J427" t="str">
            <v>NO</v>
          </cell>
          <cell r="K427" t="str">
            <v>GOLD</v>
          </cell>
          <cell r="L427" t="str">
            <v>Urbain</v>
          </cell>
          <cell r="M427">
            <v>0</v>
          </cell>
          <cell r="N427" t="str">
            <v>LOME CENTRE</v>
          </cell>
        </row>
        <row r="428">
          <cell r="A428" t="str">
            <v>DOUME-MOOV</v>
          </cell>
          <cell r="B428">
            <v>44561</v>
          </cell>
          <cell r="C428" t="str">
            <v>PLA-192</v>
          </cell>
          <cell r="D428" t="str">
            <v>PLATEAUX</v>
          </cell>
          <cell r="E428" t="str">
            <v>BADOU</v>
          </cell>
          <cell r="F428" t="str">
            <v>FH</v>
          </cell>
          <cell r="G428" t="str">
            <v>DG-Solar-Batt.</v>
          </cell>
          <cell r="H428" t="str">
            <v>OK</v>
          </cell>
          <cell r="I428" t="str">
            <v>NO</v>
          </cell>
          <cell r="J428" t="str">
            <v>YES</v>
          </cell>
          <cell r="K428" t="str">
            <v>BRONZE</v>
          </cell>
          <cell r="L428" t="str">
            <v>rural</v>
          </cell>
          <cell r="M428">
            <v>0</v>
          </cell>
          <cell r="N428" t="str">
            <v>BADOU</v>
          </cell>
        </row>
        <row r="429">
          <cell r="A429" t="str">
            <v>DZETA</v>
          </cell>
          <cell r="B429">
            <v>41609</v>
          </cell>
          <cell r="C429" t="str">
            <v>MAR-018</v>
          </cell>
          <cell r="D429" t="str">
            <v>MARITIME</v>
          </cell>
          <cell r="E429" t="str">
            <v>ANEHO</v>
          </cell>
          <cell r="F429" t="str">
            <v>FH</v>
          </cell>
          <cell r="G429" t="str">
            <v>Grid-DG-Batt.</v>
          </cell>
          <cell r="H429" t="str">
            <v>OK</v>
          </cell>
          <cell r="I429" t="str">
            <v>NO</v>
          </cell>
          <cell r="J429" t="str">
            <v>NO</v>
          </cell>
          <cell r="K429" t="str">
            <v>BRONZE</v>
          </cell>
          <cell r="L429" t="str">
            <v>rural</v>
          </cell>
          <cell r="M429" t="str">
            <v>70996781</v>
          </cell>
          <cell r="N429" t="str">
            <v>ANEHO</v>
          </cell>
        </row>
        <row r="430">
          <cell r="A430" t="str">
            <v>DZEYIBO</v>
          </cell>
          <cell r="B430">
            <v>43945</v>
          </cell>
          <cell r="C430" t="str">
            <v>PLA-174</v>
          </cell>
          <cell r="D430" t="str">
            <v>MARITIME</v>
          </cell>
          <cell r="E430" t="str">
            <v>KPALIME</v>
          </cell>
          <cell r="F430" t="str">
            <v>FH</v>
          </cell>
          <cell r="G430" t="str">
            <v>DG-Solar-Batt.</v>
          </cell>
          <cell r="H430" t="str">
            <v>NOK</v>
          </cell>
          <cell r="I430" t="str">
            <v>NO</v>
          </cell>
          <cell r="J430" t="str">
            <v>YES</v>
          </cell>
          <cell r="K430" t="str">
            <v>BRONZE</v>
          </cell>
          <cell r="L430" t="str">
            <v>rural</v>
          </cell>
          <cell r="M430" t="str">
            <v>70996782</v>
          </cell>
          <cell r="N430" t="str">
            <v>KPALIME</v>
          </cell>
        </row>
        <row r="431">
          <cell r="A431" t="str">
            <v>DZOGBEKPEME-MOOV</v>
          </cell>
          <cell r="B431">
            <v>43886</v>
          </cell>
          <cell r="C431" t="str">
            <v>MAR-077</v>
          </cell>
          <cell r="D431" t="str">
            <v>MARITIME</v>
          </cell>
          <cell r="E431" t="str">
            <v>TSEVIE</v>
          </cell>
          <cell r="F431" t="str">
            <v>FH</v>
          </cell>
          <cell r="G431" t="str">
            <v>Grid-DG-Solar-Batt.</v>
          </cell>
          <cell r="H431" t="str">
            <v>OK</v>
          </cell>
          <cell r="I431" t="str">
            <v>NO</v>
          </cell>
          <cell r="J431" t="str">
            <v>YES</v>
          </cell>
          <cell r="K431" t="str">
            <v>BRONZE</v>
          </cell>
          <cell r="L431" t="str">
            <v>rural</v>
          </cell>
          <cell r="M431">
            <v>0</v>
          </cell>
          <cell r="N431" t="str">
            <v>TSEVIE</v>
          </cell>
        </row>
        <row r="432">
          <cell r="A432" t="str">
            <v>DZOLO</v>
          </cell>
          <cell r="B432">
            <v>41609</v>
          </cell>
          <cell r="C432" t="str">
            <v>MAR-055</v>
          </cell>
          <cell r="D432" t="str">
            <v>MARITIME</v>
          </cell>
          <cell r="E432" t="str">
            <v>TSEVIE</v>
          </cell>
          <cell r="F432" t="str">
            <v>FH</v>
          </cell>
          <cell r="G432" t="str">
            <v>Grid-DG-Batt.</v>
          </cell>
          <cell r="H432" t="str">
            <v>OK</v>
          </cell>
          <cell r="I432" t="str">
            <v>NO</v>
          </cell>
          <cell r="J432" t="str">
            <v>YES</v>
          </cell>
          <cell r="K432" t="str">
            <v>BRONZE</v>
          </cell>
          <cell r="L432" t="str">
            <v>rural</v>
          </cell>
          <cell r="M432" t="str">
            <v>70996783</v>
          </cell>
          <cell r="N432" t="str">
            <v>TSEVIE</v>
          </cell>
        </row>
        <row r="433">
          <cell r="A433" t="str">
            <v>ECOLE-DE-POLICE</v>
          </cell>
          <cell r="B433">
            <v>44545</v>
          </cell>
          <cell r="C433" t="str">
            <v>MAR-070</v>
          </cell>
          <cell r="D433" t="str">
            <v>LOME</v>
          </cell>
          <cell r="E433" t="e">
            <v>#N/A</v>
          </cell>
          <cell r="F433" t="str">
            <v>FH</v>
          </cell>
          <cell r="G433" t="str">
            <v>Grid-DG-Batt.</v>
          </cell>
          <cell r="H433" t="str">
            <v>OK</v>
          </cell>
          <cell r="I433" t="str">
            <v>NO</v>
          </cell>
          <cell r="J433" t="str">
            <v>YES</v>
          </cell>
          <cell r="K433" t="str">
            <v>SILVER</v>
          </cell>
          <cell r="L433" t="str">
            <v>Urbain</v>
          </cell>
          <cell r="M433" t="e">
            <v>#N/A</v>
          </cell>
          <cell r="N433" t="str">
            <v>LOME NORD</v>
          </cell>
        </row>
        <row r="434">
          <cell r="A434" t="str">
            <v>EDIWLOU</v>
          </cell>
          <cell r="B434">
            <v>44018</v>
          </cell>
          <cell r="C434" t="str">
            <v>PLA-181</v>
          </cell>
          <cell r="D434" t="str">
            <v>MARITIME</v>
          </cell>
          <cell r="E434" t="str">
            <v>KPALIME</v>
          </cell>
          <cell r="F434" t="str">
            <v>FH</v>
          </cell>
          <cell r="G434" t="str">
            <v>DG-Solar-Batt.</v>
          </cell>
          <cell r="H434" t="str">
            <v>OK</v>
          </cell>
          <cell r="I434" t="str">
            <v>NO</v>
          </cell>
          <cell r="J434" t="str">
            <v>YES</v>
          </cell>
          <cell r="K434" t="str">
            <v>BRONZE</v>
          </cell>
          <cell r="L434" t="str">
            <v>rural</v>
          </cell>
          <cell r="M434">
            <v>70996785</v>
          </cell>
          <cell r="N434" t="str">
            <v>KPALIME</v>
          </cell>
        </row>
        <row r="435">
          <cell r="A435" t="str">
            <v>EFFOUFAMI</v>
          </cell>
          <cell r="B435">
            <v>44560</v>
          </cell>
          <cell r="C435" t="str">
            <v>PLA-193</v>
          </cell>
          <cell r="D435" t="str">
            <v>PLATEAUX</v>
          </cell>
          <cell r="E435" t="str">
            <v>ATAKPAME-EST</v>
          </cell>
          <cell r="F435" t="str">
            <v>FH</v>
          </cell>
          <cell r="G435" t="str">
            <v>DG-Solar-Batt.</v>
          </cell>
          <cell r="H435" t="str">
            <v>OK</v>
          </cell>
          <cell r="I435" t="str">
            <v>NO</v>
          </cell>
          <cell r="J435" t="str">
            <v>YES</v>
          </cell>
          <cell r="K435" t="str">
            <v>BRONZE</v>
          </cell>
          <cell r="L435" t="str">
            <v>rural</v>
          </cell>
          <cell r="M435" t="str">
            <v>70996471</v>
          </cell>
          <cell r="N435" t="str">
            <v>ELAVAGNON</v>
          </cell>
        </row>
        <row r="436">
          <cell r="A436" t="str">
            <v>EFOLO</v>
          </cell>
          <cell r="B436">
            <v>45029</v>
          </cell>
          <cell r="C436" t="str">
            <v>KAR-141</v>
          </cell>
          <cell r="D436" t="str">
            <v>KARA</v>
          </cell>
          <cell r="E436" t="str">
            <v>KARA-OUEST</v>
          </cell>
          <cell r="F436" t="str">
            <v>FH</v>
          </cell>
          <cell r="G436" t="str">
            <v>DG-Solar-Batt.</v>
          </cell>
          <cell r="H436" t="str">
            <v>OK</v>
          </cell>
          <cell r="I436" t="str">
            <v>NO</v>
          </cell>
          <cell r="J436" t="str">
            <v>YES</v>
          </cell>
          <cell r="K436" t="str">
            <v>BRONZE</v>
          </cell>
          <cell r="L436" t="str">
            <v>rural</v>
          </cell>
          <cell r="M436">
            <v>70997292</v>
          </cell>
          <cell r="N436" t="str">
            <v>KARA OUEST</v>
          </cell>
        </row>
        <row r="437">
          <cell r="A437" t="str">
            <v>EHOUI</v>
          </cell>
          <cell r="B437">
            <v>44078</v>
          </cell>
          <cell r="C437" t="str">
            <v>PLA-172</v>
          </cell>
          <cell r="D437" t="str">
            <v>PLATEAUX</v>
          </cell>
          <cell r="E437" t="str">
            <v>NOTSE</v>
          </cell>
          <cell r="F437" t="str">
            <v>FH</v>
          </cell>
          <cell r="G437" t="str">
            <v>DG-Solar-Batt.</v>
          </cell>
          <cell r="H437" t="str">
            <v>OK</v>
          </cell>
          <cell r="I437" t="str">
            <v>NO</v>
          </cell>
          <cell r="J437" t="str">
            <v>YES</v>
          </cell>
          <cell r="K437" t="str">
            <v>BRONZE</v>
          </cell>
          <cell r="L437" t="str">
            <v>rural</v>
          </cell>
          <cell r="M437">
            <v>70996784</v>
          </cell>
          <cell r="N437" t="str">
            <v>NOTSE</v>
          </cell>
        </row>
        <row r="438">
          <cell r="A438" t="str">
            <v>EKETO-ELAVAGNON</v>
          </cell>
          <cell r="B438">
            <v>43902</v>
          </cell>
          <cell r="C438" t="str">
            <v>PLA-163</v>
          </cell>
          <cell r="D438" t="str">
            <v>PLATEAUX</v>
          </cell>
          <cell r="E438" t="str">
            <v>BADOU</v>
          </cell>
          <cell r="F438" t="str">
            <v>FH</v>
          </cell>
          <cell r="G438" t="str">
            <v>DG-Batt.</v>
          </cell>
          <cell r="H438" t="str">
            <v>OK</v>
          </cell>
          <cell r="I438" t="str">
            <v>NO</v>
          </cell>
          <cell r="J438" t="str">
            <v>NO</v>
          </cell>
          <cell r="K438" t="str">
            <v>BRONZE</v>
          </cell>
          <cell r="L438" t="str">
            <v>rural</v>
          </cell>
          <cell r="M438" t="str">
            <v>70996786</v>
          </cell>
          <cell r="N438" t="str">
            <v>BADOU</v>
          </cell>
        </row>
        <row r="439">
          <cell r="A439" t="str">
            <v>EKO</v>
          </cell>
          <cell r="B439">
            <v>45029</v>
          </cell>
          <cell r="C439" t="str">
            <v>PLA-225</v>
          </cell>
          <cell r="D439" t="str">
            <v>PLATEAUX</v>
          </cell>
          <cell r="E439" t="str">
            <v>ATAKPAME-EST</v>
          </cell>
          <cell r="F439" t="str">
            <v>FH</v>
          </cell>
          <cell r="G439" t="str">
            <v>DG-Solar-Batt.</v>
          </cell>
          <cell r="H439" t="str">
            <v>OK</v>
          </cell>
          <cell r="I439" t="str">
            <v>NO</v>
          </cell>
          <cell r="J439" t="str">
            <v>YES</v>
          </cell>
          <cell r="K439" t="str">
            <v>BRONZE</v>
          </cell>
          <cell r="L439" t="str">
            <v>rural</v>
          </cell>
          <cell r="M439">
            <v>0</v>
          </cell>
          <cell r="N439" t="str">
            <v>ELAVAGNON</v>
          </cell>
        </row>
        <row r="440">
          <cell r="A440" t="str">
            <v>EKPEGNON-VAKPO</v>
          </cell>
          <cell r="B440">
            <v>45022</v>
          </cell>
          <cell r="C440" t="str">
            <v>PLA-226</v>
          </cell>
          <cell r="D440" t="str">
            <v>PLATEAUX</v>
          </cell>
          <cell r="E440" t="str">
            <v>NOTSE</v>
          </cell>
          <cell r="F440" t="str">
            <v>FH</v>
          </cell>
          <cell r="G440" t="str">
            <v>DG-Solar-Batt.</v>
          </cell>
          <cell r="H440" t="str">
            <v>OK</v>
          </cell>
          <cell r="I440" t="str">
            <v>NO</v>
          </cell>
          <cell r="J440" t="str">
            <v>YES</v>
          </cell>
          <cell r="K440" t="str">
            <v>BRONZE</v>
          </cell>
          <cell r="L440" t="str">
            <v>rural</v>
          </cell>
          <cell r="M440">
            <v>0</v>
          </cell>
          <cell r="N440" t="str">
            <v>NOTSE</v>
          </cell>
        </row>
        <row r="441">
          <cell r="A441" t="str">
            <v>EKPUI</v>
          </cell>
          <cell r="B441">
            <v>45085</v>
          </cell>
          <cell r="C441" t="str">
            <v>LOM-338</v>
          </cell>
          <cell r="D441" t="str">
            <v>MARITIME</v>
          </cell>
          <cell r="E441" t="str">
            <v>ANEHO</v>
          </cell>
          <cell r="F441" t="str">
            <v>FH</v>
          </cell>
          <cell r="G441" t="str">
            <v>Grid-DG-Batt.</v>
          </cell>
          <cell r="H441" t="str">
            <v>OK</v>
          </cell>
          <cell r="I441" t="str">
            <v>NO</v>
          </cell>
          <cell r="J441" t="str">
            <v>NO</v>
          </cell>
          <cell r="K441" t="str">
            <v>BRONZE</v>
          </cell>
          <cell r="L441" t="str">
            <v>SubUrbain</v>
          </cell>
          <cell r="M441">
            <v>70997342</v>
          </cell>
          <cell r="N441" t="str">
            <v>ANEHO</v>
          </cell>
        </row>
        <row r="442">
          <cell r="A442" t="str">
            <v>ELAVAGNON</v>
          </cell>
          <cell r="B442">
            <v>41609</v>
          </cell>
          <cell r="C442" t="str">
            <v>PLA-086</v>
          </cell>
          <cell r="D442" t="str">
            <v>PLATEAUX</v>
          </cell>
          <cell r="E442" t="str">
            <v>ATAKPAME-OUEST</v>
          </cell>
          <cell r="F442" t="str">
            <v>FH</v>
          </cell>
          <cell r="G442" t="str">
            <v>Grid-DG-Batt.</v>
          </cell>
          <cell r="H442" t="str">
            <v>OK</v>
          </cell>
          <cell r="I442" t="str">
            <v>NO</v>
          </cell>
          <cell r="J442" t="str">
            <v>NO</v>
          </cell>
          <cell r="K442" t="str">
            <v>GOLD</v>
          </cell>
          <cell r="L442" t="str">
            <v>SubUrbain</v>
          </cell>
          <cell r="M442" t="str">
            <v>70996787</v>
          </cell>
          <cell r="N442" t="str">
            <v>ELAVAGNON</v>
          </cell>
        </row>
        <row r="443">
          <cell r="A443" t="str">
            <v>ELAVAGNON-OKOUTAWAGA</v>
          </cell>
          <cell r="B443">
            <v>43812</v>
          </cell>
          <cell r="C443" t="str">
            <v>PLA-140</v>
          </cell>
          <cell r="D443" t="str">
            <v>PLATEAUX</v>
          </cell>
          <cell r="E443" t="str">
            <v>ATAKPAME-EST</v>
          </cell>
          <cell r="F443" t="str">
            <v>FH</v>
          </cell>
          <cell r="G443" t="str">
            <v>DG-Solar-Batt.</v>
          </cell>
          <cell r="H443" t="str">
            <v>OK</v>
          </cell>
          <cell r="I443" t="str">
            <v>NO</v>
          </cell>
          <cell r="J443" t="str">
            <v>NO</v>
          </cell>
          <cell r="K443" t="str">
            <v>BRONZE</v>
          </cell>
          <cell r="L443" t="str">
            <v>SubUrbain</v>
          </cell>
          <cell r="M443" t="str">
            <v>70996788</v>
          </cell>
          <cell r="N443" t="str">
            <v>ELAVAGNON</v>
          </cell>
        </row>
        <row r="444">
          <cell r="A444" t="str">
            <v>ELAVAGNON-TODZI</v>
          </cell>
          <cell r="B444">
            <v>45152</v>
          </cell>
          <cell r="C444" t="str">
            <v>CEN-128</v>
          </cell>
          <cell r="D444" t="str">
            <v>CENTRALE</v>
          </cell>
          <cell r="E444" t="str">
            <v>BLITTA</v>
          </cell>
          <cell r="F444" t="str">
            <v>FH</v>
          </cell>
          <cell r="G444" t="str">
            <v>Grid-DG-Batt.</v>
          </cell>
          <cell r="H444" t="str">
            <v>NOK</v>
          </cell>
          <cell r="I444" t="str">
            <v>NO</v>
          </cell>
          <cell r="J444" t="str">
            <v>NO</v>
          </cell>
          <cell r="K444" t="str">
            <v>BRONZE</v>
          </cell>
          <cell r="L444" t="str">
            <v>rural</v>
          </cell>
          <cell r="M444">
            <v>0</v>
          </cell>
          <cell r="N444" t="str">
            <v>BLITTA</v>
          </cell>
        </row>
        <row r="445">
          <cell r="A445" t="str">
            <v>ETAT-MAJOR</v>
          </cell>
          <cell r="B445">
            <v>40385</v>
          </cell>
          <cell r="C445" t="str">
            <v>LOM-013</v>
          </cell>
          <cell r="D445" t="str">
            <v>LOME</v>
          </cell>
          <cell r="E445" t="str">
            <v>LOME-NORD</v>
          </cell>
          <cell r="F445" t="str">
            <v>FO</v>
          </cell>
          <cell r="G445" t="str">
            <v>Grid-DG-Batt.</v>
          </cell>
          <cell r="H445" t="str">
            <v>OK</v>
          </cell>
          <cell r="I445" t="str">
            <v>NO</v>
          </cell>
          <cell r="J445" t="str">
            <v>NO</v>
          </cell>
          <cell r="K445" t="str">
            <v>PLATINUM</v>
          </cell>
          <cell r="L445" t="str">
            <v>Urbain</v>
          </cell>
          <cell r="M445">
            <v>0</v>
          </cell>
          <cell r="N445" t="str">
            <v>LOME NORD</v>
          </cell>
        </row>
        <row r="446">
          <cell r="A446" t="str">
            <v>FARE-MOOV</v>
          </cell>
          <cell r="B446">
            <v>45231</v>
          </cell>
          <cell r="C446" t="str">
            <v>SAV-116</v>
          </cell>
          <cell r="D446" t="str">
            <v>SAVANES</v>
          </cell>
          <cell r="E446" t="str">
            <v>MANGO</v>
          </cell>
          <cell r="F446" t="str">
            <v>FH</v>
          </cell>
          <cell r="G446" t="str">
            <v>Grid-DG-Batt.</v>
          </cell>
          <cell r="H446" t="str">
            <v>OK</v>
          </cell>
          <cell r="I446" t="str">
            <v>NO</v>
          </cell>
          <cell r="J446" t="str">
            <v>NO</v>
          </cell>
          <cell r="K446" t="str">
            <v>BRONZE</v>
          </cell>
          <cell r="L446" t="str">
            <v>RURAL</v>
          </cell>
          <cell r="M446">
            <v>0</v>
          </cell>
          <cell r="N446" t="str">
            <v>MANGO</v>
          </cell>
        </row>
        <row r="447">
          <cell r="A447" t="str">
            <v>FARENDE</v>
          </cell>
          <cell r="B447">
            <v>38687</v>
          </cell>
          <cell r="C447" t="str">
            <v>KAR-028</v>
          </cell>
          <cell r="D447" t="str">
            <v>KARA</v>
          </cell>
          <cell r="E447" t="str">
            <v>KARA-EST</v>
          </cell>
          <cell r="F447" t="str">
            <v>FH</v>
          </cell>
          <cell r="G447" t="str">
            <v>DG-Solar-Batt.</v>
          </cell>
          <cell r="H447" t="str">
            <v>OK</v>
          </cell>
          <cell r="I447" t="str">
            <v>NO</v>
          </cell>
          <cell r="J447" t="str">
            <v>NO</v>
          </cell>
          <cell r="K447" t="str">
            <v>BRONZE</v>
          </cell>
          <cell r="L447" t="str">
            <v>rural</v>
          </cell>
          <cell r="M447" t="str">
            <v>70996790</v>
          </cell>
          <cell r="N447" t="str">
            <v>KARA EST</v>
          </cell>
        </row>
        <row r="448">
          <cell r="A448" t="str">
            <v>FAZAO</v>
          </cell>
          <cell r="B448">
            <v>38687</v>
          </cell>
          <cell r="C448" t="str">
            <v>CEN-027</v>
          </cell>
          <cell r="D448" t="str">
            <v>CENTRALE</v>
          </cell>
          <cell r="E448" t="str">
            <v>SOKODE</v>
          </cell>
          <cell r="F448" t="str">
            <v>FH</v>
          </cell>
          <cell r="G448" t="str">
            <v>DG-Solar-Batt.</v>
          </cell>
          <cell r="H448" t="str">
            <v>OK</v>
          </cell>
          <cell r="I448" t="str">
            <v>NO</v>
          </cell>
          <cell r="J448" t="str">
            <v>NO</v>
          </cell>
          <cell r="K448" t="str">
            <v>BRONZE</v>
          </cell>
          <cell r="L448" t="str">
            <v>rural</v>
          </cell>
          <cell r="M448" t="str">
            <v>70996791</v>
          </cell>
          <cell r="N448" t="str">
            <v>SOKODE</v>
          </cell>
        </row>
        <row r="449">
          <cell r="A449" t="str">
            <v>FIDOKPUI</v>
          </cell>
          <cell r="B449">
            <v>42782</v>
          </cell>
          <cell r="C449" t="str">
            <v>LOM-023</v>
          </cell>
          <cell r="D449" t="str">
            <v>LOME</v>
          </cell>
          <cell r="E449" t="str">
            <v>LOME-NORD</v>
          </cell>
          <cell r="F449" t="str">
            <v>FH</v>
          </cell>
          <cell r="G449" t="str">
            <v>Grid-DG-Batt.</v>
          </cell>
          <cell r="H449" t="str">
            <v>OK</v>
          </cell>
          <cell r="I449" t="str">
            <v>NO</v>
          </cell>
          <cell r="J449" t="str">
            <v>YES</v>
          </cell>
          <cell r="K449" t="str">
            <v>PLATINUM</v>
          </cell>
          <cell r="L449" t="str">
            <v>Urbain</v>
          </cell>
          <cell r="M449" t="str">
            <v>70996792</v>
          </cell>
          <cell r="N449" t="str">
            <v>LOME NORD</v>
          </cell>
        </row>
        <row r="450">
          <cell r="A450" t="str">
            <v>FIDOKPUI2</v>
          </cell>
          <cell r="B450">
            <v>44537</v>
          </cell>
          <cell r="C450" t="str">
            <v>LOM-279</v>
          </cell>
          <cell r="D450" t="str">
            <v>LOME</v>
          </cell>
          <cell r="E450" t="str">
            <v>LOME-NORD</v>
          </cell>
          <cell r="F450" t="str">
            <v>FH</v>
          </cell>
          <cell r="G450" t="str">
            <v>Grid-DG-Batt.</v>
          </cell>
          <cell r="H450" t="str">
            <v>OK</v>
          </cell>
          <cell r="I450" t="str">
            <v>NO</v>
          </cell>
          <cell r="J450" t="str">
            <v>YES</v>
          </cell>
          <cell r="K450" t="str">
            <v>GOLD</v>
          </cell>
          <cell r="L450" t="str">
            <v>Urbain</v>
          </cell>
          <cell r="M450" t="str">
            <v>70996472</v>
          </cell>
          <cell r="N450" t="str">
            <v>LOME NORD</v>
          </cell>
        </row>
        <row r="451">
          <cell r="A451" t="str">
            <v>FIDOKPUI3</v>
          </cell>
          <cell r="B451">
            <v>44630</v>
          </cell>
          <cell r="C451" t="str">
            <v>LOM-306</v>
          </cell>
          <cell r="D451" t="str">
            <v>LOME</v>
          </cell>
          <cell r="E451" t="str">
            <v>LOME-NORD</v>
          </cell>
          <cell r="F451" t="str">
            <v>FH</v>
          </cell>
          <cell r="G451" t="str">
            <v>Grid-DG-Batt.</v>
          </cell>
          <cell r="H451" t="str">
            <v>OK</v>
          </cell>
          <cell r="I451" t="str">
            <v>NO</v>
          </cell>
          <cell r="J451" t="str">
            <v>YES</v>
          </cell>
          <cell r="K451" t="str">
            <v>GOLD</v>
          </cell>
          <cell r="L451" t="str">
            <v>SubUrbain</v>
          </cell>
          <cell r="M451" t="str">
            <v>70996473</v>
          </cell>
          <cell r="N451" t="str">
            <v>LOME NORD</v>
          </cell>
        </row>
        <row r="452">
          <cell r="A452" t="str">
            <v>FIDOKPUI-DARSALAM</v>
          </cell>
          <cell r="B452">
            <v>45136</v>
          </cell>
          <cell r="C452" t="str">
            <v>LOM-374</v>
          </cell>
          <cell r="D452" t="str">
            <v>LOME</v>
          </cell>
          <cell r="E452" t="str">
            <v>LOME-NORD</v>
          </cell>
          <cell r="F452" t="str">
            <v>FH</v>
          </cell>
          <cell r="G452" t="str">
            <v>Grid-DG-Batt.</v>
          </cell>
          <cell r="H452" t="str">
            <v>OK</v>
          </cell>
          <cell r="I452" t="str">
            <v>NO</v>
          </cell>
          <cell r="J452" t="str">
            <v>NO</v>
          </cell>
          <cell r="K452" t="str">
            <v>SILVER</v>
          </cell>
          <cell r="L452" t="str">
            <v>Urbain</v>
          </cell>
          <cell r="M452">
            <v>0</v>
          </cell>
          <cell r="N452" t="str">
            <v>LOME NORD</v>
          </cell>
        </row>
        <row r="453">
          <cell r="A453" t="str">
            <v>FIL-O-PARC</v>
          </cell>
          <cell r="B453">
            <v>44543</v>
          </cell>
          <cell r="C453" t="str">
            <v>LOM-252</v>
          </cell>
          <cell r="D453" t="str">
            <v>LOME</v>
          </cell>
          <cell r="E453" t="str">
            <v>LOME-NORD</v>
          </cell>
          <cell r="F453" t="str">
            <v>FH</v>
          </cell>
          <cell r="G453" t="str">
            <v>Grid-DG-Batt.</v>
          </cell>
          <cell r="H453" t="str">
            <v>OK</v>
          </cell>
          <cell r="I453" t="str">
            <v>NO</v>
          </cell>
          <cell r="J453" t="str">
            <v>YES</v>
          </cell>
          <cell r="K453" t="str">
            <v>SILVER</v>
          </cell>
          <cell r="L453" t="str">
            <v>Urbain</v>
          </cell>
          <cell r="M453">
            <v>0</v>
          </cell>
          <cell r="N453" t="str">
            <v>LOME NORD</v>
          </cell>
        </row>
        <row r="454">
          <cell r="A454" t="str">
            <v>FIOVI</v>
          </cell>
          <cell r="B454">
            <v>43265</v>
          </cell>
          <cell r="C454" t="str">
            <v>LOM-214</v>
          </cell>
          <cell r="D454" t="str">
            <v>LOME</v>
          </cell>
          <cell r="E454" t="str">
            <v>LOME-OUEST 1</v>
          </cell>
          <cell r="F454" t="str">
            <v>FH</v>
          </cell>
          <cell r="G454" t="str">
            <v>Grid-Batt.</v>
          </cell>
          <cell r="H454" t="str">
            <v>N/A</v>
          </cell>
          <cell r="I454" t="str">
            <v>YES</v>
          </cell>
          <cell r="J454" t="str">
            <v>NO</v>
          </cell>
          <cell r="K454" t="str">
            <v>BRONZE</v>
          </cell>
          <cell r="L454" t="str">
            <v>Urbain</v>
          </cell>
          <cell r="M454">
            <v>0</v>
          </cell>
          <cell r="N454" t="str">
            <v>LOME OUEST1</v>
          </cell>
        </row>
        <row r="455">
          <cell r="A455" t="str">
            <v>FOBENGA</v>
          </cell>
          <cell r="B455">
            <v>45164</v>
          </cell>
          <cell r="C455" t="str">
            <v>SAV-117</v>
          </cell>
          <cell r="D455" t="str">
            <v>SAVANES</v>
          </cell>
          <cell r="E455" t="str">
            <v>DAPAONG 1</v>
          </cell>
          <cell r="F455" t="str">
            <v>FH</v>
          </cell>
          <cell r="G455" t="str">
            <v>DG-Solar-Batt.</v>
          </cell>
          <cell r="H455" t="str">
            <v>OK</v>
          </cell>
          <cell r="I455" t="str">
            <v>NO</v>
          </cell>
          <cell r="J455" t="str">
            <v>NO</v>
          </cell>
          <cell r="K455" t="str">
            <v>BRONZE</v>
          </cell>
          <cell r="L455" t="str">
            <v>rural</v>
          </cell>
          <cell r="M455">
            <v>0</v>
          </cell>
          <cell r="N455" t="str">
            <v>DAPAONG</v>
          </cell>
        </row>
        <row r="456">
          <cell r="A456" t="str">
            <v>FOGBE-MOOV</v>
          </cell>
          <cell r="B456">
            <v>44855</v>
          </cell>
          <cell r="C456" t="str">
            <v>MAR-157</v>
          </cell>
          <cell r="D456" t="str">
            <v>MARITIME</v>
          </cell>
          <cell r="E456" t="str">
            <v>TSEVIE</v>
          </cell>
          <cell r="F456" t="str">
            <v>FH</v>
          </cell>
          <cell r="G456" t="str">
            <v>DG-Batt.</v>
          </cell>
          <cell r="H456" t="str">
            <v>OK</v>
          </cell>
          <cell r="I456" t="str">
            <v>NO</v>
          </cell>
          <cell r="J456" t="str">
            <v>YES</v>
          </cell>
          <cell r="K456" t="str">
            <v>BRONZE</v>
          </cell>
          <cell r="L456" t="str">
            <v>rural</v>
          </cell>
          <cell r="M456">
            <v>0</v>
          </cell>
          <cell r="N456" t="str">
            <v>TSEVIE</v>
          </cell>
        </row>
        <row r="457">
          <cell r="A457" t="str">
            <v>FOIRE</v>
          </cell>
          <cell r="B457">
            <v>41744</v>
          </cell>
          <cell r="C457" t="str">
            <v>LOM-096</v>
          </cell>
          <cell r="D457" t="str">
            <v>LOME</v>
          </cell>
          <cell r="E457" t="str">
            <v>LOME-CENTRE</v>
          </cell>
          <cell r="F457" t="str">
            <v>FO</v>
          </cell>
          <cell r="G457" t="str">
            <v>Grid-DG-Batt.</v>
          </cell>
          <cell r="H457" t="str">
            <v>OK</v>
          </cell>
          <cell r="I457" t="str">
            <v>NO</v>
          </cell>
          <cell r="J457" t="str">
            <v>NO</v>
          </cell>
          <cell r="K457" t="str">
            <v>GOLD</v>
          </cell>
          <cell r="L457" t="str">
            <v>Urbain</v>
          </cell>
          <cell r="M457" t="str">
            <v>70996434</v>
          </cell>
          <cell r="N457" t="str">
            <v>LOME CENTRE</v>
          </cell>
        </row>
        <row r="458">
          <cell r="A458" t="str">
            <v>FOLO-BANDA</v>
          </cell>
          <cell r="B458">
            <v>44638</v>
          </cell>
          <cell r="C458" t="str">
            <v>CEN-108</v>
          </cell>
          <cell r="D458" t="str">
            <v>KARA</v>
          </cell>
          <cell r="E458" t="str">
            <v>KABOU</v>
          </cell>
          <cell r="F458" t="str">
            <v>FH</v>
          </cell>
          <cell r="G458" t="str">
            <v>DG-Solar-Batt.</v>
          </cell>
          <cell r="H458" t="str">
            <v>OK</v>
          </cell>
          <cell r="I458" t="str">
            <v>NO</v>
          </cell>
          <cell r="J458" t="str">
            <v>YES</v>
          </cell>
          <cell r="K458" t="str">
            <v>BRONZE</v>
          </cell>
          <cell r="L458" t="str">
            <v>rural</v>
          </cell>
          <cell r="M458" t="e">
            <v>#N/A</v>
          </cell>
          <cell r="N458" t="str">
            <v>KABOU</v>
          </cell>
        </row>
        <row r="459">
          <cell r="A459" t="str">
            <v>FUCEC</v>
          </cell>
          <cell r="B459">
            <v>43190</v>
          </cell>
          <cell r="C459" t="str">
            <v>LOM-112</v>
          </cell>
          <cell r="D459" t="str">
            <v>LOME</v>
          </cell>
          <cell r="E459" t="str">
            <v>LOME-CENTRE</v>
          </cell>
          <cell r="F459" t="str">
            <v>FH</v>
          </cell>
          <cell r="G459" t="str">
            <v>Grid-Batt.</v>
          </cell>
          <cell r="H459" t="str">
            <v>N/A</v>
          </cell>
          <cell r="I459" t="str">
            <v>YES</v>
          </cell>
          <cell r="J459" t="str">
            <v>NO</v>
          </cell>
          <cell r="K459" t="str">
            <v>GOLD</v>
          </cell>
          <cell r="L459" t="str">
            <v>Urbain</v>
          </cell>
          <cell r="M459">
            <v>0</v>
          </cell>
          <cell r="N459" t="str">
            <v>LOME CENTRE</v>
          </cell>
        </row>
        <row r="460">
          <cell r="A460" t="str">
            <v>GAKLI</v>
          </cell>
          <cell r="B460">
            <v>39052</v>
          </cell>
          <cell r="C460" t="str">
            <v>LOM-086</v>
          </cell>
          <cell r="D460" t="str">
            <v>LOME</v>
          </cell>
          <cell r="E460" t="str">
            <v>LOME-OUEST 2</v>
          </cell>
          <cell r="F460" t="str">
            <v>FO</v>
          </cell>
          <cell r="G460" t="str">
            <v>Grid-DG-Batt.</v>
          </cell>
          <cell r="H460" t="str">
            <v>OK</v>
          </cell>
          <cell r="I460" t="str">
            <v>NO</v>
          </cell>
          <cell r="J460" t="str">
            <v>NO</v>
          </cell>
          <cell r="K460" t="str">
            <v>GOLD</v>
          </cell>
          <cell r="L460" t="str">
            <v>Urbain</v>
          </cell>
          <cell r="M460" t="str">
            <v>70996793</v>
          </cell>
          <cell r="N460" t="str">
            <v>LOME OUEST2</v>
          </cell>
        </row>
        <row r="461">
          <cell r="A461" t="str">
            <v>GAKLI2</v>
          </cell>
          <cell r="B461">
            <v>41974</v>
          </cell>
          <cell r="C461" t="str">
            <v>LOM-106</v>
          </cell>
          <cell r="D461" t="str">
            <v>LOME</v>
          </cell>
          <cell r="E461" t="str">
            <v>LOME-OUEST 2</v>
          </cell>
          <cell r="F461" t="str">
            <v>FO</v>
          </cell>
          <cell r="G461" t="str">
            <v>Grid-DG-Batt.</v>
          </cell>
          <cell r="H461" t="str">
            <v>OK</v>
          </cell>
          <cell r="I461" t="str">
            <v>NO</v>
          </cell>
          <cell r="J461" t="str">
            <v>NO</v>
          </cell>
          <cell r="K461" t="str">
            <v>SILVER</v>
          </cell>
          <cell r="L461" t="str">
            <v>Urbain</v>
          </cell>
          <cell r="M461" t="str">
            <v>70996794</v>
          </cell>
          <cell r="N461" t="str">
            <v>LOME OUEST2</v>
          </cell>
        </row>
        <row r="462">
          <cell r="A462" t="str">
            <v>GALANGACHI</v>
          </cell>
          <cell r="B462">
            <v>39458</v>
          </cell>
          <cell r="C462" t="str">
            <v>SAV-044</v>
          </cell>
          <cell r="D462" t="str">
            <v>SAVANES</v>
          </cell>
          <cell r="E462" t="str">
            <v>MANGO</v>
          </cell>
          <cell r="F462" t="str">
            <v>FH</v>
          </cell>
          <cell r="G462" t="str">
            <v>DG-Solar-Batt.</v>
          </cell>
          <cell r="H462" t="str">
            <v>OK</v>
          </cell>
          <cell r="I462" t="str">
            <v>NO</v>
          </cell>
          <cell r="J462" t="str">
            <v>YES</v>
          </cell>
          <cell r="K462" t="str">
            <v>BRONZE</v>
          </cell>
          <cell r="L462" t="str">
            <v>rural</v>
          </cell>
          <cell r="M462" t="str">
            <v>70996795</v>
          </cell>
          <cell r="N462" t="str">
            <v>MANGO</v>
          </cell>
        </row>
        <row r="463">
          <cell r="A463" t="str">
            <v>GAME</v>
          </cell>
          <cell r="B463">
            <v>40148</v>
          </cell>
          <cell r="C463" t="str">
            <v>MAR-063</v>
          </cell>
          <cell r="D463" t="str">
            <v>PLATEAUX</v>
          </cell>
          <cell r="E463" t="str">
            <v>NOTSE</v>
          </cell>
          <cell r="F463" t="str">
            <v>FH</v>
          </cell>
          <cell r="G463" t="str">
            <v>Grid-DG-Solar-Batt.</v>
          </cell>
          <cell r="H463" t="str">
            <v>OK</v>
          </cell>
          <cell r="I463" t="str">
            <v>NO</v>
          </cell>
          <cell r="J463" t="str">
            <v>NO</v>
          </cell>
          <cell r="K463" t="str">
            <v>SILVER</v>
          </cell>
          <cell r="L463" t="str">
            <v>rural</v>
          </cell>
          <cell r="M463" t="str">
            <v>70996796</v>
          </cell>
          <cell r="N463" t="str">
            <v>NOTSE</v>
          </cell>
        </row>
        <row r="464">
          <cell r="A464" t="str">
            <v>GAME-AMOU</v>
          </cell>
          <cell r="B464">
            <v>42156</v>
          </cell>
          <cell r="C464" t="str">
            <v>PLA-104</v>
          </cell>
          <cell r="D464" t="str">
            <v>PLATEAUX</v>
          </cell>
          <cell r="E464" t="str">
            <v>ATAKPAME-OUEST</v>
          </cell>
          <cell r="F464" t="str">
            <v>FH</v>
          </cell>
          <cell r="G464" t="str">
            <v>DG-Solar-Batt.</v>
          </cell>
          <cell r="H464" t="str">
            <v>NOK</v>
          </cell>
          <cell r="I464" t="str">
            <v>NO</v>
          </cell>
          <cell r="J464" t="str">
            <v>NO</v>
          </cell>
          <cell r="K464" t="str">
            <v>BRONZE</v>
          </cell>
          <cell r="L464" t="str">
            <v>rural</v>
          </cell>
          <cell r="M464" t="str">
            <v>70996797</v>
          </cell>
          <cell r="N464" t="str">
            <v>ATAKPAME</v>
          </cell>
        </row>
        <row r="465">
          <cell r="A465" t="str">
            <v>GAME-LILI</v>
          </cell>
          <cell r="B465">
            <v>44640</v>
          </cell>
          <cell r="C465" t="str">
            <v>MAR-095</v>
          </cell>
          <cell r="D465" t="str">
            <v>MARITIME</v>
          </cell>
          <cell r="E465" t="str">
            <v>TSEVIE</v>
          </cell>
          <cell r="F465" t="str">
            <v>FH</v>
          </cell>
          <cell r="G465" t="str">
            <v>DG-Batt.</v>
          </cell>
          <cell r="H465" t="str">
            <v>NOK</v>
          </cell>
          <cell r="I465" t="str">
            <v>NO</v>
          </cell>
          <cell r="J465" t="str">
            <v>YES</v>
          </cell>
          <cell r="K465" t="str">
            <v>BRONZE</v>
          </cell>
          <cell r="L465" t="str">
            <v>rural</v>
          </cell>
          <cell r="M465" t="str">
            <v>70996474</v>
          </cell>
          <cell r="N465" t="str">
            <v>TSEVIE</v>
          </cell>
        </row>
        <row r="466">
          <cell r="A466" t="str">
            <v>GANDO</v>
          </cell>
          <cell r="B466">
            <v>41609</v>
          </cell>
          <cell r="C466" t="str">
            <v>SAV-050</v>
          </cell>
          <cell r="D466" t="str">
            <v>SAVANES</v>
          </cell>
          <cell r="E466" t="str">
            <v>MANGO</v>
          </cell>
          <cell r="F466" t="str">
            <v>FH</v>
          </cell>
          <cell r="G466" t="str">
            <v>Grid-DG-Solar-Batt.</v>
          </cell>
          <cell r="H466" t="str">
            <v>OK</v>
          </cell>
          <cell r="I466" t="str">
            <v>NO</v>
          </cell>
          <cell r="J466" t="str">
            <v>YES</v>
          </cell>
          <cell r="K466" t="str">
            <v>GOLD</v>
          </cell>
          <cell r="L466" t="str">
            <v>rural</v>
          </cell>
          <cell r="M466" t="str">
            <v>70996798</v>
          </cell>
          <cell r="N466" t="str">
            <v>MANGO</v>
          </cell>
        </row>
        <row r="467">
          <cell r="A467" t="str">
            <v>GAOUGBLE</v>
          </cell>
          <cell r="B467">
            <v>43876</v>
          </cell>
          <cell r="C467" t="str">
            <v>PLA-144</v>
          </cell>
          <cell r="D467" t="str">
            <v>PLATEAUX</v>
          </cell>
          <cell r="E467" t="str">
            <v>ATAKPAME-EST</v>
          </cell>
          <cell r="F467" t="str">
            <v>FH</v>
          </cell>
          <cell r="G467" t="str">
            <v>DG-Solar-Batt.</v>
          </cell>
          <cell r="H467" t="str">
            <v>OK</v>
          </cell>
          <cell r="I467" t="str">
            <v>NO</v>
          </cell>
          <cell r="J467" t="str">
            <v>YES</v>
          </cell>
          <cell r="K467" t="str">
            <v>BRONZE</v>
          </cell>
          <cell r="L467" t="str">
            <v>rural</v>
          </cell>
          <cell r="M467" t="str">
            <v>70996799</v>
          </cell>
          <cell r="N467" t="str">
            <v>ELAVAGNON</v>
          </cell>
        </row>
        <row r="468">
          <cell r="A468" t="str">
            <v>GAPE</v>
          </cell>
          <cell r="B468">
            <v>40148</v>
          </cell>
          <cell r="C468" t="str">
            <v>MAR-064</v>
          </cell>
          <cell r="D468" t="str">
            <v>MARITIME</v>
          </cell>
          <cell r="E468" t="str">
            <v>TSEVIE</v>
          </cell>
          <cell r="F468" t="str">
            <v>FH</v>
          </cell>
          <cell r="G468" t="str">
            <v>DG-Solar-Batt.</v>
          </cell>
          <cell r="H468" t="str">
            <v>OK</v>
          </cell>
          <cell r="I468" t="str">
            <v>NO</v>
          </cell>
          <cell r="J468" t="str">
            <v>NO</v>
          </cell>
          <cell r="K468" t="str">
            <v>BRONZE</v>
          </cell>
          <cell r="L468" t="str">
            <v>rural</v>
          </cell>
          <cell r="M468" t="str">
            <v>70996800</v>
          </cell>
          <cell r="N468" t="str">
            <v>TSEVIE</v>
          </cell>
        </row>
        <row r="469">
          <cell r="A469" t="str">
            <v>GAPE-ALOYI</v>
          </cell>
          <cell r="B469">
            <v>41609</v>
          </cell>
          <cell r="C469" t="str">
            <v>MAR-065</v>
          </cell>
          <cell r="D469" t="str">
            <v>MARITIME</v>
          </cell>
          <cell r="E469" t="str">
            <v>TSEVIE</v>
          </cell>
          <cell r="F469" t="str">
            <v>FH</v>
          </cell>
          <cell r="G469" t="str">
            <v>DG-Solar-Batt.</v>
          </cell>
          <cell r="H469" t="str">
            <v>OK</v>
          </cell>
          <cell r="I469" t="str">
            <v>NO</v>
          </cell>
          <cell r="J469" t="str">
            <v>NO</v>
          </cell>
          <cell r="K469" t="str">
            <v>BRONZE</v>
          </cell>
          <cell r="L469" t="str">
            <v>rural</v>
          </cell>
          <cell r="M469" t="str">
            <v>70996801</v>
          </cell>
          <cell r="N469" t="str">
            <v>TSEVIE</v>
          </cell>
        </row>
        <row r="470">
          <cell r="A470" t="str">
            <v>GAPE-ATCHANVE</v>
          </cell>
          <cell r="B470">
            <v>43910</v>
          </cell>
          <cell r="C470" t="str">
            <v>MAR-083</v>
          </cell>
          <cell r="D470" t="str">
            <v>MARITIME</v>
          </cell>
          <cell r="E470" t="str">
            <v>TSEVIE</v>
          </cell>
          <cell r="F470" t="str">
            <v>FH</v>
          </cell>
          <cell r="G470" t="str">
            <v>DG-Solar-Batt.</v>
          </cell>
          <cell r="H470" t="str">
            <v>OK</v>
          </cell>
          <cell r="I470" t="str">
            <v>NO</v>
          </cell>
          <cell r="J470" t="str">
            <v>YES</v>
          </cell>
          <cell r="K470" t="str">
            <v>BRONZE</v>
          </cell>
          <cell r="L470" t="str">
            <v>rural</v>
          </cell>
          <cell r="M470" t="str">
            <v>70996802</v>
          </cell>
          <cell r="N470" t="str">
            <v>TSEVIE</v>
          </cell>
        </row>
        <row r="471">
          <cell r="A471" t="str">
            <v>GAPEKPEDI</v>
          </cell>
          <cell r="B471">
            <v>40410</v>
          </cell>
          <cell r="C471" t="str">
            <v>MAR-056</v>
          </cell>
          <cell r="D471" t="str">
            <v>MARITIME</v>
          </cell>
          <cell r="E471" t="str">
            <v>TSEVIE</v>
          </cell>
          <cell r="F471" t="str">
            <v>FH</v>
          </cell>
          <cell r="G471" t="str">
            <v>DG-Solar-Batt.</v>
          </cell>
          <cell r="H471" t="str">
            <v>OK</v>
          </cell>
          <cell r="I471" t="str">
            <v>NO</v>
          </cell>
          <cell r="J471" t="str">
            <v>NO</v>
          </cell>
          <cell r="K471" t="str">
            <v>BRONZE</v>
          </cell>
          <cell r="L471" t="str">
            <v>rural</v>
          </cell>
          <cell r="M471" t="e">
            <v>#N/A</v>
          </cell>
          <cell r="N471" t="str">
            <v>TSEVIE</v>
          </cell>
        </row>
        <row r="472">
          <cell r="A472" t="str">
            <v>GATI-AGODOU</v>
          </cell>
          <cell r="B472">
            <v>43895</v>
          </cell>
          <cell r="C472" t="str">
            <v>MAR-080</v>
          </cell>
          <cell r="D472" t="str">
            <v>MARITIME</v>
          </cell>
          <cell r="E472" t="str">
            <v>TSEVIE</v>
          </cell>
          <cell r="F472" t="str">
            <v>FH</v>
          </cell>
          <cell r="G472" t="str">
            <v>DG-Solar-Batt.</v>
          </cell>
          <cell r="H472" t="str">
            <v>NOK</v>
          </cell>
          <cell r="I472" t="str">
            <v>NO</v>
          </cell>
          <cell r="J472" t="str">
            <v>YES</v>
          </cell>
          <cell r="K472" t="str">
            <v>BRONZE</v>
          </cell>
          <cell r="L472" t="str">
            <v>rural</v>
          </cell>
          <cell r="M472" t="str">
            <v>70996804</v>
          </cell>
          <cell r="N472" t="str">
            <v>TSEVIE</v>
          </cell>
        </row>
        <row r="473">
          <cell r="A473" t="str">
            <v>GBADAGO</v>
          </cell>
          <cell r="B473"/>
          <cell r="C473" t="str">
            <v>LOM-121</v>
          </cell>
          <cell r="D473" t="str">
            <v>LOME</v>
          </cell>
          <cell r="E473" t="str">
            <v>LOME-SUD</v>
          </cell>
          <cell r="F473" t="str">
            <v>FO</v>
          </cell>
          <cell r="G473" t="str">
            <v>Grid-DG-Batt.</v>
          </cell>
          <cell r="H473" t="str">
            <v>OK</v>
          </cell>
          <cell r="I473" t="str">
            <v>NO</v>
          </cell>
          <cell r="J473" t="str">
            <v>NO</v>
          </cell>
          <cell r="K473" t="str">
            <v>GOLD</v>
          </cell>
          <cell r="L473" t="str">
            <v>Urbain</v>
          </cell>
          <cell r="M473" t="str">
            <v>70996805</v>
          </cell>
          <cell r="N473" t="str">
            <v>LOME SUD</v>
          </cell>
        </row>
        <row r="474">
          <cell r="A474" t="str">
            <v>GBADINKOUGNA</v>
          </cell>
          <cell r="B474"/>
          <cell r="C474" t="str">
            <v>PLA-117</v>
          </cell>
          <cell r="D474" t="str">
            <v>PLATEAUX</v>
          </cell>
          <cell r="E474" t="str">
            <v>BADOU</v>
          </cell>
          <cell r="F474" t="str">
            <v>FH</v>
          </cell>
          <cell r="G474" t="str">
            <v>DG-Solar-Batt.</v>
          </cell>
          <cell r="H474" t="str">
            <v>OK</v>
          </cell>
          <cell r="I474" t="str">
            <v>NO</v>
          </cell>
          <cell r="J474" t="str">
            <v>NO</v>
          </cell>
          <cell r="K474" t="str">
            <v>BRONZE</v>
          </cell>
          <cell r="L474" t="str">
            <v>rural</v>
          </cell>
          <cell r="M474" t="str">
            <v>70996806</v>
          </cell>
          <cell r="N474" t="str">
            <v>BADOU</v>
          </cell>
        </row>
        <row r="475">
          <cell r="A475" t="str">
            <v>GBADJAHE</v>
          </cell>
          <cell r="B475"/>
          <cell r="C475" t="str">
            <v>PLA-087</v>
          </cell>
          <cell r="D475" t="str">
            <v>PLATEAUX</v>
          </cell>
          <cell r="E475" t="str">
            <v>ATAKPAME-EST</v>
          </cell>
          <cell r="F475" t="str">
            <v>FH</v>
          </cell>
          <cell r="G475" t="str">
            <v>Grid-DG-Batt.</v>
          </cell>
          <cell r="H475" t="str">
            <v>OK</v>
          </cell>
          <cell r="I475" t="str">
            <v>NO</v>
          </cell>
          <cell r="J475" t="str">
            <v>NO</v>
          </cell>
          <cell r="K475" t="str">
            <v>BRONZE</v>
          </cell>
          <cell r="L475" t="str">
            <v>rural</v>
          </cell>
          <cell r="M475" t="str">
            <v>70996807</v>
          </cell>
          <cell r="N475" t="str">
            <v>ELAVAGNON</v>
          </cell>
        </row>
        <row r="476">
          <cell r="A476" t="str">
            <v>GBAGBADJAKOU</v>
          </cell>
          <cell r="B476"/>
          <cell r="C476" t="str">
            <v>PLA-080</v>
          </cell>
          <cell r="D476" t="str">
            <v>PLATEAUX</v>
          </cell>
          <cell r="E476" t="str">
            <v>ATAKPAME-OUEST</v>
          </cell>
          <cell r="F476" t="str">
            <v>FH</v>
          </cell>
          <cell r="G476" t="str">
            <v>DG-Solar-Batt.</v>
          </cell>
          <cell r="H476" t="str">
            <v>OK</v>
          </cell>
          <cell r="I476" t="str">
            <v>NO</v>
          </cell>
          <cell r="J476" t="str">
            <v>NO</v>
          </cell>
          <cell r="K476" t="str">
            <v>BRONZE</v>
          </cell>
          <cell r="L476" t="str">
            <v>rural</v>
          </cell>
          <cell r="M476" t="str">
            <v>70996808</v>
          </cell>
          <cell r="N476" t="str">
            <v>ELAVAGNON</v>
          </cell>
        </row>
        <row r="477">
          <cell r="A477" t="str">
            <v>GBANKONE</v>
          </cell>
          <cell r="B477">
            <v>45152</v>
          </cell>
          <cell r="C477" t="str">
            <v>SAV-101</v>
          </cell>
          <cell r="D477" t="str">
            <v>SAVANES</v>
          </cell>
          <cell r="E477" t="str">
            <v>DAPAONG 1</v>
          </cell>
          <cell r="F477" t="str">
            <v>FH</v>
          </cell>
          <cell r="G477" t="str">
            <v>DG-Solar-Batt.</v>
          </cell>
          <cell r="H477" t="str">
            <v>OK</v>
          </cell>
          <cell r="I477" t="str">
            <v>NO</v>
          </cell>
          <cell r="J477" t="str">
            <v>NO</v>
          </cell>
          <cell r="K477" t="str">
            <v>BRONZE</v>
          </cell>
          <cell r="L477" t="str">
            <v>rural</v>
          </cell>
          <cell r="M477">
            <v>70997370</v>
          </cell>
          <cell r="N477" t="str">
            <v>DAPAONG</v>
          </cell>
        </row>
        <row r="478">
          <cell r="A478" t="str">
            <v>GBANTCHAL</v>
          </cell>
          <cell r="B478">
            <v>43911</v>
          </cell>
          <cell r="C478" t="str">
            <v>SAV-079</v>
          </cell>
          <cell r="D478" t="str">
            <v>SAVANES</v>
          </cell>
          <cell r="E478" t="str">
            <v>DAPAONG 1</v>
          </cell>
          <cell r="F478" t="str">
            <v>FH</v>
          </cell>
          <cell r="G478" t="str">
            <v>DG-Solar-Batt.</v>
          </cell>
          <cell r="H478" t="str">
            <v>OK</v>
          </cell>
          <cell r="I478" t="str">
            <v>NO</v>
          </cell>
          <cell r="J478" t="str">
            <v>YES</v>
          </cell>
          <cell r="K478" t="str">
            <v>BRONZE</v>
          </cell>
          <cell r="L478" t="str">
            <v>rural</v>
          </cell>
          <cell r="M478" t="str">
            <v>70996809</v>
          </cell>
          <cell r="N478" t="str">
            <v>DAPAONG</v>
          </cell>
        </row>
        <row r="479">
          <cell r="A479" t="str">
            <v>GBATOPE</v>
          </cell>
          <cell r="B479"/>
          <cell r="C479" t="str">
            <v>MAR-007</v>
          </cell>
          <cell r="D479" t="str">
            <v>MARITIME</v>
          </cell>
          <cell r="E479" t="str">
            <v>TSEVIE</v>
          </cell>
          <cell r="F479" t="str">
            <v>FH</v>
          </cell>
          <cell r="G479" t="str">
            <v>Grid-DG-Batt.</v>
          </cell>
          <cell r="H479" t="str">
            <v>OK</v>
          </cell>
          <cell r="I479" t="str">
            <v>YES</v>
          </cell>
          <cell r="J479" t="str">
            <v>NO</v>
          </cell>
          <cell r="K479" t="str">
            <v>SILVER</v>
          </cell>
          <cell r="L479" t="str">
            <v>SubUrbain</v>
          </cell>
          <cell r="M479" t="str">
            <v>70996810</v>
          </cell>
          <cell r="N479" t="str">
            <v>TSEVIE</v>
          </cell>
        </row>
        <row r="480">
          <cell r="A480" t="str">
            <v>GBENYEDI</v>
          </cell>
          <cell r="B480"/>
          <cell r="C480" t="str">
            <v>LOM-173</v>
          </cell>
          <cell r="D480" t="str">
            <v>LOME</v>
          </cell>
          <cell r="E480" t="str">
            <v>LOME-SUD</v>
          </cell>
          <cell r="F480" t="str">
            <v>FO</v>
          </cell>
          <cell r="G480" t="str">
            <v>Grid-DG-Batt.</v>
          </cell>
          <cell r="H480" t="str">
            <v>OK</v>
          </cell>
          <cell r="I480" t="str">
            <v>YES</v>
          </cell>
          <cell r="J480" t="str">
            <v>NO</v>
          </cell>
          <cell r="K480" t="str">
            <v>SILVER</v>
          </cell>
          <cell r="L480" t="str">
            <v>Urbain</v>
          </cell>
          <cell r="M480" t="str">
            <v>70996435</v>
          </cell>
          <cell r="N480" t="str">
            <v>LOME SUD</v>
          </cell>
        </row>
        <row r="481">
          <cell r="A481" t="str">
            <v>GBENYEDI2</v>
          </cell>
          <cell r="B481"/>
          <cell r="C481" t="str">
            <v>LOM-174</v>
          </cell>
          <cell r="D481" t="str">
            <v>LOME</v>
          </cell>
          <cell r="E481" t="str">
            <v>LOME-SUD</v>
          </cell>
          <cell r="F481" t="str">
            <v>FO</v>
          </cell>
          <cell r="G481" t="str">
            <v>Grid-DG-Batt.</v>
          </cell>
          <cell r="H481" t="str">
            <v>OK</v>
          </cell>
          <cell r="I481" t="str">
            <v>NO</v>
          </cell>
          <cell r="J481" t="str">
            <v>NO</v>
          </cell>
          <cell r="K481" t="str">
            <v>SILVER</v>
          </cell>
          <cell r="L481" t="str">
            <v>Urbain</v>
          </cell>
          <cell r="M481" t="str">
            <v>70996811</v>
          </cell>
          <cell r="N481" t="str">
            <v>LOME SUD</v>
          </cell>
        </row>
        <row r="482">
          <cell r="A482" t="str">
            <v>GBENYEDI-MOOV</v>
          </cell>
          <cell r="B482"/>
          <cell r="C482" t="str">
            <v>LOM-175</v>
          </cell>
          <cell r="D482" t="str">
            <v>LOME</v>
          </cell>
          <cell r="E482" t="str">
            <v>LOME-SUD</v>
          </cell>
          <cell r="F482" t="str">
            <v>FH</v>
          </cell>
          <cell r="G482" t="str">
            <v>Grid-DG-Batt.</v>
          </cell>
          <cell r="H482" t="str">
            <v>OK</v>
          </cell>
          <cell r="I482" t="str">
            <v>NO</v>
          </cell>
          <cell r="J482" t="str">
            <v>NO</v>
          </cell>
          <cell r="K482" t="str">
            <v>BRONZE</v>
          </cell>
          <cell r="L482" t="str">
            <v>Urbain</v>
          </cell>
          <cell r="M482">
            <v>0</v>
          </cell>
          <cell r="N482" t="str">
            <v>LOME SUD</v>
          </cell>
        </row>
        <row r="483">
          <cell r="A483" t="str">
            <v>GBETSOGBE</v>
          </cell>
          <cell r="B483">
            <v>45247</v>
          </cell>
          <cell r="C483" t="str">
            <v>LOM-339</v>
          </cell>
          <cell r="D483" t="str">
            <v>LOME</v>
          </cell>
          <cell r="E483" t="str">
            <v>LOME-EST</v>
          </cell>
          <cell r="F483" t="str">
            <v>FTTM</v>
          </cell>
          <cell r="G483" t="str">
            <v>Grid-DG-Batt.</v>
          </cell>
          <cell r="H483" t="str">
            <v>OK</v>
          </cell>
          <cell r="I483" t="str">
            <v>NO</v>
          </cell>
          <cell r="J483" t="str">
            <v>NO</v>
          </cell>
          <cell r="K483" t="str">
            <v>SILVER</v>
          </cell>
          <cell r="L483" t="str">
            <v>URBAN</v>
          </cell>
          <cell r="M483">
            <v>0</v>
          </cell>
          <cell r="N483" t="str">
            <v>LOME EST</v>
          </cell>
        </row>
        <row r="484">
          <cell r="A484" t="str">
            <v>GBLINKOME</v>
          </cell>
          <cell r="B484"/>
          <cell r="C484" t="str">
            <v>LOM-078</v>
          </cell>
          <cell r="D484" t="str">
            <v>LOME</v>
          </cell>
          <cell r="E484" t="str">
            <v>LOME-OUEST 2</v>
          </cell>
          <cell r="F484" t="str">
            <v>FO</v>
          </cell>
          <cell r="G484" t="str">
            <v>Grid-DG-Batt.</v>
          </cell>
          <cell r="H484" t="str">
            <v>OK</v>
          </cell>
          <cell r="I484" t="str">
            <v>NO</v>
          </cell>
          <cell r="J484" t="str">
            <v>NO</v>
          </cell>
          <cell r="K484" t="str">
            <v>GOLD</v>
          </cell>
          <cell r="L484" t="str">
            <v>Urbain</v>
          </cell>
          <cell r="M484" t="str">
            <v>70996812</v>
          </cell>
          <cell r="N484" t="str">
            <v>LOME OUEST2</v>
          </cell>
        </row>
        <row r="485">
          <cell r="A485" t="str">
            <v>GDODJOME</v>
          </cell>
          <cell r="B485">
            <v>45080</v>
          </cell>
          <cell r="C485" t="str">
            <v>LOM-340</v>
          </cell>
          <cell r="D485" t="str">
            <v>LOME</v>
          </cell>
          <cell r="E485" t="str">
            <v>LOME-EST</v>
          </cell>
          <cell r="F485" t="str">
            <v>FH</v>
          </cell>
          <cell r="G485" t="str">
            <v>Grid-DG-Batt.</v>
          </cell>
          <cell r="H485" t="str">
            <v>OK</v>
          </cell>
          <cell r="I485" t="str">
            <v>NO</v>
          </cell>
          <cell r="J485" t="str">
            <v>NO</v>
          </cell>
          <cell r="K485" t="str">
            <v>BRONZE</v>
          </cell>
          <cell r="L485" t="str">
            <v>SubUrbain</v>
          </cell>
          <cell r="M485" t="e">
            <v>#N/A</v>
          </cell>
          <cell r="N485" t="str">
            <v>LOME EST</v>
          </cell>
        </row>
        <row r="486">
          <cell r="A486" t="str">
            <v>GBONVE</v>
          </cell>
          <cell r="B486"/>
          <cell r="C486" t="str">
            <v>LOM-019</v>
          </cell>
          <cell r="D486" t="str">
            <v>LOME</v>
          </cell>
          <cell r="E486" t="str">
            <v>LOME-NORD</v>
          </cell>
          <cell r="F486" t="str">
            <v>FO</v>
          </cell>
          <cell r="G486" t="str">
            <v>Grid-DG-Batt.</v>
          </cell>
          <cell r="H486" t="str">
            <v>OK</v>
          </cell>
          <cell r="I486" t="str">
            <v>NO</v>
          </cell>
          <cell r="J486" t="str">
            <v>NO</v>
          </cell>
          <cell r="K486" t="str">
            <v>GOLD</v>
          </cell>
          <cell r="L486" t="str">
            <v>Urbain</v>
          </cell>
          <cell r="M486">
            <v>0</v>
          </cell>
          <cell r="N486" t="str">
            <v>LOME NORD</v>
          </cell>
        </row>
        <row r="487">
          <cell r="A487" t="str">
            <v>GBONVIE</v>
          </cell>
          <cell r="B487"/>
          <cell r="C487" t="str">
            <v>LOM-122</v>
          </cell>
          <cell r="D487" t="str">
            <v>LOME</v>
          </cell>
          <cell r="E487" t="str">
            <v>LOME-SUD</v>
          </cell>
          <cell r="F487" t="str">
            <v>FO</v>
          </cell>
          <cell r="G487" t="str">
            <v>Grid-Batt.</v>
          </cell>
          <cell r="H487" t="str">
            <v>N/A</v>
          </cell>
          <cell r="I487" t="str">
            <v>YES</v>
          </cell>
          <cell r="J487" t="str">
            <v>NO</v>
          </cell>
          <cell r="K487" t="str">
            <v>GOLD</v>
          </cell>
          <cell r="L487" t="str">
            <v>Urbain</v>
          </cell>
          <cell r="M487">
            <v>0</v>
          </cell>
          <cell r="N487" t="str">
            <v>LOME SUD</v>
          </cell>
        </row>
        <row r="488">
          <cell r="A488" t="str">
            <v>GBOSSIME</v>
          </cell>
          <cell r="B488"/>
          <cell r="C488" t="str">
            <v>LOM-123</v>
          </cell>
          <cell r="D488" t="str">
            <v>LOME</v>
          </cell>
          <cell r="E488" t="str">
            <v>LOME-CENTRE</v>
          </cell>
          <cell r="F488" t="str">
            <v>FO</v>
          </cell>
          <cell r="G488" t="str">
            <v>Grid-DG-Batt.</v>
          </cell>
          <cell r="H488" t="str">
            <v>OK</v>
          </cell>
          <cell r="I488" t="str">
            <v>NO</v>
          </cell>
          <cell r="J488" t="str">
            <v>NO</v>
          </cell>
          <cell r="K488" t="str">
            <v>SILVER</v>
          </cell>
          <cell r="L488" t="str">
            <v>Urbain</v>
          </cell>
          <cell r="M488" t="str">
            <v>70996813</v>
          </cell>
          <cell r="N488" t="str">
            <v>LOME CENTRE</v>
          </cell>
        </row>
        <row r="489">
          <cell r="A489" t="str">
            <v>GBOTO</v>
          </cell>
          <cell r="B489"/>
          <cell r="C489" t="str">
            <v>MAR-046</v>
          </cell>
          <cell r="D489" t="str">
            <v>MARITIME</v>
          </cell>
          <cell r="E489" t="str">
            <v>ANEHO</v>
          </cell>
          <cell r="F489" t="str">
            <v>FH</v>
          </cell>
          <cell r="G489" t="str">
            <v>Grid-DG-Solar-Batt.</v>
          </cell>
          <cell r="H489" t="str">
            <v>NOK</v>
          </cell>
          <cell r="I489" t="str">
            <v>NO</v>
          </cell>
          <cell r="J489" t="str">
            <v>NO</v>
          </cell>
          <cell r="K489" t="str">
            <v>BRONZE</v>
          </cell>
          <cell r="L489" t="str">
            <v>rural</v>
          </cell>
          <cell r="M489" t="str">
            <v>70996814</v>
          </cell>
          <cell r="N489" t="str">
            <v>ANEHO</v>
          </cell>
        </row>
        <row r="490">
          <cell r="A490" t="str">
            <v>GBOTO-KOSSIDAME</v>
          </cell>
          <cell r="B490">
            <v>43873</v>
          </cell>
          <cell r="C490" t="str">
            <v>MAR-075</v>
          </cell>
          <cell r="D490" t="str">
            <v>MARITIME</v>
          </cell>
          <cell r="E490" t="str">
            <v>ANEHO</v>
          </cell>
          <cell r="F490" t="str">
            <v>FH</v>
          </cell>
          <cell r="G490" t="str">
            <v>Grid-DG-Batt.</v>
          </cell>
          <cell r="H490" t="str">
            <v>OK</v>
          </cell>
          <cell r="I490" t="str">
            <v>NO</v>
          </cell>
          <cell r="J490" t="str">
            <v>NO</v>
          </cell>
          <cell r="K490" t="str">
            <v>BRONZE</v>
          </cell>
          <cell r="L490" t="str">
            <v>rural</v>
          </cell>
          <cell r="M490" t="str">
            <v>70996815</v>
          </cell>
          <cell r="N490" t="str">
            <v>ANEHO</v>
          </cell>
        </row>
        <row r="491">
          <cell r="A491" t="str">
            <v>GBOWLE-MOOV</v>
          </cell>
          <cell r="B491">
            <v>43799</v>
          </cell>
          <cell r="C491" t="str">
            <v>PLA-110</v>
          </cell>
          <cell r="D491" t="str">
            <v>PLATEAUX</v>
          </cell>
          <cell r="E491" t="str">
            <v>NOTSE</v>
          </cell>
          <cell r="F491" t="str">
            <v>FH</v>
          </cell>
          <cell r="G491" t="str">
            <v>DG-Solar-Batt.</v>
          </cell>
          <cell r="H491" t="str">
            <v>OK</v>
          </cell>
          <cell r="I491" t="str">
            <v>NO</v>
          </cell>
          <cell r="J491" t="str">
            <v>NO</v>
          </cell>
          <cell r="K491" t="str">
            <v>BRONZE</v>
          </cell>
          <cell r="L491" t="str">
            <v>rural</v>
          </cell>
          <cell r="M491">
            <v>70996816</v>
          </cell>
          <cell r="N491" t="str">
            <v>NOTSE</v>
          </cell>
        </row>
        <row r="492">
          <cell r="A492" t="str">
            <v>GLEI</v>
          </cell>
          <cell r="B492"/>
          <cell r="C492" t="str">
            <v>PLA-124</v>
          </cell>
          <cell r="D492" t="str">
            <v>PLATEAUX</v>
          </cell>
          <cell r="E492" t="str">
            <v>ATAKPAME-EST</v>
          </cell>
          <cell r="F492" t="str">
            <v>FO</v>
          </cell>
          <cell r="G492" t="str">
            <v>Grid-DG-Batt.</v>
          </cell>
          <cell r="H492" t="str">
            <v>OK</v>
          </cell>
          <cell r="I492" t="str">
            <v>NO</v>
          </cell>
          <cell r="J492" t="str">
            <v>YES</v>
          </cell>
          <cell r="K492" t="str">
            <v>GOLD</v>
          </cell>
          <cell r="L492" t="str">
            <v>SubUrbain</v>
          </cell>
          <cell r="M492" t="str">
            <v>70996817</v>
          </cell>
          <cell r="N492" t="str">
            <v>ATAKPAME</v>
          </cell>
        </row>
        <row r="493">
          <cell r="A493" t="str">
            <v>GLELOU</v>
          </cell>
          <cell r="B493">
            <v>44837</v>
          </cell>
          <cell r="C493" t="str">
            <v>PLA-227</v>
          </cell>
          <cell r="D493" t="str">
            <v>PLATEAUX</v>
          </cell>
          <cell r="E493" t="str">
            <v>ATAKPAME-EST</v>
          </cell>
          <cell r="F493" t="str">
            <v>FH</v>
          </cell>
          <cell r="G493" t="str">
            <v>Grid-DG-Batt.</v>
          </cell>
          <cell r="H493" t="str">
            <v>OK</v>
          </cell>
          <cell r="I493" t="str">
            <v>NO</v>
          </cell>
          <cell r="J493" t="str">
            <v>YES</v>
          </cell>
          <cell r="K493" t="str">
            <v>BRONZE</v>
          </cell>
          <cell r="L493" t="str">
            <v>rural</v>
          </cell>
          <cell r="M493" t="str">
            <v>70996504</v>
          </cell>
          <cell r="N493" t="str">
            <v>ATAKPAME</v>
          </cell>
        </row>
        <row r="494">
          <cell r="A494" t="str">
            <v>GLIDJI2-MOOV</v>
          </cell>
          <cell r="B494">
            <v>44790</v>
          </cell>
          <cell r="C494" t="str">
            <v>MAR-148</v>
          </cell>
          <cell r="D494" t="str">
            <v>MARITIME</v>
          </cell>
          <cell r="E494" t="str">
            <v>ANEHO</v>
          </cell>
          <cell r="F494" t="str">
            <v>FH</v>
          </cell>
          <cell r="G494" t="str">
            <v>Grid-DG-Batt.</v>
          </cell>
          <cell r="H494" t="str">
            <v>OK</v>
          </cell>
          <cell r="I494" t="str">
            <v>NO</v>
          </cell>
          <cell r="J494" t="str">
            <v>YES</v>
          </cell>
          <cell r="K494" t="str">
            <v>BRONZE</v>
          </cell>
          <cell r="L494" t="str">
            <v>SubUrbain</v>
          </cell>
          <cell r="M494" t="e">
            <v>#N/A</v>
          </cell>
          <cell r="N494" t="str">
            <v>ANEHO</v>
          </cell>
        </row>
        <row r="495">
          <cell r="A495" t="str">
            <v>GLITO</v>
          </cell>
          <cell r="B495"/>
          <cell r="C495" t="str">
            <v>PLA-081</v>
          </cell>
          <cell r="D495" t="str">
            <v>PLATEAUX</v>
          </cell>
          <cell r="E495" t="str">
            <v>ATAKPAME-EST</v>
          </cell>
          <cell r="F495" t="str">
            <v>FH</v>
          </cell>
          <cell r="G495" t="str">
            <v>DG-Solar-Batt.</v>
          </cell>
          <cell r="H495" t="str">
            <v>OK</v>
          </cell>
          <cell r="I495" t="str">
            <v>NO</v>
          </cell>
          <cell r="J495" t="str">
            <v>NO</v>
          </cell>
          <cell r="K495" t="str">
            <v>BRONZE</v>
          </cell>
          <cell r="L495" t="str">
            <v>rural</v>
          </cell>
          <cell r="M495" t="str">
            <v>70996818</v>
          </cell>
          <cell r="N495" t="str">
            <v>ATAKPAME</v>
          </cell>
        </row>
        <row r="496">
          <cell r="A496" t="str">
            <v>GNAMASSILA</v>
          </cell>
          <cell r="B496"/>
          <cell r="C496" t="str">
            <v>PLA-092</v>
          </cell>
          <cell r="D496" t="str">
            <v>CENTRALE</v>
          </cell>
          <cell r="E496" t="str">
            <v>BLITTA</v>
          </cell>
          <cell r="F496" t="str">
            <v>FO</v>
          </cell>
          <cell r="G496" t="str">
            <v>DG-Solar-Batt.</v>
          </cell>
          <cell r="H496" t="str">
            <v>OK</v>
          </cell>
          <cell r="I496" t="str">
            <v>NO</v>
          </cell>
          <cell r="J496" t="str">
            <v>NO</v>
          </cell>
          <cell r="K496" t="str">
            <v>SILVER</v>
          </cell>
          <cell r="L496" t="str">
            <v>rural</v>
          </cell>
          <cell r="M496" t="str">
            <v>70996819</v>
          </cell>
          <cell r="N496" t="str">
            <v>ELAVAGNON</v>
          </cell>
        </row>
        <row r="497">
          <cell r="A497" t="str">
            <v>GNANGBADE</v>
          </cell>
          <cell r="B497">
            <v>45029</v>
          </cell>
          <cell r="C497" t="str">
            <v>KAR-142</v>
          </cell>
          <cell r="D497" t="str">
            <v>KARA</v>
          </cell>
          <cell r="E497" t="str">
            <v>KARA-EST</v>
          </cell>
          <cell r="F497" t="str">
            <v>FH</v>
          </cell>
          <cell r="G497" t="str">
            <v>DG-Solar-Batt.</v>
          </cell>
          <cell r="H497" t="str">
            <v>OK</v>
          </cell>
          <cell r="I497" t="str">
            <v>NO</v>
          </cell>
          <cell r="J497" t="str">
            <v>YES</v>
          </cell>
          <cell r="K497" t="str">
            <v>SILVER</v>
          </cell>
          <cell r="L497" t="str">
            <v>rural</v>
          </cell>
          <cell r="M497">
            <v>70997293</v>
          </cell>
          <cell r="N497" t="str">
            <v>KARA EST</v>
          </cell>
        </row>
        <row r="498">
          <cell r="A498" t="str">
            <v>GOLFCLUB</v>
          </cell>
          <cell r="B498"/>
          <cell r="C498" t="str">
            <v>LOM-030</v>
          </cell>
          <cell r="D498" t="str">
            <v>LOME</v>
          </cell>
          <cell r="E498" t="str">
            <v>LOME-OUEST 1</v>
          </cell>
          <cell r="F498" t="str">
            <v>FO</v>
          </cell>
          <cell r="G498" t="str">
            <v>Grid-DG-Batt.</v>
          </cell>
          <cell r="H498" t="str">
            <v>OK</v>
          </cell>
          <cell r="I498" t="str">
            <v>NO</v>
          </cell>
          <cell r="J498" t="str">
            <v>NO</v>
          </cell>
          <cell r="K498" t="str">
            <v>GOLD</v>
          </cell>
          <cell r="L498" t="str">
            <v>Urbain</v>
          </cell>
          <cell r="M498" t="str">
            <v>70996820</v>
          </cell>
          <cell r="N498" t="str">
            <v>LOME OUEST1</v>
          </cell>
        </row>
        <row r="499">
          <cell r="A499" t="str">
            <v>GOUBI</v>
          </cell>
          <cell r="B499"/>
          <cell r="C499" t="str">
            <v>CEN-058</v>
          </cell>
          <cell r="D499" t="str">
            <v>CENTRALE</v>
          </cell>
          <cell r="E499" t="str">
            <v>TCHAMBA</v>
          </cell>
          <cell r="F499" t="str">
            <v>FH</v>
          </cell>
          <cell r="G499" t="str">
            <v>Grid-DG-Solar-Batt.</v>
          </cell>
          <cell r="H499" t="str">
            <v>NOK</v>
          </cell>
          <cell r="I499" t="str">
            <v>NO</v>
          </cell>
          <cell r="J499" t="str">
            <v>NO</v>
          </cell>
          <cell r="K499" t="str">
            <v>BRONZE</v>
          </cell>
          <cell r="L499" t="str">
            <v>rural</v>
          </cell>
          <cell r="M499" t="str">
            <v>70996821</v>
          </cell>
          <cell r="N499" t="str">
            <v>TCHAMBA</v>
          </cell>
        </row>
        <row r="500">
          <cell r="A500" t="str">
            <v>GOUDEVE</v>
          </cell>
          <cell r="B500"/>
          <cell r="C500" t="str">
            <v>PLA-069</v>
          </cell>
          <cell r="D500" t="str">
            <v>MARITIME</v>
          </cell>
          <cell r="E500" t="str">
            <v>KPALIME</v>
          </cell>
          <cell r="F500" t="str">
            <v>FH</v>
          </cell>
          <cell r="G500" t="str">
            <v>DG-Solar-Batt.</v>
          </cell>
          <cell r="H500" t="str">
            <v>OK</v>
          </cell>
          <cell r="I500" t="str">
            <v>NO</v>
          </cell>
          <cell r="J500" t="str">
            <v>NO</v>
          </cell>
          <cell r="K500" t="str">
            <v>BRONZE</v>
          </cell>
          <cell r="L500" t="str">
            <v>rural</v>
          </cell>
          <cell r="M500" t="str">
            <v>70996822</v>
          </cell>
          <cell r="N500" t="str">
            <v>KPALIME</v>
          </cell>
        </row>
        <row r="501">
          <cell r="A501" t="str">
            <v>GOULBI</v>
          </cell>
          <cell r="B501">
            <v>43876</v>
          </cell>
          <cell r="C501" t="str">
            <v>KAR-109</v>
          </cell>
          <cell r="D501" t="str">
            <v>KARA</v>
          </cell>
          <cell r="E501" t="str">
            <v>KANTE</v>
          </cell>
          <cell r="F501" t="str">
            <v>FH</v>
          </cell>
          <cell r="G501" t="str">
            <v>DG-Solar-Batt.</v>
          </cell>
          <cell r="H501" t="str">
            <v>OK</v>
          </cell>
          <cell r="I501" t="str">
            <v>NO</v>
          </cell>
          <cell r="J501" t="str">
            <v>NO</v>
          </cell>
          <cell r="K501" t="str">
            <v>BRONZE</v>
          </cell>
          <cell r="L501" t="str">
            <v>rural</v>
          </cell>
          <cell r="M501" t="str">
            <v>70996823</v>
          </cell>
          <cell r="N501" t="str">
            <v>KANTE</v>
          </cell>
        </row>
        <row r="502">
          <cell r="A502" t="str">
            <v>GOULOUNGOUSSI</v>
          </cell>
          <cell r="B502"/>
          <cell r="C502" t="str">
            <v>SAV-013</v>
          </cell>
          <cell r="D502" t="str">
            <v>SAVANES</v>
          </cell>
          <cell r="E502" t="str">
            <v>DAPAONG 1</v>
          </cell>
          <cell r="F502" t="str">
            <v>FH</v>
          </cell>
          <cell r="G502" t="str">
            <v>Grid-DG-Solar-Batt.</v>
          </cell>
          <cell r="H502" t="str">
            <v>NOK</v>
          </cell>
          <cell r="I502" t="str">
            <v>NO</v>
          </cell>
          <cell r="J502" t="str">
            <v>NO</v>
          </cell>
          <cell r="K502" t="str">
            <v>BRONZE</v>
          </cell>
          <cell r="L502" t="str">
            <v>rural</v>
          </cell>
          <cell r="M502" t="str">
            <v>70996824</v>
          </cell>
          <cell r="N502" t="str">
            <v>DAPAONG</v>
          </cell>
        </row>
        <row r="503">
          <cell r="A503" t="str">
            <v>GTA</v>
          </cell>
          <cell r="B503"/>
          <cell r="C503" t="str">
            <v>LOM-107</v>
          </cell>
          <cell r="D503" t="str">
            <v>LOME</v>
          </cell>
          <cell r="E503" t="str">
            <v>LOME-NORD</v>
          </cell>
          <cell r="F503" t="str">
            <v>FO</v>
          </cell>
          <cell r="G503" t="str">
            <v>Grid-DG-Batt.</v>
          </cell>
          <cell r="H503" t="str">
            <v>OK</v>
          </cell>
          <cell r="I503" t="str">
            <v>NO</v>
          </cell>
          <cell r="J503" t="str">
            <v>YES</v>
          </cell>
          <cell r="K503" t="str">
            <v>SILVER</v>
          </cell>
          <cell r="L503" t="str">
            <v>Urbain</v>
          </cell>
          <cell r="M503" t="str">
            <v>70996825</v>
          </cell>
          <cell r="N503" t="str">
            <v>LOME NORD</v>
          </cell>
        </row>
        <row r="504">
          <cell r="A504" t="str">
            <v>HAHOMEGBE</v>
          </cell>
          <cell r="B504"/>
          <cell r="C504" t="str">
            <v>PLA-057</v>
          </cell>
          <cell r="D504" t="str">
            <v>PLATEAUX</v>
          </cell>
          <cell r="E504" t="str">
            <v>NOTSE</v>
          </cell>
          <cell r="F504" t="str">
            <v>FH</v>
          </cell>
          <cell r="G504" t="str">
            <v>DG-Solar-Batt.</v>
          </cell>
          <cell r="H504" t="str">
            <v>OK</v>
          </cell>
          <cell r="I504" t="str">
            <v>NO</v>
          </cell>
          <cell r="J504" t="str">
            <v>NO</v>
          </cell>
          <cell r="K504" t="str">
            <v>BRONZE</v>
          </cell>
          <cell r="L504" t="str">
            <v>rural</v>
          </cell>
          <cell r="M504" t="str">
            <v>70996826</v>
          </cell>
          <cell r="N504" t="str">
            <v>NOTSE</v>
          </cell>
        </row>
        <row r="505">
          <cell r="A505" t="str">
            <v>HAHOTOE</v>
          </cell>
          <cell r="B505"/>
          <cell r="C505" t="str">
            <v>MAR-022</v>
          </cell>
          <cell r="D505" t="str">
            <v>MARITIME</v>
          </cell>
          <cell r="E505" t="str">
            <v>ANEHO</v>
          </cell>
          <cell r="F505" t="str">
            <v>FH</v>
          </cell>
          <cell r="G505" t="str">
            <v>Grid-DG-Batt.</v>
          </cell>
          <cell r="H505" t="str">
            <v>OK</v>
          </cell>
          <cell r="I505" t="str">
            <v>NO</v>
          </cell>
          <cell r="J505" t="str">
            <v>YES</v>
          </cell>
          <cell r="K505" t="str">
            <v>PLATINUM</v>
          </cell>
          <cell r="L505" t="str">
            <v>SubUrbain</v>
          </cell>
          <cell r="M505" t="str">
            <v>70996827</v>
          </cell>
          <cell r="N505" t="str">
            <v>ANEHO</v>
          </cell>
        </row>
        <row r="506">
          <cell r="A506" t="str">
            <v>HAHOTOE-KPODJI</v>
          </cell>
          <cell r="B506"/>
          <cell r="C506" t="str">
            <v>MAR-023</v>
          </cell>
          <cell r="D506" t="str">
            <v>MARITIME</v>
          </cell>
          <cell r="E506" t="str">
            <v>ANEHO</v>
          </cell>
          <cell r="F506" t="str">
            <v>FH</v>
          </cell>
          <cell r="G506" t="str">
            <v>Grid-DG-Batt.</v>
          </cell>
          <cell r="H506" t="str">
            <v>OK</v>
          </cell>
          <cell r="I506" t="str">
            <v>NO</v>
          </cell>
          <cell r="J506" t="str">
            <v>NO</v>
          </cell>
          <cell r="K506" t="str">
            <v>PLATINUM</v>
          </cell>
          <cell r="L506" t="str">
            <v>SubUrbain</v>
          </cell>
          <cell r="M506" t="str">
            <v>70996828</v>
          </cell>
          <cell r="N506" t="str">
            <v>ANEHO</v>
          </cell>
        </row>
        <row r="507">
          <cell r="A507" t="str">
            <v>HAITO-MOOV</v>
          </cell>
          <cell r="B507"/>
          <cell r="C507" t="str">
            <v>PLA-130</v>
          </cell>
          <cell r="D507" t="str">
            <v>PLATEAUX</v>
          </cell>
          <cell r="E507" t="str">
            <v>NOTSE</v>
          </cell>
          <cell r="F507" t="str">
            <v>FH</v>
          </cell>
          <cell r="G507" t="str">
            <v>DG-Batt.</v>
          </cell>
          <cell r="H507" t="str">
            <v>NOK</v>
          </cell>
          <cell r="I507" t="str">
            <v>YES</v>
          </cell>
          <cell r="J507" t="str">
            <v>YES</v>
          </cell>
          <cell r="K507" t="str">
            <v>BRONZE</v>
          </cell>
          <cell r="L507" t="str">
            <v>rural</v>
          </cell>
          <cell r="M507">
            <v>70996829</v>
          </cell>
          <cell r="N507" t="str">
            <v>NOTSE</v>
          </cell>
        </row>
        <row r="508">
          <cell r="A508" t="str">
            <v>HALOUKPABOUNDOU</v>
          </cell>
          <cell r="B508">
            <v>43720</v>
          </cell>
          <cell r="C508" t="str">
            <v>CEN-080</v>
          </cell>
          <cell r="D508" t="str">
            <v>CENTRALE</v>
          </cell>
          <cell r="E508" t="str">
            <v>SOKODE</v>
          </cell>
          <cell r="F508" t="str">
            <v>FH</v>
          </cell>
          <cell r="G508" t="str">
            <v>DG-Solar-Batt.</v>
          </cell>
          <cell r="H508" t="str">
            <v>OK</v>
          </cell>
          <cell r="I508" t="str">
            <v>NO</v>
          </cell>
          <cell r="J508" t="str">
            <v>NO</v>
          </cell>
          <cell r="K508" t="str">
            <v>BRONZE</v>
          </cell>
          <cell r="L508" t="str">
            <v>rural</v>
          </cell>
          <cell r="M508" t="str">
            <v>70996830</v>
          </cell>
          <cell r="N508" t="str">
            <v>SOKODE</v>
          </cell>
        </row>
        <row r="509">
          <cell r="A509" t="str">
            <v>HANOUKOPE</v>
          </cell>
          <cell r="B509"/>
          <cell r="C509" t="str">
            <v>LOM-137</v>
          </cell>
          <cell r="D509" t="str">
            <v>LOME</v>
          </cell>
          <cell r="E509" t="str">
            <v>LOME-SUD</v>
          </cell>
          <cell r="F509" t="str">
            <v>FO</v>
          </cell>
          <cell r="G509" t="str">
            <v>Grid-DG-Batt.</v>
          </cell>
          <cell r="H509" t="str">
            <v>NOK</v>
          </cell>
          <cell r="I509" t="str">
            <v>NO</v>
          </cell>
          <cell r="J509" t="str">
            <v>NO</v>
          </cell>
          <cell r="K509" t="str">
            <v>GOLD</v>
          </cell>
          <cell r="L509" t="str">
            <v>Urbain</v>
          </cell>
          <cell r="M509" t="str">
            <v>70996436</v>
          </cell>
          <cell r="N509" t="str">
            <v>LOME SUD</v>
          </cell>
        </row>
        <row r="510">
          <cell r="A510" t="str">
            <v>HANYIGBA</v>
          </cell>
          <cell r="B510"/>
          <cell r="C510" t="str">
            <v>PLA-014</v>
          </cell>
          <cell r="D510" t="str">
            <v>MARITIME</v>
          </cell>
          <cell r="E510" t="str">
            <v>KPALIME</v>
          </cell>
          <cell r="F510" t="str">
            <v>FH</v>
          </cell>
          <cell r="G510" t="str">
            <v>Grid-DG-Solar-Batt.</v>
          </cell>
          <cell r="H510" t="str">
            <v>NOK</v>
          </cell>
          <cell r="I510" t="str">
            <v>NO</v>
          </cell>
          <cell r="J510" t="str">
            <v>NO</v>
          </cell>
          <cell r="K510" t="str">
            <v>SILVER</v>
          </cell>
          <cell r="L510" t="str">
            <v>rural</v>
          </cell>
          <cell r="M510" t="str">
            <v>70996831</v>
          </cell>
          <cell r="N510" t="str">
            <v>KPALIME</v>
          </cell>
        </row>
        <row r="511">
          <cell r="A511" t="str">
            <v>HANYIGBADOUGA-MOOV</v>
          </cell>
          <cell r="B511">
            <v>44853</v>
          </cell>
          <cell r="C511" t="str">
            <v>PLA-208</v>
          </cell>
          <cell r="D511" t="str">
            <v>MARITIME</v>
          </cell>
          <cell r="E511" t="str">
            <v>KPALIME</v>
          </cell>
          <cell r="F511" t="str">
            <v>FH</v>
          </cell>
          <cell r="G511" t="str">
            <v>Grid-DG-Batt.</v>
          </cell>
          <cell r="H511" t="str">
            <v>OK</v>
          </cell>
          <cell r="I511" t="str">
            <v>NO</v>
          </cell>
          <cell r="J511" t="str">
            <v>YES</v>
          </cell>
          <cell r="K511" t="str">
            <v>BRONZE</v>
          </cell>
          <cell r="L511" t="str">
            <v>rural</v>
          </cell>
          <cell r="M511">
            <v>70997361</v>
          </cell>
          <cell r="N511" t="str">
            <v>KPALIME</v>
          </cell>
        </row>
        <row r="512">
          <cell r="A512" t="str">
            <v>HANYIGBA-TODZI</v>
          </cell>
          <cell r="B512">
            <v>44806</v>
          </cell>
          <cell r="C512" t="str">
            <v>PLA-204</v>
          </cell>
          <cell r="D512" t="str">
            <v>MARITIME</v>
          </cell>
          <cell r="E512" t="str">
            <v>KPALIME</v>
          </cell>
          <cell r="F512" t="str">
            <v>FH</v>
          </cell>
          <cell r="G512" t="str">
            <v>DG-Solar-Batt.</v>
          </cell>
          <cell r="H512" t="str">
            <v>OK</v>
          </cell>
          <cell r="I512" t="str">
            <v>NO</v>
          </cell>
          <cell r="J512" t="str">
            <v>YES</v>
          </cell>
          <cell r="K512" t="str">
            <v>BRONZE</v>
          </cell>
          <cell r="L512" t="str">
            <v>rural</v>
          </cell>
          <cell r="M512" t="e">
            <v>#N/A</v>
          </cell>
          <cell r="N512" t="str">
            <v>KPALIME</v>
          </cell>
        </row>
        <row r="513">
          <cell r="A513" t="str">
            <v>HAVE</v>
          </cell>
          <cell r="B513">
            <v>43872</v>
          </cell>
          <cell r="C513" t="str">
            <v>MAR-074</v>
          </cell>
          <cell r="D513" t="str">
            <v>MARITIME</v>
          </cell>
          <cell r="E513" t="str">
            <v>TSEVIE</v>
          </cell>
          <cell r="F513" t="str">
            <v>FH</v>
          </cell>
          <cell r="G513" t="str">
            <v>DG-Solar-Batt.</v>
          </cell>
          <cell r="H513" t="str">
            <v>OK</v>
          </cell>
          <cell r="I513" t="str">
            <v>NO</v>
          </cell>
          <cell r="J513" t="str">
            <v>NO</v>
          </cell>
          <cell r="K513" t="str">
            <v>BRONZE</v>
          </cell>
          <cell r="L513" t="str">
            <v>rural</v>
          </cell>
          <cell r="M513" t="str">
            <v>70996832</v>
          </cell>
          <cell r="N513" t="str">
            <v>TSEVIE</v>
          </cell>
        </row>
        <row r="514">
          <cell r="A514" t="str">
            <v>HEDJRANAWOE</v>
          </cell>
          <cell r="B514"/>
          <cell r="C514" t="str">
            <v>LOM-097</v>
          </cell>
          <cell r="D514" t="str">
            <v>LOME</v>
          </cell>
          <cell r="E514" t="str">
            <v>LOME-CENTRE</v>
          </cell>
          <cell r="F514" t="str">
            <v>FO</v>
          </cell>
          <cell r="G514" t="str">
            <v>Grid-DG-Batt.</v>
          </cell>
          <cell r="H514" t="str">
            <v>OK</v>
          </cell>
          <cell r="I514" t="str">
            <v>NO</v>
          </cell>
          <cell r="J514" t="str">
            <v>NO</v>
          </cell>
          <cell r="K514" t="str">
            <v>GOLD</v>
          </cell>
          <cell r="L514" t="str">
            <v>Urbain</v>
          </cell>
          <cell r="M514">
            <v>0</v>
          </cell>
          <cell r="N514" t="str">
            <v>LOME CENTRE</v>
          </cell>
        </row>
        <row r="515">
          <cell r="A515" t="str">
            <v>HEDJRANAWOE2</v>
          </cell>
          <cell r="B515"/>
          <cell r="C515" t="str">
            <v>LOM-098</v>
          </cell>
          <cell r="D515" t="str">
            <v>LOME</v>
          </cell>
          <cell r="E515" t="str">
            <v>LOME-CENTRE</v>
          </cell>
          <cell r="F515" t="str">
            <v>FO</v>
          </cell>
          <cell r="G515" t="str">
            <v>Grid-DG-Batt.</v>
          </cell>
          <cell r="H515" t="str">
            <v>OK</v>
          </cell>
          <cell r="I515" t="str">
            <v>NO</v>
          </cell>
          <cell r="J515" t="str">
            <v>NO</v>
          </cell>
          <cell r="K515" t="str">
            <v>GOLD</v>
          </cell>
          <cell r="L515" t="str">
            <v>Urbain</v>
          </cell>
          <cell r="M515" t="str">
            <v>70996833</v>
          </cell>
          <cell r="N515" t="str">
            <v>LOME CENTRE</v>
          </cell>
        </row>
        <row r="516">
          <cell r="A516" t="str">
            <v>HEDZRANAWOE3</v>
          </cell>
          <cell r="B516"/>
          <cell r="C516" t="str">
            <v>LOM-099</v>
          </cell>
          <cell r="D516" t="str">
            <v>LOME</v>
          </cell>
          <cell r="E516" t="str">
            <v>LOME-CENTRE</v>
          </cell>
          <cell r="F516" t="str">
            <v>FO</v>
          </cell>
          <cell r="G516" t="str">
            <v>Grid-DG-Batt.</v>
          </cell>
          <cell r="H516" t="str">
            <v>OK</v>
          </cell>
          <cell r="I516" t="str">
            <v>NO</v>
          </cell>
          <cell r="J516" t="str">
            <v>NO</v>
          </cell>
          <cell r="K516" t="str">
            <v>PLATINUM</v>
          </cell>
          <cell r="L516" t="str">
            <v>Urbain</v>
          </cell>
          <cell r="M516" t="e">
            <v>#N/A</v>
          </cell>
          <cell r="N516" t="str">
            <v>LOME CENTRE</v>
          </cell>
        </row>
        <row r="517">
          <cell r="A517" t="str">
            <v>HEDJRANAWOE4</v>
          </cell>
          <cell r="B517"/>
          <cell r="C517" t="str">
            <v>LOM-100</v>
          </cell>
          <cell r="D517" t="str">
            <v>LOME</v>
          </cell>
          <cell r="E517" t="str">
            <v>LOME-CENTRE</v>
          </cell>
          <cell r="F517" t="str">
            <v>FO</v>
          </cell>
          <cell r="G517" t="str">
            <v>Grid-DG-Batt.</v>
          </cell>
          <cell r="H517" t="str">
            <v>OK</v>
          </cell>
          <cell r="I517" t="str">
            <v>NO</v>
          </cell>
          <cell r="J517" t="str">
            <v>YES</v>
          </cell>
          <cell r="K517" t="str">
            <v>GOLD</v>
          </cell>
          <cell r="L517" t="str">
            <v>Urbain</v>
          </cell>
          <cell r="M517" t="str">
            <v>70996834</v>
          </cell>
          <cell r="N517" t="str">
            <v>LOME CENTRE</v>
          </cell>
        </row>
        <row r="518">
          <cell r="A518" t="str">
            <v>HEDJRANAWOE-MARCHE</v>
          </cell>
          <cell r="B518">
            <v>44106</v>
          </cell>
          <cell r="C518" t="str">
            <v>LOM-250</v>
          </cell>
          <cell r="D518" t="str">
            <v>LOME</v>
          </cell>
          <cell r="E518" t="str">
            <v>LOME-CENTRE</v>
          </cell>
          <cell r="F518" t="str">
            <v>FH</v>
          </cell>
          <cell r="G518" t="str">
            <v>Grid-Batt.</v>
          </cell>
          <cell r="H518" t="str">
            <v>N/A</v>
          </cell>
          <cell r="I518" t="str">
            <v>YES</v>
          </cell>
          <cell r="J518" t="str">
            <v>NO</v>
          </cell>
          <cell r="K518" t="str">
            <v>SILVER</v>
          </cell>
          <cell r="L518" t="str">
            <v>Urbain</v>
          </cell>
          <cell r="M518">
            <v>0</v>
          </cell>
          <cell r="N518" t="str">
            <v>LOME CENTRE</v>
          </cell>
        </row>
        <row r="519">
          <cell r="A519" t="str">
            <v>HELOTA</v>
          </cell>
          <cell r="B519"/>
          <cell r="C519" t="str">
            <v>KAR-048</v>
          </cell>
          <cell r="D519" t="str">
            <v>KARA</v>
          </cell>
          <cell r="E519" t="str">
            <v>KANTE</v>
          </cell>
          <cell r="F519" t="str">
            <v>FH</v>
          </cell>
          <cell r="G519" t="str">
            <v>DG-Solar-Batt.</v>
          </cell>
          <cell r="H519" t="str">
            <v>OK</v>
          </cell>
          <cell r="I519" t="str">
            <v>NO</v>
          </cell>
          <cell r="J519" t="str">
            <v>NO</v>
          </cell>
          <cell r="K519" t="str">
            <v>BRONZE</v>
          </cell>
          <cell r="L519" t="str">
            <v>rural</v>
          </cell>
          <cell r="M519" t="str">
            <v>70996836</v>
          </cell>
          <cell r="N519" t="str">
            <v>KANTE</v>
          </cell>
        </row>
        <row r="520">
          <cell r="A520" t="str">
            <v>HEZOUDE</v>
          </cell>
          <cell r="B520"/>
          <cell r="C520" t="str">
            <v>CEN-059</v>
          </cell>
          <cell r="D520" t="str">
            <v>CENTRALE</v>
          </cell>
          <cell r="E520" t="str">
            <v>TCHAMBA</v>
          </cell>
          <cell r="F520" t="str">
            <v>FH</v>
          </cell>
          <cell r="G520" t="str">
            <v>DG-Solar-Batt.</v>
          </cell>
          <cell r="H520" t="str">
            <v>OK</v>
          </cell>
          <cell r="I520" t="str">
            <v>NO</v>
          </cell>
          <cell r="J520" t="str">
            <v>NO</v>
          </cell>
          <cell r="K520" t="str">
            <v>BRONZE</v>
          </cell>
          <cell r="L520" t="str">
            <v>rural</v>
          </cell>
          <cell r="M520" t="str">
            <v>70996837</v>
          </cell>
          <cell r="N520" t="str">
            <v>TCHAMBA</v>
          </cell>
        </row>
        <row r="521">
          <cell r="A521" t="str">
            <v>HEZOUWE</v>
          </cell>
          <cell r="B521">
            <v>45222</v>
          </cell>
          <cell r="C521" t="str">
            <v>CEN-114</v>
          </cell>
          <cell r="D521" t="str">
            <v>CENTRALE</v>
          </cell>
          <cell r="E521" t="str">
            <v>BLITTA</v>
          </cell>
          <cell r="F521" t="str">
            <v>FH</v>
          </cell>
          <cell r="G521" t="str">
            <v>DG-Solar-Batt.</v>
          </cell>
          <cell r="H521" t="str">
            <v>OK</v>
          </cell>
          <cell r="I521" t="str">
            <v>NO</v>
          </cell>
          <cell r="J521" t="str">
            <v>NO</v>
          </cell>
          <cell r="K521" t="str">
            <v>BRONZE</v>
          </cell>
          <cell r="L521" t="str">
            <v>URBAN</v>
          </cell>
          <cell r="M521">
            <v>0</v>
          </cell>
          <cell r="N521" t="str">
            <v>BLITTA</v>
          </cell>
        </row>
        <row r="522">
          <cell r="A522" t="str">
            <v>HIHEATRO</v>
          </cell>
          <cell r="B522"/>
          <cell r="C522" t="str">
            <v>PLA-011</v>
          </cell>
          <cell r="D522" t="str">
            <v>PLATEAUX</v>
          </cell>
          <cell r="E522" t="str">
            <v>ATAKPAME-OUEST</v>
          </cell>
          <cell r="F522" t="str">
            <v>FH</v>
          </cell>
          <cell r="G522" t="str">
            <v>Grid-DG-Batt.</v>
          </cell>
          <cell r="H522" t="str">
            <v>OK</v>
          </cell>
          <cell r="I522" t="str">
            <v>NO</v>
          </cell>
          <cell r="J522" t="str">
            <v>YES</v>
          </cell>
          <cell r="K522" t="str">
            <v>SILVER</v>
          </cell>
          <cell r="L522" t="str">
            <v>SubUrbain</v>
          </cell>
          <cell r="M522" t="str">
            <v>70996838</v>
          </cell>
          <cell r="N522" t="str">
            <v>ATAKPAME</v>
          </cell>
        </row>
        <row r="523">
          <cell r="A523" t="str">
            <v>HIHEATRO2</v>
          </cell>
          <cell r="B523">
            <v>44548</v>
          </cell>
          <cell r="C523" t="str">
            <v>PLA-194</v>
          </cell>
          <cell r="D523" t="str">
            <v>PLATEAUX</v>
          </cell>
          <cell r="E523" t="str">
            <v>ATAKPAME-OUEST</v>
          </cell>
          <cell r="F523" t="str">
            <v>FH</v>
          </cell>
          <cell r="G523" t="str">
            <v>Grid-DG-Batt.</v>
          </cell>
          <cell r="H523" t="str">
            <v>OK</v>
          </cell>
          <cell r="I523" t="str">
            <v>NO</v>
          </cell>
          <cell r="J523" t="str">
            <v>YES</v>
          </cell>
          <cell r="K523" t="str">
            <v>SILVER</v>
          </cell>
          <cell r="L523" t="str">
            <v>SubUrbain</v>
          </cell>
          <cell r="M523" t="str">
            <v>70996475</v>
          </cell>
          <cell r="N523" t="str">
            <v>ATAKPAME</v>
          </cell>
        </row>
        <row r="524">
          <cell r="A524" t="str">
            <v>HOLLANDO</v>
          </cell>
          <cell r="B524">
            <v>43233</v>
          </cell>
          <cell r="C524" t="str">
            <v>LOM-152</v>
          </cell>
          <cell r="D524" t="str">
            <v>LOME</v>
          </cell>
          <cell r="E524" t="str">
            <v>LOME-SUD</v>
          </cell>
          <cell r="F524" t="str">
            <v>FH</v>
          </cell>
          <cell r="G524" t="str">
            <v>Grid-Batt.</v>
          </cell>
          <cell r="H524" t="str">
            <v>N/A</v>
          </cell>
          <cell r="I524" t="str">
            <v>YES</v>
          </cell>
          <cell r="J524" t="str">
            <v>NO</v>
          </cell>
          <cell r="K524" t="str">
            <v>GOLD</v>
          </cell>
          <cell r="L524" t="str">
            <v>Urbain</v>
          </cell>
          <cell r="M524">
            <v>0</v>
          </cell>
          <cell r="N524" t="str">
            <v>LOME SUD</v>
          </cell>
        </row>
        <row r="525">
          <cell r="A525" t="str">
            <v>HOTEL-DUGOLFE</v>
          </cell>
          <cell r="B525"/>
          <cell r="C525" t="str">
            <v>LOM-153</v>
          </cell>
          <cell r="D525" t="str">
            <v>LOME</v>
          </cell>
          <cell r="E525" t="str">
            <v>LOME-SUD</v>
          </cell>
          <cell r="F525" t="str">
            <v>FO</v>
          </cell>
          <cell r="G525" t="str">
            <v>Grid-Batt.</v>
          </cell>
          <cell r="H525" t="str">
            <v>N/A</v>
          </cell>
          <cell r="I525" t="str">
            <v>NO</v>
          </cell>
          <cell r="J525" t="str">
            <v>NO</v>
          </cell>
          <cell r="K525" t="str">
            <v>PLATINUM</v>
          </cell>
          <cell r="L525" t="str">
            <v>Urbain</v>
          </cell>
          <cell r="M525">
            <v>0</v>
          </cell>
          <cell r="N525" t="str">
            <v>LOME SUD</v>
          </cell>
        </row>
        <row r="526">
          <cell r="A526" t="str">
            <v>HOTEL-FEVRIER</v>
          </cell>
          <cell r="B526"/>
          <cell r="C526" t="str">
            <v>LOM-154</v>
          </cell>
          <cell r="D526" t="str">
            <v>LOME</v>
          </cell>
          <cell r="E526" t="str">
            <v>LOME-CENTRE</v>
          </cell>
          <cell r="F526" t="str">
            <v>FH</v>
          </cell>
          <cell r="G526" t="str">
            <v>Grid-Batt.</v>
          </cell>
          <cell r="H526" t="str">
            <v>N/A</v>
          </cell>
          <cell r="I526" t="str">
            <v>NO</v>
          </cell>
          <cell r="J526" t="str">
            <v>NO</v>
          </cell>
          <cell r="K526" t="e">
            <v>#N/A</v>
          </cell>
          <cell r="L526" t="e">
            <v>#N/A</v>
          </cell>
          <cell r="M526" t="e">
            <v>#N/A</v>
          </cell>
          <cell r="N526" t="str">
            <v>LOME SUD</v>
          </cell>
        </row>
        <row r="527">
          <cell r="A527" t="str">
            <v>HOUNTIGOME</v>
          </cell>
          <cell r="B527"/>
          <cell r="C527" t="str">
            <v>LOM-101</v>
          </cell>
          <cell r="D527" t="str">
            <v>LOME</v>
          </cell>
          <cell r="E527" t="str">
            <v>LOME-CENTRE</v>
          </cell>
          <cell r="F527" t="str">
            <v>FO</v>
          </cell>
          <cell r="G527" t="str">
            <v>Grid-DG-Batt.</v>
          </cell>
          <cell r="H527" t="str">
            <v>OK</v>
          </cell>
          <cell r="I527" t="str">
            <v>YES</v>
          </cell>
          <cell r="J527" t="str">
            <v>YES</v>
          </cell>
          <cell r="K527" t="str">
            <v>GOLD</v>
          </cell>
          <cell r="L527" t="str">
            <v>Urbain</v>
          </cell>
          <cell r="M527" t="str">
            <v>70996839</v>
          </cell>
          <cell r="N527" t="str">
            <v>LOME CENTRE</v>
          </cell>
        </row>
        <row r="528">
          <cell r="A528" t="str">
            <v>HOUNTIGOME2</v>
          </cell>
          <cell r="B528"/>
          <cell r="C528" t="str">
            <v>LOM-132</v>
          </cell>
          <cell r="D528" t="str">
            <v>LOME</v>
          </cell>
          <cell r="E528" t="str">
            <v>LOME-CENTRE</v>
          </cell>
          <cell r="F528" t="str">
            <v>FO</v>
          </cell>
          <cell r="G528" t="str">
            <v>Grid-DG-Batt.</v>
          </cell>
          <cell r="H528" t="str">
            <v>OK</v>
          </cell>
          <cell r="I528" t="str">
            <v>NO</v>
          </cell>
          <cell r="J528" t="str">
            <v>NO</v>
          </cell>
          <cell r="K528" t="str">
            <v>GOLD</v>
          </cell>
          <cell r="L528" t="str">
            <v>Urbain</v>
          </cell>
          <cell r="M528" t="str">
            <v>70996840</v>
          </cell>
          <cell r="N528" t="str">
            <v>LOME CENTRE</v>
          </cell>
        </row>
        <row r="529">
          <cell r="A529" t="str">
            <v>HUILEHUI</v>
          </cell>
          <cell r="B529"/>
          <cell r="C529" t="str">
            <v>PLA-135</v>
          </cell>
          <cell r="D529" t="str">
            <v>PLATEAUX</v>
          </cell>
          <cell r="E529" t="str">
            <v>NOTSE</v>
          </cell>
          <cell r="F529" t="str">
            <v>FH</v>
          </cell>
          <cell r="G529" t="str">
            <v>DG-Solar-Batt.</v>
          </cell>
          <cell r="H529" t="str">
            <v>OK</v>
          </cell>
          <cell r="I529" t="str">
            <v>NO</v>
          </cell>
          <cell r="J529" t="str">
            <v>NO</v>
          </cell>
          <cell r="K529" t="str">
            <v>BRONZE</v>
          </cell>
          <cell r="L529" t="str">
            <v>rural</v>
          </cell>
          <cell r="M529" t="str">
            <v>70996841</v>
          </cell>
          <cell r="N529" t="str">
            <v>NOTSE</v>
          </cell>
        </row>
        <row r="530">
          <cell r="A530" t="str">
            <v>IBOBO</v>
          </cell>
          <cell r="B530"/>
          <cell r="C530" t="str">
            <v>KAR-065</v>
          </cell>
          <cell r="D530" t="str">
            <v>KARA</v>
          </cell>
          <cell r="E530" t="str">
            <v>KABOU</v>
          </cell>
          <cell r="F530" t="str">
            <v>FH</v>
          </cell>
          <cell r="G530" t="str">
            <v>DG-Solar-Batt.</v>
          </cell>
          <cell r="H530" t="str">
            <v>OK</v>
          </cell>
          <cell r="I530" t="str">
            <v>NO</v>
          </cell>
          <cell r="J530" t="str">
            <v>NO</v>
          </cell>
          <cell r="K530" t="str">
            <v>BRONZE</v>
          </cell>
          <cell r="L530" t="str">
            <v>rural</v>
          </cell>
          <cell r="M530" t="str">
            <v>70996842</v>
          </cell>
          <cell r="N530" t="str">
            <v>KABOU</v>
          </cell>
        </row>
        <row r="531">
          <cell r="A531" t="str">
            <v>IGBEVE</v>
          </cell>
          <cell r="B531"/>
          <cell r="C531" t="str">
            <v>PLA-075</v>
          </cell>
          <cell r="D531" t="str">
            <v>PLATEAUX</v>
          </cell>
          <cell r="E531" t="str">
            <v>BADOU</v>
          </cell>
          <cell r="F531" t="str">
            <v>FH</v>
          </cell>
          <cell r="G531" t="str">
            <v>Grid-DG-Batt.</v>
          </cell>
          <cell r="H531" t="str">
            <v>OK</v>
          </cell>
          <cell r="I531" t="str">
            <v>NO</v>
          </cell>
          <cell r="J531" t="str">
            <v>NO</v>
          </cell>
          <cell r="K531" t="str">
            <v>BRONZE</v>
          </cell>
          <cell r="L531" t="str">
            <v>rural</v>
          </cell>
          <cell r="M531" t="str">
            <v>70996843</v>
          </cell>
          <cell r="N531" t="str">
            <v>BADOU</v>
          </cell>
        </row>
        <row r="532">
          <cell r="A532" t="str">
            <v>IGBOLOUDJA</v>
          </cell>
          <cell r="B532"/>
          <cell r="C532" t="str">
            <v>PLA-035</v>
          </cell>
          <cell r="D532" t="str">
            <v>PLATEAUX</v>
          </cell>
          <cell r="E532" t="str">
            <v>ATAKPAME-EST</v>
          </cell>
          <cell r="F532" t="str">
            <v>FH</v>
          </cell>
          <cell r="G532" t="str">
            <v>Grid-DG-Solar-Batt.</v>
          </cell>
          <cell r="H532" t="str">
            <v>NOK</v>
          </cell>
          <cell r="I532" t="str">
            <v>NO</v>
          </cell>
          <cell r="J532" t="str">
            <v>YES</v>
          </cell>
          <cell r="K532" t="str">
            <v>BRONZE</v>
          </cell>
          <cell r="L532" t="str">
            <v>rural</v>
          </cell>
          <cell r="M532" t="str">
            <v>70996844</v>
          </cell>
          <cell r="N532" t="str">
            <v>ELAVAGNON</v>
          </cell>
        </row>
        <row r="533">
          <cell r="A533" t="str">
            <v>IKOETCHONOU-MOOV</v>
          </cell>
          <cell r="B533">
            <v>44560</v>
          </cell>
          <cell r="C533" t="str">
            <v>PLA-195</v>
          </cell>
          <cell r="D533" t="str">
            <v>PLATEAUX</v>
          </cell>
          <cell r="E533" t="str">
            <v>ATAKPAME-OUEST</v>
          </cell>
          <cell r="F533" t="str">
            <v>FH</v>
          </cell>
          <cell r="G533" t="str">
            <v>Grid-DG-Batt.</v>
          </cell>
          <cell r="H533" t="str">
            <v>OK</v>
          </cell>
          <cell r="I533" t="str">
            <v>NO</v>
          </cell>
          <cell r="J533" t="str">
            <v>YES</v>
          </cell>
          <cell r="K533" t="str">
            <v>BRONZE</v>
          </cell>
          <cell r="L533" t="str">
            <v>rural</v>
          </cell>
          <cell r="M533">
            <v>0</v>
          </cell>
          <cell r="N533" t="str">
            <v>ATAKPAME</v>
          </cell>
        </row>
        <row r="534">
          <cell r="A534" t="str">
            <v>ILEKOHAN</v>
          </cell>
          <cell r="B534">
            <v>44828</v>
          </cell>
          <cell r="C534" t="str">
            <v>PLA-229</v>
          </cell>
          <cell r="D534" t="str">
            <v>CENTRALE</v>
          </cell>
          <cell r="E534" t="str">
            <v>BLITTA</v>
          </cell>
          <cell r="F534" t="str">
            <v>FH</v>
          </cell>
          <cell r="G534" t="str">
            <v>DG-Solar-Batt.</v>
          </cell>
          <cell r="H534" t="str">
            <v>OK</v>
          </cell>
          <cell r="I534" t="str">
            <v>NO</v>
          </cell>
          <cell r="J534" t="str">
            <v>YES</v>
          </cell>
          <cell r="K534" t="str">
            <v>BRONZE</v>
          </cell>
          <cell r="L534" t="str">
            <v>rural</v>
          </cell>
          <cell r="M534" t="str">
            <v>70996503</v>
          </cell>
          <cell r="N534" t="str">
            <v>ELAVAGNON</v>
          </cell>
        </row>
        <row r="535">
          <cell r="A535" t="str">
            <v>IMPOT</v>
          </cell>
          <cell r="B535"/>
          <cell r="C535" t="str">
            <v>KAR-010</v>
          </cell>
          <cell r="D535" t="str">
            <v>KARA</v>
          </cell>
          <cell r="E535" t="str">
            <v>KARA-EST</v>
          </cell>
          <cell r="F535" t="str">
            <v>FO</v>
          </cell>
          <cell r="G535" t="str">
            <v>Grid-DG-Batt.</v>
          </cell>
          <cell r="H535" t="str">
            <v>NOK</v>
          </cell>
          <cell r="I535" t="str">
            <v>NO</v>
          </cell>
          <cell r="J535" t="str">
            <v>NO</v>
          </cell>
          <cell r="K535" t="str">
            <v>SILVER</v>
          </cell>
          <cell r="L535" t="str">
            <v>Urbain</v>
          </cell>
          <cell r="M535">
            <v>0</v>
          </cell>
          <cell r="N535" t="str">
            <v>KARA EST</v>
          </cell>
        </row>
        <row r="536">
          <cell r="A536" t="str">
            <v>INIBA</v>
          </cell>
          <cell r="B536">
            <v>45015</v>
          </cell>
          <cell r="C536" t="str">
            <v>KAR-144</v>
          </cell>
          <cell r="D536" t="str">
            <v>KARA</v>
          </cell>
          <cell r="E536" t="str">
            <v>KABOU</v>
          </cell>
          <cell r="F536" t="str">
            <v>FH</v>
          </cell>
          <cell r="G536" t="str">
            <v>DG-Solar-Batt.</v>
          </cell>
          <cell r="H536" t="str">
            <v>OK</v>
          </cell>
          <cell r="I536" t="str">
            <v>NO</v>
          </cell>
          <cell r="J536" t="str">
            <v>YES</v>
          </cell>
          <cell r="K536" t="str">
            <v>BRONZE</v>
          </cell>
          <cell r="L536" t="str">
            <v>rural</v>
          </cell>
          <cell r="M536">
            <v>70997268</v>
          </cell>
          <cell r="N536" t="str">
            <v>KABOU</v>
          </cell>
        </row>
        <row r="537">
          <cell r="A537" t="str">
            <v>IPOUALI</v>
          </cell>
          <cell r="B537">
            <v>45282</v>
          </cell>
          <cell r="C537" t="str">
            <v>CEN-130</v>
          </cell>
          <cell r="D537" t="str">
            <v>KARA</v>
          </cell>
          <cell r="E537" t="str">
            <v>KABOU</v>
          </cell>
          <cell r="F537" t="str">
            <v>FH</v>
          </cell>
          <cell r="G537" t="str">
            <v>DG-Solar-Batt.</v>
          </cell>
          <cell r="H537" t="str">
            <v>OK</v>
          </cell>
          <cell r="I537" t="str">
            <v>NO</v>
          </cell>
          <cell r="J537" t="str">
            <v>YES</v>
          </cell>
          <cell r="K537" t="str">
            <v>BRONZE</v>
          </cell>
          <cell r="L537" t="str">
            <v>Rural</v>
          </cell>
          <cell r="M537">
            <v>0</v>
          </cell>
          <cell r="N537" t="str">
            <v>KABOU</v>
          </cell>
        </row>
        <row r="538">
          <cell r="A538" t="str">
            <v>ISATI</v>
          </cell>
          <cell r="B538"/>
          <cell r="C538" t="str">
            <v>PLA-036</v>
          </cell>
          <cell r="D538" t="str">
            <v>CENTRALE</v>
          </cell>
          <cell r="E538" t="str">
            <v>BLITTA</v>
          </cell>
          <cell r="F538" t="str">
            <v>FH</v>
          </cell>
          <cell r="G538" t="str">
            <v>Grid-DG-Solar-Batt.</v>
          </cell>
          <cell r="H538" t="str">
            <v>OK</v>
          </cell>
          <cell r="I538" t="str">
            <v>NO</v>
          </cell>
          <cell r="J538" t="str">
            <v>YES</v>
          </cell>
          <cell r="K538" t="str">
            <v>SILVER</v>
          </cell>
          <cell r="L538" t="str">
            <v>rural</v>
          </cell>
          <cell r="M538" t="str">
            <v>70996845</v>
          </cell>
          <cell r="N538" t="str">
            <v>ELAVAGNON</v>
          </cell>
        </row>
        <row r="539">
          <cell r="A539" t="str">
            <v>ITOKOUBE</v>
          </cell>
          <cell r="B539">
            <v>43991</v>
          </cell>
          <cell r="C539" t="str">
            <v>PLA-182</v>
          </cell>
          <cell r="D539" t="str">
            <v>PLATEAUX</v>
          </cell>
          <cell r="E539" t="str">
            <v>ATAKPAME-OUEST</v>
          </cell>
          <cell r="F539" t="str">
            <v>FH</v>
          </cell>
          <cell r="G539" t="str">
            <v>DG-Solar-Batt.</v>
          </cell>
          <cell r="H539" t="str">
            <v>OK</v>
          </cell>
          <cell r="I539" t="str">
            <v>NO</v>
          </cell>
          <cell r="J539" t="str">
            <v>YES</v>
          </cell>
          <cell r="K539" t="str">
            <v>BRONZE</v>
          </cell>
          <cell r="L539" t="str">
            <v>rural</v>
          </cell>
          <cell r="M539" t="str">
            <v>70996846</v>
          </cell>
          <cell r="N539" t="str">
            <v>ATAKPAME</v>
          </cell>
        </row>
        <row r="540">
          <cell r="A540" t="str">
            <v>KABAGNI</v>
          </cell>
          <cell r="B540"/>
          <cell r="C540" t="str">
            <v>PLA-099</v>
          </cell>
          <cell r="D540" t="str">
            <v>PLATEAUX</v>
          </cell>
          <cell r="E540" t="str">
            <v>BADOU</v>
          </cell>
          <cell r="F540" t="str">
            <v>FH</v>
          </cell>
          <cell r="G540" t="str">
            <v>DG-Solar-Batt.</v>
          </cell>
          <cell r="H540" t="str">
            <v>OK</v>
          </cell>
          <cell r="I540" t="str">
            <v>NO</v>
          </cell>
          <cell r="J540" t="str">
            <v>NO</v>
          </cell>
          <cell r="K540" t="str">
            <v>BRONZE</v>
          </cell>
          <cell r="L540" t="str">
            <v>rural</v>
          </cell>
          <cell r="M540" t="str">
            <v>70996847</v>
          </cell>
          <cell r="N540" t="str">
            <v>BADOU</v>
          </cell>
        </row>
        <row r="541">
          <cell r="A541" t="str">
            <v>KABOU</v>
          </cell>
          <cell r="B541"/>
          <cell r="C541" t="str">
            <v>KAR-080</v>
          </cell>
          <cell r="D541" t="str">
            <v>KARA</v>
          </cell>
          <cell r="E541" t="str">
            <v>KABOU</v>
          </cell>
          <cell r="F541" t="str">
            <v>FO</v>
          </cell>
          <cell r="G541" t="str">
            <v>Grid-DG-Batt.</v>
          </cell>
          <cell r="H541" t="str">
            <v>OK</v>
          </cell>
          <cell r="I541" t="str">
            <v>NO</v>
          </cell>
          <cell r="J541" t="str">
            <v>YES</v>
          </cell>
          <cell r="K541" t="str">
            <v>GOLD</v>
          </cell>
          <cell r="L541" t="str">
            <v>SubUrbain</v>
          </cell>
          <cell r="M541" t="str">
            <v>70996848</v>
          </cell>
          <cell r="N541" t="str">
            <v>KABOU</v>
          </cell>
        </row>
        <row r="542">
          <cell r="A542" t="str">
            <v>KADJAFE</v>
          </cell>
          <cell r="B542" t="str">
            <v>25/05/2020</v>
          </cell>
          <cell r="C542" t="str">
            <v>PLA-178</v>
          </cell>
          <cell r="D542" t="str">
            <v>PLATEAUX</v>
          </cell>
          <cell r="E542" t="str">
            <v>ATAKPAME-OUEST</v>
          </cell>
          <cell r="F542" t="str">
            <v>FH</v>
          </cell>
          <cell r="G542" t="str">
            <v>DG-Solar-Batt.</v>
          </cell>
          <cell r="H542" t="str">
            <v>OK</v>
          </cell>
          <cell r="I542" t="str">
            <v>NO</v>
          </cell>
          <cell r="J542" t="str">
            <v>YES</v>
          </cell>
          <cell r="K542" t="str">
            <v>BRONZE</v>
          </cell>
          <cell r="L542" t="str">
            <v>rural</v>
          </cell>
          <cell r="M542" t="str">
            <v>70996849</v>
          </cell>
          <cell r="N542" t="str">
            <v>ATAKPAME</v>
          </cell>
        </row>
        <row r="543">
          <cell r="A543" t="str">
            <v>KADJALA</v>
          </cell>
          <cell r="B543"/>
          <cell r="C543" t="str">
            <v>KAR-058</v>
          </cell>
          <cell r="D543" t="str">
            <v>KARA</v>
          </cell>
          <cell r="E543" t="str">
            <v>KANTE</v>
          </cell>
          <cell r="F543" t="str">
            <v>FH</v>
          </cell>
          <cell r="G543" t="str">
            <v>DG-Solar-Batt.</v>
          </cell>
          <cell r="H543" t="str">
            <v>OK</v>
          </cell>
          <cell r="I543" t="str">
            <v>NO</v>
          </cell>
          <cell r="J543" t="str">
            <v>NO</v>
          </cell>
          <cell r="K543" t="str">
            <v>BRONZE</v>
          </cell>
          <cell r="L543" t="str">
            <v>rural</v>
          </cell>
          <cell r="M543" t="str">
            <v>70996850</v>
          </cell>
          <cell r="N543" t="str">
            <v>KANTE</v>
          </cell>
        </row>
        <row r="544">
          <cell r="A544" t="str">
            <v>KADOGOU</v>
          </cell>
          <cell r="B544">
            <v>44026</v>
          </cell>
          <cell r="C544" t="str">
            <v>KAR-129</v>
          </cell>
          <cell r="D544" t="str">
            <v>KARA</v>
          </cell>
          <cell r="E544" t="str">
            <v>KABOU</v>
          </cell>
          <cell r="F544" t="str">
            <v>FH</v>
          </cell>
          <cell r="G544" t="str">
            <v>DG-Solar-Batt.</v>
          </cell>
          <cell r="H544" t="str">
            <v>OK</v>
          </cell>
          <cell r="I544" t="str">
            <v>NO</v>
          </cell>
          <cell r="J544" t="str">
            <v>NO</v>
          </cell>
          <cell r="K544" t="str">
            <v>BRONZE</v>
          </cell>
          <cell r="L544" t="str">
            <v>rural</v>
          </cell>
          <cell r="M544" t="str">
            <v>70996851</v>
          </cell>
          <cell r="N544" t="str">
            <v>MANGO</v>
          </cell>
        </row>
        <row r="545">
          <cell r="A545" t="str">
            <v>KAGNIGBARA</v>
          </cell>
          <cell r="B545">
            <v>43595</v>
          </cell>
          <cell r="C545" t="str">
            <v>CEN-024</v>
          </cell>
          <cell r="D545" t="str">
            <v>KARA</v>
          </cell>
          <cell r="E545" t="str">
            <v>KABOU</v>
          </cell>
          <cell r="F545" t="str">
            <v>FH</v>
          </cell>
          <cell r="G545" t="str">
            <v>DG-Solar-Batt.</v>
          </cell>
          <cell r="H545" t="str">
            <v>OK</v>
          </cell>
          <cell r="I545" t="str">
            <v>NO</v>
          </cell>
          <cell r="J545" t="str">
            <v>NO</v>
          </cell>
          <cell r="K545" t="str">
            <v>BRONZE</v>
          </cell>
          <cell r="L545" t="str">
            <v>rural</v>
          </cell>
          <cell r="M545" t="str">
            <v>70996852</v>
          </cell>
          <cell r="N545" t="str">
            <v>KABOU</v>
          </cell>
        </row>
        <row r="546">
          <cell r="A546" t="str">
            <v>KAGNIKOPE</v>
          </cell>
          <cell r="B546"/>
          <cell r="C546" t="str">
            <v>LOM-187</v>
          </cell>
          <cell r="D546" t="str">
            <v>LOME</v>
          </cell>
          <cell r="E546" t="str">
            <v>LOME-EST</v>
          </cell>
          <cell r="F546" t="str">
            <v>FO</v>
          </cell>
          <cell r="G546" t="str">
            <v>Grid-DG-Batt.</v>
          </cell>
          <cell r="H546" t="str">
            <v>OK</v>
          </cell>
          <cell r="I546" t="str">
            <v>NO</v>
          </cell>
          <cell r="J546" t="str">
            <v>NO</v>
          </cell>
          <cell r="K546" t="str">
            <v>GOLD</v>
          </cell>
          <cell r="L546" t="str">
            <v>Urbain</v>
          </cell>
          <cell r="M546" t="str">
            <v>70996438</v>
          </cell>
          <cell r="N546" t="str">
            <v>LOME EST</v>
          </cell>
        </row>
        <row r="547">
          <cell r="A547" t="str">
            <v>KAGNIKOPE2</v>
          </cell>
          <cell r="B547"/>
          <cell r="C547" t="str">
            <v>LOM-188</v>
          </cell>
          <cell r="D547" t="str">
            <v>LOME</v>
          </cell>
          <cell r="E547" t="str">
            <v>LOME-EST</v>
          </cell>
          <cell r="F547" t="str">
            <v>FO</v>
          </cell>
          <cell r="G547" t="str">
            <v>Grid-DG-Batt.</v>
          </cell>
          <cell r="H547" t="str">
            <v>NOK</v>
          </cell>
          <cell r="I547" t="str">
            <v>NO</v>
          </cell>
          <cell r="J547" t="str">
            <v>NO</v>
          </cell>
          <cell r="K547" t="str">
            <v>SILVER</v>
          </cell>
          <cell r="L547" t="str">
            <v>Urbain</v>
          </cell>
          <cell r="M547" t="str">
            <v>70996853</v>
          </cell>
          <cell r="N547" t="str">
            <v>LOME EST</v>
          </cell>
        </row>
        <row r="548">
          <cell r="A548" t="str">
            <v>KAGOME</v>
          </cell>
          <cell r="B548"/>
          <cell r="C548" t="str">
            <v>LOM-209</v>
          </cell>
          <cell r="D548" t="str">
            <v>LOME</v>
          </cell>
          <cell r="E548" t="str">
            <v>LOME-EST</v>
          </cell>
          <cell r="F548" t="str">
            <v>FO</v>
          </cell>
          <cell r="G548" t="str">
            <v>Grid-DG-Batt.</v>
          </cell>
          <cell r="H548" t="str">
            <v>OK</v>
          </cell>
          <cell r="I548" t="str">
            <v>NO</v>
          </cell>
          <cell r="J548" t="str">
            <v>NO</v>
          </cell>
          <cell r="K548" t="str">
            <v>SILVER</v>
          </cell>
          <cell r="L548" t="str">
            <v>Urbain</v>
          </cell>
          <cell r="M548" t="str">
            <v>70996437</v>
          </cell>
          <cell r="N548" t="str">
            <v>LOME EST</v>
          </cell>
        </row>
        <row r="549">
          <cell r="A549" t="str">
            <v>KAGOME-MOOV</v>
          </cell>
          <cell r="B549"/>
          <cell r="C549" t="str">
            <v>LOM-183</v>
          </cell>
          <cell r="D549" t="str">
            <v>LOME</v>
          </cell>
          <cell r="E549" t="str">
            <v>LOME-EST</v>
          </cell>
          <cell r="F549" t="str">
            <v>FH</v>
          </cell>
          <cell r="G549" t="str">
            <v>Grid-DG-Batt.</v>
          </cell>
          <cell r="H549" t="str">
            <v>OK</v>
          </cell>
          <cell r="I549" t="str">
            <v>NO</v>
          </cell>
          <cell r="J549" t="str">
            <v>NO</v>
          </cell>
          <cell r="K549" t="str">
            <v>SILVER</v>
          </cell>
          <cell r="L549" t="str">
            <v>Urbain</v>
          </cell>
          <cell r="M549">
            <v>0</v>
          </cell>
          <cell r="N549" t="str">
            <v>LOME EST</v>
          </cell>
        </row>
        <row r="550">
          <cell r="A550" t="str">
            <v>KALANGA</v>
          </cell>
          <cell r="B550">
            <v>43811</v>
          </cell>
          <cell r="C550" t="str">
            <v>KAR-105</v>
          </cell>
          <cell r="D550" t="str">
            <v>KARA</v>
          </cell>
          <cell r="E550" t="str">
            <v>KABOU</v>
          </cell>
          <cell r="F550" t="str">
            <v>FH</v>
          </cell>
          <cell r="G550" t="str">
            <v>Grid-DG-Batt.</v>
          </cell>
          <cell r="H550" t="str">
            <v>OK</v>
          </cell>
          <cell r="I550" t="str">
            <v>NO</v>
          </cell>
          <cell r="J550" t="str">
            <v>NO</v>
          </cell>
          <cell r="K550" t="str">
            <v>BRONZE</v>
          </cell>
          <cell r="L550" t="str">
            <v>rural</v>
          </cell>
          <cell r="M550" t="str">
            <v>70996854</v>
          </cell>
          <cell r="N550" t="str">
            <v>KABOU</v>
          </cell>
        </row>
        <row r="551">
          <cell r="A551" t="str">
            <v>KAMBOLI</v>
          </cell>
          <cell r="B551"/>
          <cell r="C551" t="str">
            <v>CEN-067</v>
          </cell>
          <cell r="D551" t="str">
            <v>CENTRALE</v>
          </cell>
          <cell r="E551" t="str">
            <v>TCHAMBA</v>
          </cell>
          <cell r="F551" t="str">
            <v>FH</v>
          </cell>
          <cell r="G551" t="str">
            <v>Grid-DG-Batt.</v>
          </cell>
          <cell r="H551" t="str">
            <v>OK</v>
          </cell>
          <cell r="I551" t="str">
            <v>NO</v>
          </cell>
          <cell r="J551" t="str">
            <v>NO</v>
          </cell>
          <cell r="K551" t="str">
            <v>GOLD</v>
          </cell>
          <cell r="L551" t="str">
            <v>SubUrbain</v>
          </cell>
          <cell r="M551" t="str">
            <v>70996855</v>
          </cell>
          <cell r="N551" t="str">
            <v>TCHAMBA</v>
          </cell>
        </row>
        <row r="552">
          <cell r="A552" t="str">
            <v>KAMINA</v>
          </cell>
          <cell r="B552"/>
          <cell r="C552" t="str">
            <v>PLA-093</v>
          </cell>
          <cell r="D552" t="str">
            <v>PLATEAUX</v>
          </cell>
          <cell r="E552" t="str">
            <v>BADOU</v>
          </cell>
          <cell r="F552" t="str">
            <v>FH</v>
          </cell>
          <cell r="G552" t="str">
            <v>DG-Solar-Batt.</v>
          </cell>
          <cell r="H552" t="str">
            <v>OK</v>
          </cell>
          <cell r="I552" t="str">
            <v>NO</v>
          </cell>
          <cell r="J552" t="str">
            <v>NO</v>
          </cell>
          <cell r="K552" t="str">
            <v>BRONZE</v>
          </cell>
          <cell r="L552" t="str">
            <v>rural</v>
          </cell>
          <cell r="M552" t="str">
            <v>70996856</v>
          </cell>
          <cell r="N552" t="str">
            <v>BADOU</v>
          </cell>
        </row>
        <row r="553">
          <cell r="A553" t="str">
            <v>KANGOUNOU</v>
          </cell>
          <cell r="B553">
            <v>45022</v>
          </cell>
          <cell r="C553" t="str">
            <v>SAV-102</v>
          </cell>
          <cell r="D553" t="str">
            <v>SAVANES</v>
          </cell>
          <cell r="E553" t="str">
            <v>MANGO</v>
          </cell>
          <cell r="F553" t="str">
            <v>FH</v>
          </cell>
          <cell r="G553" t="str">
            <v>DG-Solar-Batt.</v>
          </cell>
          <cell r="H553" t="str">
            <v>OK</v>
          </cell>
          <cell r="I553" t="str">
            <v>NO</v>
          </cell>
          <cell r="J553" t="str">
            <v>YES</v>
          </cell>
          <cell r="K553" t="str">
            <v>BRONZE</v>
          </cell>
          <cell r="L553" t="str">
            <v>rural</v>
          </cell>
          <cell r="M553">
            <v>70997371</v>
          </cell>
          <cell r="N553" t="str">
            <v>MANGO</v>
          </cell>
        </row>
        <row r="554">
          <cell r="A554" t="str">
            <v>KANIAMBOUA</v>
          </cell>
          <cell r="B554"/>
          <cell r="C554" t="str">
            <v>CEN-038</v>
          </cell>
          <cell r="D554" t="str">
            <v>CENTRALE</v>
          </cell>
          <cell r="E554" t="str">
            <v>SOKODE</v>
          </cell>
          <cell r="F554" t="str">
            <v>FO</v>
          </cell>
          <cell r="G554" t="str">
            <v>Grid-DG-Batt.</v>
          </cell>
          <cell r="H554" t="str">
            <v>OK</v>
          </cell>
          <cell r="I554" t="str">
            <v>NO</v>
          </cell>
          <cell r="J554" t="str">
            <v>NO</v>
          </cell>
          <cell r="K554" t="str">
            <v>BRONZE</v>
          </cell>
          <cell r="L554" t="str">
            <v>rural</v>
          </cell>
          <cell r="M554" t="str">
            <v>70996857</v>
          </cell>
          <cell r="N554" t="str">
            <v>SOKODE</v>
          </cell>
        </row>
        <row r="555">
          <cell r="A555" t="str">
            <v>KANKANGOU</v>
          </cell>
          <cell r="B555">
            <v>44914</v>
          </cell>
          <cell r="C555" t="str">
            <v>SAV-103</v>
          </cell>
          <cell r="D555" t="str">
            <v>SAVANES</v>
          </cell>
          <cell r="E555" t="str">
            <v>MANGO</v>
          </cell>
          <cell r="F555" t="str">
            <v>FH</v>
          </cell>
          <cell r="G555" t="str">
            <v>Solar-Batt.</v>
          </cell>
          <cell r="H555" t="str">
            <v>N/A</v>
          </cell>
          <cell r="I555" t="str">
            <v>NO</v>
          </cell>
          <cell r="J555" t="str">
            <v>NO</v>
          </cell>
          <cell r="K555" t="str">
            <v>BRONZE</v>
          </cell>
          <cell r="L555" t="str">
            <v>rural</v>
          </cell>
          <cell r="M555">
            <v>70997260</v>
          </cell>
          <cell r="N555" t="str">
            <v>MANGO</v>
          </cell>
        </row>
        <row r="556">
          <cell r="A556" t="str">
            <v>KANTCHIKOPE-MOOV</v>
          </cell>
          <cell r="B556">
            <v>44864</v>
          </cell>
          <cell r="C556" t="str">
            <v>PLA-234</v>
          </cell>
          <cell r="D556" t="str">
            <v>MARITIME</v>
          </cell>
          <cell r="E556" t="str">
            <v>KPALIME</v>
          </cell>
          <cell r="F556" t="str">
            <v>FH</v>
          </cell>
          <cell r="G556" t="str">
            <v>DG-Batt.</v>
          </cell>
          <cell r="H556" t="str">
            <v>OK</v>
          </cell>
          <cell r="I556" t="str">
            <v>NO</v>
          </cell>
          <cell r="J556" t="str">
            <v>YES</v>
          </cell>
          <cell r="K556" t="str">
            <v>BRONZE</v>
          </cell>
          <cell r="L556" t="str">
            <v>rural</v>
          </cell>
          <cell r="M556">
            <v>0</v>
          </cell>
          <cell r="N556" t="str">
            <v>KPALIME</v>
          </cell>
        </row>
        <row r="557">
          <cell r="A557" t="str">
            <v>KANTE</v>
          </cell>
          <cell r="B557"/>
          <cell r="C557" t="str">
            <v>KAR-040</v>
          </cell>
          <cell r="D557" t="str">
            <v>KARA</v>
          </cell>
          <cell r="E557" t="str">
            <v>KANTE</v>
          </cell>
          <cell r="F557" t="str">
            <v>FO</v>
          </cell>
          <cell r="G557" t="str">
            <v>Grid-2DG-Batt.</v>
          </cell>
          <cell r="H557" t="str">
            <v>OK</v>
          </cell>
          <cell r="I557" t="str">
            <v>NO</v>
          </cell>
          <cell r="J557" t="str">
            <v>NO</v>
          </cell>
          <cell r="K557" t="str">
            <v>PLATINUM</v>
          </cell>
          <cell r="L557" t="str">
            <v>Urbain</v>
          </cell>
          <cell r="M557" t="str">
            <v>70996858</v>
          </cell>
          <cell r="N557" t="str">
            <v>KANTE</v>
          </cell>
        </row>
        <row r="558">
          <cell r="A558" t="str">
            <v>KANTE2</v>
          </cell>
          <cell r="B558">
            <v>45091</v>
          </cell>
          <cell r="C558" t="str">
            <v>KAR-145</v>
          </cell>
          <cell r="D558" t="str">
            <v>KARA</v>
          </cell>
          <cell r="E558" t="str">
            <v>KANTE</v>
          </cell>
          <cell r="F558" t="str">
            <v>FH</v>
          </cell>
          <cell r="G558" t="str">
            <v>Grid-DG-Batt.</v>
          </cell>
          <cell r="H558" t="str">
            <v>OK</v>
          </cell>
          <cell r="I558" t="str">
            <v>NO</v>
          </cell>
          <cell r="J558" t="str">
            <v>NO</v>
          </cell>
          <cell r="K558" t="str">
            <v>BRONZE</v>
          </cell>
          <cell r="L558" t="str">
            <v>Urbain</v>
          </cell>
          <cell r="M558">
            <v>0</v>
          </cell>
          <cell r="N558" t="str">
            <v>KANTE</v>
          </cell>
        </row>
        <row r="559">
          <cell r="A559" t="str">
            <v>KANTE-DEOUTE</v>
          </cell>
          <cell r="B559">
            <v>45149</v>
          </cell>
          <cell r="C559" t="str">
            <v>KAR-163</v>
          </cell>
          <cell r="D559" t="str">
            <v>KARA</v>
          </cell>
          <cell r="E559" t="str">
            <v>KANTE</v>
          </cell>
          <cell r="F559" t="str">
            <v>FH</v>
          </cell>
          <cell r="G559" t="str">
            <v>DG-Batt.</v>
          </cell>
          <cell r="H559" t="str">
            <v>OK</v>
          </cell>
          <cell r="I559" t="str">
            <v>NO</v>
          </cell>
          <cell r="J559" t="str">
            <v>NO</v>
          </cell>
          <cell r="K559" t="str">
            <v>BRONZE</v>
          </cell>
          <cell r="L559" t="str">
            <v>Urbain</v>
          </cell>
          <cell r="M559">
            <v>70997305</v>
          </cell>
          <cell r="N559" t="str">
            <v>KANTE</v>
          </cell>
        </row>
        <row r="560">
          <cell r="A560" t="str">
            <v>KARA3</v>
          </cell>
          <cell r="B560"/>
          <cell r="C560" t="str">
            <v>KAR-011</v>
          </cell>
          <cell r="D560" t="str">
            <v>KARA</v>
          </cell>
          <cell r="E560" t="str">
            <v>KARA-EST</v>
          </cell>
          <cell r="F560" t="str">
            <v>FO</v>
          </cell>
          <cell r="G560" t="str">
            <v>Grid-DG-Batt.</v>
          </cell>
          <cell r="H560" t="str">
            <v>NOK</v>
          </cell>
          <cell r="I560" t="str">
            <v>NO</v>
          </cell>
          <cell r="J560" t="str">
            <v>NO</v>
          </cell>
          <cell r="K560" t="str">
            <v>SILVER</v>
          </cell>
          <cell r="L560" t="str">
            <v>Urbain</v>
          </cell>
          <cell r="M560">
            <v>0</v>
          </cell>
          <cell r="N560" t="str">
            <v>KARA EST</v>
          </cell>
        </row>
        <row r="561">
          <cell r="A561" t="str">
            <v>KARA-ATEDA</v>
          </cell>
          <cell r="B561"/>
          <cell r="C561" t="str">
            <v>KAR-012</v>
          </cell>
          <cell r="D561" t="str">
            <v>KARA</v>
          </cell>
          <cell r="E561" t="str">
            <v>KARA-OUEST</v>
          </cell>
          <cell r="F561" t="str">
            <v>FH</v>
          </cell>
          <cell r="G561" t="str">
            <v>Grid-DG-Batt.</v>
          </cell>
          <cell r="H561" t="str">
            <v>NOK</v>
          </cell>
          <cell r="I561" t="str">
            <v>NO</v>
          </cell>
          <cell r="J561" t="str">
            <v>NO</v>
          </cell>
          <cell r="K561" t="str">
            <v>SILVER</v>
          </cell>
          <cell r="L561" t="str">
            <v>Urbain</v>
          </cell>
          <cell r="M561" t="str">
            <v>70996860</v>
          </cell>
          <cell r="N561" t="str">
            <v>KARA OUEST</v>
          </cell>
        </row>
        <row r="562">
          <cell r="A562" t="str">
            <v>KARA-BOSCO</v>
          </cell>
          <cell r="B562">
            <v>44136</v>
          </cell>
          <cell r="C562" t="str">
            <v>KAR-117</v>
          </cell>
          <cell r="D562" t="str">
            <v>KARA</v>
          </cell>
          <cell r="E562" t="str">
            <v>KARA-OUEST</v>
          </cell>
          <cell r="F562" t="str">
            <v>FH</v>
          </cell>
          <cell r="G562" t="str">
            <v>Grid-DG-Batt.</v>
          </cell>
          <cell r="H562" t="str">
            <v>NOK</v>
          </cell>
          <cell r="I562" t="str">
            <v>NO</v>
          </cell>
          <cell r="J562" t="str">
            <v>NO</v>
          </cell>
          <cell r="K562" t="str">
            <v>SILVER</v>
          </cell>
          <cell r="L562" t="str">
            <v>Urbain</v>
          </cell>
          <cell r="M562" t="str">
            <v>70996861</v>
          </cell>
          <cell r="N562" t="str">
            <v>KARA OUEST</v>
          </cell>
        </row>
        <row r="563">
          <cell r="A563" t="str">
            <v>KARA-CAMP</v>
          </cell>
          <cell r="B563">
            <v>45085</v>
          </cell>
          <cell r="C563" t="str">
            <v>KAR-164</v>
          </cell>
          <cell r="D563" t="str">
            <v>KARA</v>
          </cell>
          <cell r="E563" t="str">
            <v>KARA-EST</v>
          </cell>
          <cell r="F563" t="str">
            <v>FTTM</v>
          </cell>
          <cell r="G563" t="str">
            <v>Grid-DG-Batt.</v>
          </cell>
          <cell r="H563" t="str">
            <v>OK</v>
          </cell>
          <cell r="I563" t="str">
            <v>NO</v>
          </cell>
          <cell r="J563" t="str">
            <v>NO</v>
          </cell>
          <cell r="K563" t="str">
            <v>SILVER</v>
          </cell>
          <cell r="L563" t="str">
            <v>SubUrbain</v>
          </cell>
          <cell r="M563">
            <v>70997296</v>
          </cell>
          <cell r="N563" t="str">
            <v>KARA EST</v>
          </cell>
        </row>
        <row r="564">
          <cell r="A564" t="str">
            <v>KARA-CENTRAL</v>
          </cell>
          <cell r="B564"/>
          <cell r="C564" t="str">
            <v>KAR-013</v>
          </cell>
          <cell r="D564" t="str">
            <v>KARA</v>
          </cell>
          <cell r="E564" t="str">
            <v>KARA-OUEST</v>
          </cell>
          <cell r="F564" t="str">
            <v>FO</v>
          </cell>
          <cell r="G564" t="str">
            <v>Grid-DG-Batt.</v>
          </cell>
          <cell r="H564" t="str">
            <v>OK</v>
          </cell>
          <cell r="I564" t="str">
            <v>NO</v>
          </cell>
          <cell r="J564" t="str">
            <v>NO</v>
          </cell>
          <cell r="K564" t="str">
            <v>PLATINUM</v>
          </cell>
          <cell r="L564" t="str">
            <v>Urbain</v>
          </cell>
          <cell r="M564">
            <v>0</v>
          </cell>
          <cell r="N564" t="str">
            <v>KARA OUEST</v>
          </cell>
        </row>
        <row r="565">
          <cell r="A565" t="str">
            <v>KARA-DONGOYO</v>
          </cell>
          <cell r="B565"/>
          <cell r="C565" t="str">
            <v>KAR-014</v>
          </cell>
          <cell r="D565" t="str">
            <v>KARA</v>
          </cell>
          <cell r="E565" t="str">
            <v>KARA-OUEST</v>
          </cell>
          <cell r="F565" t="str">
            <v>FO</v>
          </cell>
          <cell r="G565" t="str">
            <v>Grid-DG-Batt.</v>
          </cell>
          <cell r="H565" t="str">
            <v>NOK</v>
          </cell>
          <cell r="I565" t="str">
            <v>NO</v>
          </cell>
          <cell r="J565" t="str">
            <v>YES</v>
          </cell>
          <cell r="K565" t="str">
            <v>SILVER</v>
          </cell>
          <cell r="L565" t="str">
            <v>Urbain</v>
          </cell>
          <cell r="M565" t="str">
            <v>70996862</v>
          </cell>
          <cell r="N565" t="str">
            <v>KARA OUEST</v>
          </cell>
        </row>
        <row r="566">
          <cell r="A566" t="str">
            <v>KARA-HOTEL-FRANCE</v>
          </cell>
          <cell r="B566"/>
          <cell r="C566" t="str">
            <v>KAR-001</v>
          </cell>
          <cell r="D566" t="str">
            <v>KARA</v>
          </cell>
          <cell r="E566" t="str">
            <v>KARA-EST</v>
          </cell>
          <cell r="F566" t="str">
            <v>FO</v>
          </cell>
          <cell r="G566" t="str">
            <v>Grid-DG-Batt.</v>
          </cell>
          <cell r="H566" t="str">
            <v>NOK</v>
          </cell>
          <cell r="I566" t="str">
            <v>NO</v>
          </cell>
          <cell r="J566" t="str">
            <v>NO</v>
          </cell>
          <cell r="K566" t="str">
            <v>GOLD</v>
          </cell>
          <cell r="L566" t="str">
            <v>Urbain</v>
          </cell>
          <cell r="M566" t="str">
            <v>70996863</v>
          </cell>
          <cell r="N566" t="str">
            <v>KARA EST</v>
          </cell>
        </row>
        <row r="567">
          <cell r="A567" t="str">
            <v>KARALASSA-MOOV</v>
          </cell>
          <cell r="B567">
            <v>44859</v>
          </cell>
          <cell r="C567" t="str">
            <v>KAR-157</v>
          </cell>
          <cell r="D567" t="str">
            <v>KARA</v>
          </cell>
          <cell r="E567" t="str">
            <v>KARA-EST</v>
          </cell>
          <cell r="F567" t="str">
            <v>FH</v>
          </cell>
          <cell r="G567" t="str">
            <v>Grid-DG-Batt.</v>
          </cell>
          <cell r="H567" t="str">
            <v>OK</v>
          </cell>
          <cell r="I567" t="str">
            <v>NO</v>
          </cell>
          <cell r="J567" t="str">
            <v>YES</v>
          </cell>
          <cell r="K567" t="str">
            <v>SILVER</v>
          </cell>
          <cell r="L567" t="str">
            <v>SubUrbain</v>
          </cell>
          <cell r="M567">
            <v>0</v>
          </cell>
          <cell r="N567" t="str">
            <v>KARA EST</v>
          </cell>
        </row>
        <row r="568">
          <cell r="A568" t="str">
            <v>KARA-MARCHE</v>
          </cell>
          <cell r="B568" t="str">
            <v>NA</v>
          </cell>
          <cell r="C568" t="str">
            <v>KAR-015</v>
          </cell>
          <cell r="D568" t="str">
            <v>KARA</v>
          </cell>
          <cell r="E568" t="str">
            <v>KARA-OUEST</v>
          </cell>
          <cell r="F568" t="str">
            <v>FO</v>
          </cell>
          <cell r="G568" t="str">
            <v>Grid-DG-Batt.</v>
          </cell>
          <cell r="H568" t="str">
            <v>N/A</v>
          </cell>
          <cell r="I568" t="str">
            <v>NO</v>
          </cell>
          <cell r="J568" t="str">
            <v>NO</v>
          </cell>
          <cell r="K568" t="str">
            <v>SILVER</v>
          </cell>
          <cell r="L568" t="str">
            <v>Urbain</v>
          </cell>
          <cell r="M568" t="str">
            <v>70996864</v>
          </cell>
          <cell r="N568" t="str">
            <v>KARA OUEST</v>
          </cell>
        </row>
        <row r="569">
          <cell r="A569" t="str">
            <v>KARA-PISSA</v>
          </cell>
          <cell r="B569">
            <v>43281</v>
          </cell>
          <cell r="C569" t="str">
            <v>KAR-002</v>
          </cell>
          <cell r="D569" t="str">
            <v>KARA</v>
          </cell>
          <cell r="E569" t="str">
            <v>KARA-EST</v>
          </cell>
          <cell r="F569" t="str">
            <v>FH</v>
          </cell>
          <cell r="G569" t="str">
            <v>Grid-DG-Batt.</v>
          </cell>
          <cell r="H569" t="str">
            <v>OK</v>
          </cell>
          <cell r="I569" t="str">
            <v>NO</v>
          </cell>
          <cell r="J569" t="str">
            <v>NO</v>
          </cell>
          <cell r="K569" t="str">
            <v>GOLD</v>
          </cell>
          <cell r="L569" t="str">
            <v>Urbain</v>
          </cell>
          <cell r="M569" t="str">
            <v>70996865</v>
          </cell>
          <cell r="N569" t="str">
            <v>KARA EST</v>
          </cell>
        </row>
        <row r="570">
          <cell r="A570" t="str">
            <v>KARA-POWAYI</v>
          </cell>
          <cell r="B570">
            <v>45278</v>
          </cell>
          <cell r="C570" t="str">
            <v>KAR-158</v>
          </cell>
          <cell r="D570" t="str">
            <v>KARA</v>
          </cell>
          <cell r="E570" t="str">
            <v>KARA-EST</v>
          </cell>
          <cell r="F570" t="str">
            <v>FH</v>
          </cell>
          <cell r="G570" t="str">
            <v>Grid-DG-Batt.</v>
          </cell>
          <cell r="H570" t="str">
            <v>OK</v>
          </cell>
          <cell r="I570" t="str">
            <v>NO</v>
          </cell>
          <cell r="J570">
            <v>0</v>
          </cell>
          <cell r="K570" t="str">
            <v>GOLD</v>
          </cell>
          <cell r="L570" t="str">
            <v>Urban</v>
          </cell>
          <cell r="M570">
            <v>0</v>
          </cell>
          <cell r="N570" t="str">
            <v>KARA EST</v>
          </cell>
        </row>
        <row r="571">
          <cell r="A571" t="str">
            <v>KARA-SITO</v>
          </cell>
          <cell r="B571"/>
          <cell r="C571" t="str">
            <v>KAR-003</v>
          </cell>
          <cell r="D571" t="str">
            <v>KARA</v>
          </cell>
          <cell r="E571" t="str">
            <v>KARA-OUEST</v>
          </cell>
          <cell r="F571" t="str">
            <v>FO</v>
          </cell>
          <cell r="G571" t="str">
            <v>Grid-DG-Batt.</v>
          </cell>
          <cell r="H571" t="str">
            <v>NOK</v>
          </cell>
          <cell r="I571" t="str">
            <v>NO</v>
          </cell>
          <cell r="J571" t="str">
            <v>NO</v>
          </cell>
          <cell r="K571" t="str">
            <v>SILVER</v>
          </cell>
          <cell r="L571" t="str">
            <v>Urbain</v>
          </cell>
          <cell r="M571" t="str">
            <v>70996866</v>
          </cell>
          <cell r="N571" t="str">
            <v>KARA OUEST</v>
          </cell>
        </row>
        <row r="572">
          <cell r="A572" t="str">
            <v>KARA-SOS</v>
          </cell>
          <cell r="B572">
            <v>44136</v>
          </cell>
          <cell r="C572" t="str">
            <v>KAR-118</v>
          </cell>
          <cell r="D572" t="str">
            <v>KARA</v>
          </cell>
          <cell r="E572" t="str">
            <v>KARA-EST</v>
          </cell>
          <cell r="F572" t="str">
            <v>FH</v>
          </cell>
          <cell r="G572" t="str">
            <v>Grid-DG-Batt.</v>
          </cell>
          <cell r="H572" t="str">
            <v>OK</v>
          </cell>
          <cell r="I572" t="str">
            <v>YES</v>
          </cell>
          <cell r="J572" t="str">
            <v>NO</v>
          </cell>
          <cell r="K572" t="str">
            <v>SILVER</v>
          </cell>
          <cell r="L572" t="str">
            <v>Urbain</v>
          </cell>
          <cell r="M572" t="str">
            <v>70996867</v>
          </cell>
          <cell r="N572" t="str">
            <v>KARA EST</v>
          </cell>
        </row>
        <row r="573">
          <cell r="A573" t="str">
            <v>KARA-SUD</v>
          </cell>
          <cell r="B573" t="str">
            <v>NA</v>
          </cell>
          <cell r="C573" t="str">
            <v>KAR-016</v>
          </cell>
          <cell r="D573" t="str">
            <v>KARA</v>
          </cell>
          <cell r="E573" t="str">
            <v>KARA-OUEST</v>
          </cell>
          <cell r="F573" t="str">
            <v>FO</v>
          </cell>
          <cell r="G573" t="str">
            <v>Grid-DG-Batt.</v>
          </cell>
          <cell r="H573" t="str">
            <v>OK</v>
          </cell>
          <cell r="I573" t="str">
            <v>NO</v>
          </cell>
          <cell r="J573" t="str">
            <v>NO</v>
          </cell>
          <cell r="K573" t="str">
            <v>SILVER</v>
          </cell>
          <cell r="L573" t="str">
            <v>Urbain</v>
          </cell>
          <cell r="M573" t="str">
            <v>70996868</v>
          </cell>
          <cell r="N573" t="str">
            <v>KARA OUEST</v>
          </cell>
        </row>
        <row r="574">
          <cell r="A574" t="str">
            <v>KARA-TCHALOUDE</v>
          </cell>
          <cell r="B574">
            <v>44660</v>
          </cell>
          <cell r="C574" t="str">
            <v>KAR-135</v>
          </cell>
          <cell r="D574" t="str">
            <v>KARA</v>
          </cell>
          <cell r="E574" t="str">
            <v>KARA-EST</v>
          </cell>
          <cell r="F574" t="str">
            <v>FH</v>
          </cell>
          <cell r="G574" t="str">
            <v>Grid-DG-Batt.</v>
          </cell>
          <cell r="H574" t="str">
            <v>OK</v>
          </cell>
          <cell r="I574" t="str">
            <v>NO</v>
          </cell>
          <cell r="J574" t="str">
            <v>YES</v>
          </cell>
          <cell r="K574" t="str">
            <v>SILVER</v>
          </cell>
          <cell r="L574" t="str">
            <v>Urbain</v>
          </cell>
          <cell r="M574" t="str">
            <v>70996411</v>
          </cell>
          <cell r="N574" t="str">
            <v>KARA EST</v>
          </cell>
        </row>
        <row r="575">
          <cell r="A575" t="str">
            <v>KARA-TCHINTCHINDA</v>
          </cell>
          <cell r="B575">
            <v>44136</v>
          </cell>
          <cell r="C575" t="str">
            <v>KAR-119</v>
          </cell>
          <cell r="D575" t="str">
            <v>KARA</v>
          </cell>
          <cell r="E575" t="str">
            <v>KARA-EST</v>
          </cell>
          <cell r="F575" t="str">
            <v>FH</v>
          </cell>
          <cell r="G575" t="str">
            <v>Grid-DG-Batt.</v>
          </cell>
          <cell r="H575" t="str">
            <v>NOK</v>
          </cell>
          <cell r="I575" t="str">
            <v>NO</v>
          </cell>
          <cell r="J575" t="str">
            <v>NO</v>
          </cell>
          <cell r="K575" t="str">
            <v>GOLD</v>
          </cell>
          <cell r="L575" t="str">
            <v>Urbain</v>
          </cell>
          <cell r="M575" t="str">
            <v>70996869</v>
          </cell>
          <cell r="N575" t="str">
            <v>KARA EST</v>
          </cell>
        </row>
        <row r="576">
          <cell r="A576" t="str">
            <v>KARA-UNIVERSITE</v>
          </cell>
          <cell r="B576">
            <v>45156</v>
          </cell>
          <cell r="C576" t="str">
            <v>KAR-159</v>
          </cell>
          <cell r="D576" t="str">
            <v>KARA</v>
          </cell>
          <cell r="E576" t="str">
            <v>KARA-OUEST</v>
          </cell>
          <cell r="F576" t="str">
            <v>FH</v>
          </cell>
          <cell r="G576" t="str">
            <v>Grid-DG-Batt.</v>
          </cell>
          <cell r="H576" t="str">
            <v>NOK</v>
          </cell>
          <cell r="I576" t="str">
            <v>NO</v>
          </cell>
          <cell r="J576" t="str">
            <v>NO</v>
          </cell>
          <cell r="K576" t="str">
            <v>SILVER</v>
          </cell>
          <cell r="L576" t="str">
            <v>Urbain</v>
          </cell>
          <cell r="M576">
            <v>0</v>
          </cell>
          <cell r="N576" t="str">
            <v>KARA OUEST</v>
          </cell>
        </row>
        <row r="577">
          <cell r="A577" t="str">
            <v>KARA-WOLADE</v>
          </cell>
          <cell r="B577">
            <v>45143</v>
          </cell>
          <cell r="C577" t="str">
            <v>KAR-160</v>
          </cell>
          <cell r="D577" t="str">
            <v>KARA</v>
          </cell>
          <cell r="E577" t="str">
            <v>KARA-OUEST</v>
          </cell>
          <cell r="F577" t="str">
            <v>FH</v>
          </cell>
          <cell r="G577" t="str">
            <v>Grid-DG-Batt.</v>
          </cell>
          <cell r="H577" t="str">
            <v>OK</v>
          </cell>
          <cell r="I577" t="str">
            <v>NO</v>
          </cell>
          <cell r="J577" t="str">
            <v>NO</v>
          </cell>
          <cell r="K577" t="str">
            <v>GOLD</v>
          </cell>
          <cell r="L577" t="str">
            <v>Urbain</v>
          </cell>
          <cell r="M577">
            <v>0</v>
          </cell>
          <cell r="N577" t="str">
            <v>KARA OUEST</v>
          </cell>
        </row>
        <row r="578">
          <cell r="A578" t="str">
            <v>KASSIKADE</v>
          </cell>
          <cell r="B578"/>
          <cell r="C578" t="str">
            <v>CEN-039</v>
          </cell>
          <cell r="D578" t="str">
            <v>CENTRALE</v>
          </cell>
          <cell r="E578" t="str">
            <v>SOKODE</v>
          </cell>
          <cell r="F578" t="str">
            <v>FH</v>
          </cell>
          <cell r="G578" t="str">
            <v>DG-Solar-Batt.</v>
          </cell>
          <cell r="H578" t="str">
            <v>OK</v>
          </cell>
          <cell r="I578" t="str">
            <v>NO</v>
          </cell>
          <cell r="J578" t="str">
            <v>YES</v>
          </cell>
          <cell r="K578" t="str">
            <v>BRONZE</v>
          </cell>
          <cell r="L578" t="str">
            <v>rural</v>
          </cell>
          <cell r="M578" t="str">
            <v>70996870</v>
          </cell>
          <cell r="N578" t="str">
            <v>SOKODE</v>
          </cell>
        </row>
        <row r="579">
          <cell r="A579" t="str">
            <v>KATCHAMBA</v>
          </cell>
          <cell r="B579"/>
          <cell r="C579" t="str">
            <v>KAR-052</v>
          </cell>
          <cell r="D579" t="str">
            <v>SAVANES</v>
          </cell>
          <cell r="E579" t="str">
            <v>MANGO</v>
          </cell>
          <cell r="F579" t="str">
            <v>FH</v>
          </cell>
          <cell r="G579" t="str">
            <v>DG-Solar-Batt.</v>
          </cell>
          <cell r="H579" t="str">
            <v>OK</v>
          </cell>
          <cell r="I579" t="str">
            <v>NO</v>
          </cell>
          <cell r="J579" t="str">
            <v>NO</v>
          </cell>
          <cell r="K579" t="str">
            <v>BRONZE</v>
          </cell>
          <cell r="L579" t="str">
            <v>rural</v>
          </cell>
          <cell r="M579" t="str">
            <v>70996871</v>
          </cell>
          <cell r="N579" t="str">
            <v>MANGO</v>
          </cell>
        </row>
        <row r="580">
          <cell r="A580" t="str">
            <v>KAVE</v>
          </cell>
          <cell r="B580">
            <v>43889</v>
          </cell>
          <cell r="C580" t="str">
            <v>PLA-154</v>
          </cell>
          <cell r="D580" t="str">
            <v>PLATEAUX</v>
          </cell>
          <cell r="E580" t="str">
            <v>ATAKPAME-EST</v>
          </cell>
          <cell r="F580" t="str">
            <v>FH</v>
          </cell>
          <cell r="G580" t="str">
            <v>DG-Batt.</v>
          </cell>
          <cell r="H580" t="str">
            <v>NOK</v>
          </cell>
          <cell r="I580" t="str">
            <v>NO</v>
          </cell>
          <cell r="J580" t="str">
            <v>NO</v>
          </cell>
          <cell r="K580" t="str">
            <v>BRONZE</v>
          </cell>
          <cell r="L580" t="str">
            <v>rural</v>
          </cell>
          <cell r="M580" t="str">
            <v>70996872</v>
          </cell>
          <cell r="N580" t="str">
            <v>ATAKPAME</v>
          </cell>
        </row>
        <row r="581">
          <cell r="A581" t="str">
            <v>KAWA-ABONANDA</v>
          </cell>
          <cell r="B581">
            <v>44812</v>
          </cell>
          <cell r="C581" t="str">
            <v>KAR-138</v>
          </cell>
          <cell r="D581" t="str">
            <v>KARA</v>
          </cell>
          <cell r="E581" t="str">
            <v>KARA-OUEST</v>
          </cell>
          <cell r="F581" t="str">
            <v>FH</v>
          </cell>
          <cell r="G581" t="str">
            <v>DG-Solar-Batt.</v>
          </cell>
          <cell r="H581" t="str">
            <v>OK</v>
          </cell>
          <cell r="I581" t="str">
            <v>NO</v>
          </cell>
          <cell r="J581" t="str">
            <v>YES</v>
          </cell>
          <cell r="K581" t="str">
            <v>BRONZE</v>
          </cell>
          <cell r="L581" t="str">
            <v>rural</v>
          </cell>
          <cell r="M581" t="str">
            <v>70996476</v>
          </cell>
          <cell r="N581" t="str">
            <v>KARA OUEST</v>
          </cell>
        </row>
        <row r="582">
          <cell r="A582" t="str">
            <v>KAZABOUA</v>
          </cell>
          <cell r="B582"/>
          <cell r="C582" t="str">
            <v>CEN-040</v>
          </cell>
          <cell r="D582" t="str">
            <v>CENTRALE</v>
          </cell>
          <cell r="E582" t="str">
            <v>BLITTA</v>
          </cell>
          <cell r="F582" t="str">
            <v>FH</v>
          </cell>
          <cell r="G582" t="str">
            <v>Grid-DG-Solar-Batt.</v>
          </cell>
          <cell r="H582" t="str">
            <v>OK</v>
          </cell>
          <cell r="I582" t="str">
            <v>NO</v>
          </cell>
          <cell r="J582" t="str">
            <v>YES</v>
          </cell>
          <cell r="K582" t="str">
            <v>BRONZE</v>
          </cell>
          <cell r="L582" t="str">
            <v>rural</v>
          </cell>
          <cell r="M582" t="str">
            <v>70996873</v>
          </cell>
          <cell r="N582" t="str">
            <v>BLITTA</v>
          </cell>
        </row>
        <row r="583">
          <cell r="A583" t="str">
            <v>KEDIA</v>
          </cell>
          <cell r="B583">
            <v>43318</v>
          </cell>
          <cell r="C583" t="str">
            <v>CEN-003</v>
          </cell>
          <cell r="D583" t="str">
            <v>CENTRALE</v>
          </cell>
          <cell r="E583" t="str">
            <v>SOKODE</v>
          </cell>
          <cell r="F583" t="str">
            <v>FH</v>
          </cell>
          <cell r="G583" t="str">
            <v>Grid-DG-Batt.</v>
          </cell>
          <cell r="H583" t="str">
            <v>OK</v>
          </cell>
          <cell r="I583" t="str">
            <v>NO</v>
          </cell>
          <cell r="J583" t="str">
            <v>NO</v>
          </cell>
          <cell r="K583" t="str">
            <v>GOLD</v>
          </cell>
          <cell r="L583" t="str">
            <v>Urbain</v>
          </cell>
          <cell r="M583" t="str">
            <v>70996874</v>
          </cell>
          <cell r="N583" t="str">
            <v>SOKODE</v>
          </cell>
        </row>
        <row r="584">
          <cell r="A584" t="str">
            <v>KEGUE</v>
          </cell>
          <cell r="B584"/>
          <cell r="C584" t="str">
            <v>LOM-091</v>
          </cell>
          <cell r="D584" t="str">
            <v>LOME</v>
          </cell>
          <cell r="E584" t="str">
            <v>LOME-CENTRE</v>
          </cell>
          <cell r="F584" t="str">
            <v>FO</v>
          </cell>
          <cell r="G584" t="str">
            <v>Grid-DG-Batt.</v>
          </cell>
          <cell r="H584" t="str">
            <v>OK</v>
          </cell>
          <cell r="I584" t="str">
            <v>YES</v>
          </cell>
          <cell r="J584" t="str">
            <v>YES</v>
          </cell>
          <cell r="K584" t="str">
            <v>SILVER</v>
          </cell>
          <cell r="L584" t="str">
            <v>Urbain</v>
          </cell>
          <cell r="M584" t="str">
            <v>70996439</v>
          </cell>
          <cell r="N584" t="str">
            <v>LOME CENTRE</v>
          </cell>
        </row>
        <row r="585">
          <cell r="A585" t="str">
            <v>KEGUE2</v>
          </cell>
          <cell r="B585"/>
          <cell r="C585" t="str">
            <v>LOM-092</v>
          </cell>
          <cell r="D585" t="str">
            <v>LOME</v>
          </cell>
          <cell r="E585" t="str">
            <v>LOME-CENTRE</v>
          </cell>
          <cell r="F585" t="str">
            <v>FO</v>
          </cell>
          <cell r="G585" t="str">
            <v>Grid-DG-Batt.</v>
          </cell>
          <cell r="H585" t="str">
            <v>OK</v>
          </cell>
          <cell r="I585" t="str">
            <v>NO</v>
          </cell>
          <cell r="J585" t="str">
            <v>NO</v>
          </cell>
          <cell r="K585" t="str">
            <v>GOLD</v>
          </cell>
          <cell r="L585" t="str">
            <v>Urbain</v>
          </cell>
          <cell r="M585" t="str">
            <v>70996875</v>
          </cell>
          <cell r="N585" t="str">
            <v>LOME CENTRE</v>
          </cell>
        </row>
        <row r="586">
          <cell r="A586" t="str">
            <v>KEGUE3</v>
          </cell>
          <cell r="B586">
            <v>44856</v>
          </cell>
          <cell r="C586" t="str">
            <v>LOM-362</v>
          </cell>
          <cell r="D586" t="str">
            <v>LOME</v>
          </cell>
          <cell r="E586" t="str">
            <v>LOME-CENTRE</v>
          </cell>
          <cell r="F586" t="str">
            <v>FTTM</v>
          </cell>
          <cell r="G586" t="str">
            <v>Grid-DG-Batt.</v>
          </cell>
          <cell r="H586" t="str">
            <v>OK</v>
          </cell>
          <cell r="I586" t="str">
            <v>NO</v>
          </cell>
          <cell r="J586" t="str">
            <v>YES</v>
          </cell>
          <cell r="K586" t="str">
            <v>SILVER</v>
          </cell>
          <cell r="L586" t="str">
            <v>Urbain</v>
          </cell>
          <cell r="M586">
            <v>0</v>
          </cell>
          <cell r="N586" t="str">
            <v>LOME CENTRE</v>
          </cell>
        </row>
        <row r="587">
          <cell r="A587" t="str">
            <v>KEGUE-MOOV</v>
          </cell>
          <cell r="B587"/>
          <cell r="C587" t="str">
            <v>LOM-093</v>
          </cell>
          <cell r="D587" t="str">
            <v>LOME</v>
          </cell>
          <cell r="E587" t="str">
            <v>LOME-CENTRE</v>
          </cell>
          <cell r="F587" t="str">
            <v>FH</v>
          </cell>
          <cell r="G587" t="str">
            <v>Grid-DG-Batt.</v>
          </cell>
          <cell r="H587" t="str">
            <v>OK</v>
          </cell>
          <cell r="I587" t="str">
            <v>NO</v>
          </cell>
          <cell r="J587" t="str">
            <v>NO</v>
          </cell>
          <cell r="K587" t="str">
            <v>SILVER</v>
          </cell>
          <cell r="L587" t="str">
            <v>Urbain</v>
          </cell>
          <cell r="M587">
            <v>0</v>
          </cell>
          <cell r="N587" t="str">
            <v>LOME CENTRE</v>
          </cell>
        </row>
        <row r="588">
          <cell r="A588" t="str">
            <v>KEGUE-STADE</v>
          </cell>
          <cell r="B588"/>
          <cell r="C588" t="str">
            <v>LOM-094</v>
          </cell>
          <cell r="D588" t="str">
            <v>LOME</v>
          </cell>
          <cell r="E588" t="str">
            <v>LOME-CENTRE</v>
          </cell>
          <cell r="F588" t="str">
            <v>FO</v>
          </cell>
          <cell r="G588" t="str">
            <v>Grid-DG-Batt.</v>
          </cell>
          <cell r="H588" t="str">
            <v>N/A</v>
          </cell>
          <cell r="I588" t="str">
            <v>NO</v>
          </cell>
          <cell r="J588" t="str">
            <v>YES</v>
          </cell>
          <cell r="K588" t="str">
            <v>GOLD</v>
          </cell>
          <cell r="L588" t="str">
            <v>Urbain</v>
          </cell>
          <cell r="M588" t="str">
            <v>70996876</v>
          </cell>
          <cell r="N588" t="str">
            <v>LOME CENTRE</v>
          </cell>
        </row>
        <row r="589">
          <cell r="A589" t="str">
            <v>KELEGOUGAN</v>
          </cell>
          <cell r="B589"/>
          <cell r="C589" t="str">
            <v>LOM-007</v>
          </cell>
          <cell r="D589" t="str">
            <v>LOME</v>
          </cell>
          <cell r="E589" t="str">
            <v>LOME-CENTRE</v>
          </cell>
          <cell r="F589" t="str">
            <v>FO</v>
          </cell>
          <cell r="G589" t="str">
            <v>Grid-DG-Batt.</v>
          </cell>
          <cell r="H589" t="str">
            <v>OK</v>
          </cell>
          <cell r="I589" t="str">
            <v>NO</v>
          </cell>
          <cell r="J589" t="str">
            <v>NO</v>
          </cell>
          <cell r="K589" t="str">
            <v>GOLD</v>
          </cell>
          <cell r="L589" t="str">
            <v>Urbain</v>
          </cell>
          <cell r="M589" t="str">
            <v>70996877</v>
          </cell>
          <cell r="N589" t="str">
            <v>LOME CENTRE</v>
          </cell>
        </row>
        <row r="590">
          <cell r="A590" t="str">
            <v>KELEGOUGAN2</v>
          </cell>
          <cell r="B590"/>
          <cell r="C590" t="str">
            <v>LOM-008</v>
          </cell>
          <cell r="D590" t="str">
            <v>LOME</v>
          </cell>
          <cell r="E590" t="str">
            <v>LOME-CENTRE</v>
          </cell>
          <cell r="F590" t="str">
            <v>FO</v>
          </cell>
          <cell r="G590" t="str">
            <v>Grid-DG-Batt.</v>
          </cell>
          <cell r="H590" t="str">
            <v>OK</v>
          </cell>
          <cell r="I590" t="str">
            <v>NO</v>
          </cell>
          <cell r="J590" t="str">
            <v>NO</v>
          </cell>
          <cell r="K590" t="str">
            <v>GOLD</v>
          </cell>
          <cell r="L590" t="str">
            <v>Urbain</v>
          </cell>
          <cell r="M590" t="str">
            <v>70996878</v>
          </cell>
          <cell r="N590" t="str">
            <v>LOME CENTRE</v>
          </cell>
        </row>
        <row r="591">
          <cell r="A591" t="str">
            <v>KELEGOUGAN3</v>
          </cell>
          <cell r="B591">
            <v>44545</v>
          </cell>
          <cell r="C591" t="str">
            <v>LOM-282</v>
          </cell>
          <cell r="D591" t="str">
            <v>LOME</v>
          </cell>
          <cell r="E591" t="str">
            <v>LOME-CENTRE</v>
          </cell>
          <cell r="F591" t="str">
            <v>FTTM</v>
          </cell>
          <cell r="G591" t="str">
            <v>Grid-DG-Batt.</v>
          </cell>
          <cell r="H591" t="str">
            <v>OK</v>
          </cell>
          <cell r="I591" t="str">
            <v>NO</v>
          </cell>
          <cell r="J591" t="str">
            <v>YES</v>
          </cell>
          <cell r="K591" t="str">
            <v>GOLD</v>
          </cell>
          <cell r="L591" t="str">
            <v>SubUrbain</v>
          </cell>
          <cell r="M591">
            <v>0</v>
          </cell>
          <cell r="N591" t="str">
            <v>LOME CENTRE</v>
          </cell>
        </row>
        <row r="592">
          <cell r="A592" t="str">
            <v>KELEKPE</v>
          </cell>
          <cell r="B592"/>
          <cell r="C592" t="str">
            <v>PLA-125</v>
          </cell>
          <cell r="D592" t="str">
            <v>PLATEAUX</v>
          </cell>
          <cell r="E592" t="str">
            <v>ATAKPAME-OUEST</v>
          </cell>
          <cell r="F592" t="str">
            <v>FH</v>
          </cell>
          <cell r="G592" t="str">
            <v>DG-Solar-Batt.</v>
          </cell>
          <cell r="H592" t="str">
            <v>OK</v>
          </cell>
          <cell r="I592" t="str">
            <v>NO</v>
          </cell>
          <cell r="J592" t="str">
            <v>NO</v>
          </cell>
          <cell r="K592" t="str">
            <v>BRONZE</v>
          </cell>
          <cell r="L592" t="str">
            <v>rural</v>
          </cell>
          <cell r="M592" t="str">
            <v>70996879</v>
          </cell>
          <cell r="N592" t="str">
            <v>ATAKPAME</v>
          </cell>
        </row>
        <row r="593">
          <cell r="A593" t="str">
            <v>KEMENI</v>
          </cell>
          <cell r="B593">
            <v>43610</v>
          </cell>
          <cell r="C593" t="str">
            <v>KAR-094</v>
          </cell>
          <cell r="D593" t="str">
            <v>CENTRALE</v>
          </cell>
          <cell r="E593" t="str">
            <v>SOKODE</v>
          </cell>
          <cell r="F593" t="str">
            <v>FH</v>
          </cell>
          <cell r="G593" t="str">
            <v>Grid-DG-Batt.</v>
          </cell>
          <cell r="H593" t="str">
            <v>NOK</v>
          </cell>
          <cell r="I593" t="str">
            <v>NO</v>
          </cell>
          <cell r="J593" t="str">
            <v>NO</v>
          </cell>
          <cell r="K593" t="str">
            <v>BRONZE</v>
          </cell>
          <cell r="L593" t="str">
            <v>rural</v>
          </cell>
          <cell r="M593" t="str">
            <v>70996880</v>
          </cell>
          <cell r="N593" t="str">
            <v>SOKODE</v>
          </cell>
        </row>
        <row r="594">
          <cell r="A594" t="str">
            <v>KEMERIDA</v>
          </cell>
          <cell r="B594">
            <v>43287</v>
          </cell>
          <cell r="C594" t="str">
            <v>KAR-032</v>
          </cell>
          <cell r="D594" t="str">
            <v>KARA</v>
          </cell>
          <cell r="E594" t="str">
            <v>KARA-EST</v>
          </cell>
          <cell r="F594" t="str">
            <v>FH</v>
          </cell>
          <cell r="G594" t="str">
            <v>Grid-DG-Solar-Batt.</v>
          </cell>
          <cell r="H594" t="str">
            <v>NOK</v>
          </cell>
          <cell r="I594" t="str">
            <v>NO</v>
          </cell>
          <cell r="J594" t="str">
            <v>NO</v>
          </cell>
          <cell r="K594" t="str">
            <v>SILVER</v>
          </cell>
          <cell r="L594" t="str">
            <v>rural</v>
          </cell>
          <cell r="M594" t="str">
            <v>70996881</v>
          </cell>
          <cell r="N594" t="str">
            <v>KARA EST</v>
          </cell>
        </row>
        <row r="595">
          <cell r="A595" t="str">
            <v>KESSIBO-WAWA</v>
          </cell>
          <cell r="B595"/>
          <cell r="C595" t="str">
            <v>PLA-100</v>
          </cell>
          <cell r="D595" t="str">
            <v>PLATEAUX</v>
          </cell>
          <cell r="E595" t="str">
            <v>BADOU</v>
          </cell>
          <cell r="F595" t="str">
            <v>FH</v>
          </cell>
          <cell r="G595" t="str">
            <v>DG-Solar-Batt.</v>
          </cell>
          <cell r="H595" t="str">
            <v>NOK</v>
          </cell>
          <cell r="I595" t="str">
            <v>NO</v>
          </cell>
          <cell r="J595" t="str">
            <v>YES</v>
          </cell>
          <cell r="K595" t="str">
            <v>BRONZE</v>
          </cell>
          <cell r="L595" t="str">
            <v>rural</v>
          </cell>
          <cell r="M595" t="str">
            <v>70996882</v>
          </cell>
          <cell r="N595" t="str">
            <v>BADOU</v>
          </cell>
        </row>
        <row r="596">
          <cell r="A596" t="str">
            <v>KETAWO</v>
          </cell>
          <cell r="B596"/>
          <cell r="C596" t="str">
            <v>KAR-029</v>
          </cell>
          <cell r="D596" t="str">
            <v>KARA</v>
          </cell>
          <cell r="E596" t="str">
            <v>KARA-EST</v>
          </cell>
          <cell r="F596" t="str">
            <v>FH</v>
          </cell>
          <cell r="G596" t="str">
            <v>Grid-DG-Batt.</v>
          </cell>
          <cell r="H596" t="str">
            <v>OK</v>
          </cell>
          <cell r="I596" t="str">
            <v>NO</v>
          </cell>
          <cell r="J596" t="str">
            <v>YES</v>
          </cell>
          <cell r="K596" t="str">
            <v>SILVER</v>
          </cell>
          <cell r="L596" t="str">
            <v>SubUrbain</v>
          </cell>
          <cell r="M596" t="str">
            <v>70996883</v>
          </cell>
          <cell r="N596" t="str">
            <v>KARA EST</v>
          </cell>
        </row>
        <row r="597">
          <cell r="A597" t="str">
            <v>KETAWO2</v>
          </cell>
          <cell r="B597"/>
          <cell r="C597" t="str">
            <v>KAR-019</v>
          </cell>
          <cell r="D597" t="str">
            <v>KARA</v>
          </cell>
          <cell r="E597" t="str">
            <v>KARA-EST</v>
          </cell>
          <cell r="F597" t="str">
            <v>FH</v>
          </cell>
          <cell r="G597" t="str">
            <v>Grid-DG-Batt.</v>
          </cell>
          <cell r="H597" t="str">
            <v>NOK</v>
          </cell>
          <cell r="I597" t="str">
            <v>NO</v>
          </cell>
          <cell r="J597" t="str">
            <v>YES</v>
          </cell>
          <cell r="K597" t="str">
            <v>GOLD</v>
          </cell>
          <cell r="L597" t="str">
            <v>SubUrbain</v>
          </cell>
          <cell r="M597" t="str">
            <v>70996884</v>
          </cell>
          <cell r="N597" t="str">
            <v>KARA EST</v>
          </cell>
        </row>
        <row r="598">
          <cell r="A598" t="str">
            <v>KETAWO-GNIYOUDE</v>
          </cell>
          <cell r="B598">
            <v>45185</v>
          </cell>
          <cell r="C598" t="str">
            <v>KAR-161</v>
          </cell>
          <cell r="D598" t="str">
            <v>KARA</v>
          </cell>
          <cell r="E598" t="str">
            <v>KARA-EST</v>
          </cell>
          <cell r="F598" t="str">
            <v>FH</v>
          </cell>
          <cell r="G598" t="str">
            <v>Grid-DG-Batt.</v>
          </cell>
          <cell r="H598" t="str">
            <v>OK</v>
          </cell>
          <cell r="I598" t="str">
            <v>NO</v>
          </cell>
          <cell r="J598" t="str">
            <v>NO</v>
          </cell>
          <cell r="K598" t="str">
            <v>GOLD</v>
          </cell>
          <cell r="L598" t="str">
            <v>Urbain</v>
          </cell>
          <cell r="M598">
            <v>0</v>
          </cell>
          <cell r="N598" t="str">
            <v>KARA EST</v>
          </cell>
        </row>
        <row r="599">
          <cell r="A599" t="str">
            <v>KEVE</v>
          </cell>
          <cell r="B599"/>
          <cell r="C599" t="str">
            <v>MAR-057</v>
          </cell>
          <cell r="D599" t="str">
            <v>MARITIME</v>
          </cell>
          <cell r="E599" t="str">
            <v>TSEVIE</v>
          </cell>
          <cell r="F599" t="str">
            <v>FO</v>
          </cell>
          <cell r="G599" t="str">
            <v>Grid-DG-Batt.</v>
          </cell>
          <cell r="H599" t="str">
            <v>OK</v>
          </cell>
          <cell r="I599" t="str">
            <v>NO</v>
          </cell>
          <cell r="J599" t="str">
            <v>YES</v>
          </cell>
          <cell r="K599" t="str">
            <v>GOLD</v>
          </cell>
          <cell r="L599" t="str">
            <v>Urbain</v>
          </cell>
          <cell r="M599" t="str">
            <v>70996885</v>
          </cell>
          <cell r="N599" t="str">
            <v>TSEVIE</v>
          </cell>
        </row>
        <row r="600">
          <cell r="A600" t="str">
            <v>KIDJABOUM</v>
          </cell>
          <cell r="B600"/>
          <cell r="C600" t="str">
            <v>KAR-053</v>
          </cell>
          <cell r="D600" t="str">
            <v>KARA</v>
          </cell>
          <cell r="E600" t="str">
            <v>KABOU</v>
          </cell>
          <cell r="F600" t="str">
            <v>FH</v>
          </cell>
          <cell r="G600" t="str">
            <v>DG-Solar-Batt.</v>
          </cell>
          <cell r="H600" t="str">
            <v>OK</v>
          </cell>
          <cell r="I600" t="str">
            <v>NO</v>
          </cell>
          <cell r="J600" t="str">
            <v>NO</v>
          </cell>
          <cell r="K600" t="str">
            <v>BRONZE</v>
          </cell>
          <cell r="L600" t="str">
            <v>rural</v>
          </cell>
          <cell r="M600" t="str">
            <v>70996886</v>
          </cell>
          <cell r="N600" t="str">
            <v>KABOU</v>
          </cell>
        </row>
        <row r="601">
          <cell r="A601" t="str">
            <v>KIKPEOU</v>
          </cell>
          <cell r="B601">
            <v>44614</v>
          </cell>
          <cell r="C601" t="str">
            <v>KAR-132</v>
          </cell>
          <cell r="D601" t="str">
            <v>KARA</v>
          </cell>
          <cell r="E601" t="str">
            <v>KABOU</v>
          </cell>
          <cell r="F601" t="str">
            <v>FH</v>
          </cell>
          <cell r="G601" t="str">
            <v>DG-Solar-Batt.</v>
          </cell>
          <cell r="H601" t="str">
            <v>OK</v>
          </cell>
          <cell r="I601" t="str">
            <v>NO</v>
          </cell>
          <cell r="J601" t="str">
            <v>YES</v>
          </cell>
          <cell r="K601" t="str">
            <v>BRONZE</v>
          </cell>
          <cell r="L601" t="str">
            <v>rural</v>
          </cell>
          <cell r="M601" t="str">
            <v>70996477</v>
          </cell>
          <cell r="N601" t="str">
            <v>KABOU</v>
          </cell>
        </row>
        <row r="602">
          <cell r="A602" t="str">
            <v>KITANGOULI</v>
          </cell>
          <cell r="B602">
            <v>43935</v>
          </cell>
          <cell r="C602" t="str">
            <v>CEN-092</v>
          </cell>
          <cell r="D602" t="str">
            <v>CENTRALE</v>
          </cell>
          <cell r="E602" t="str">
            <v>TCHAMBA</v>
          </cell>
          <cell r="F602" t="str">
            <v>FH</v>
          </cell>
          <cell r="G602" t="str">
            <v>DG-Solar-Batt.</v>
          </cell>
          <cell r="H602" t="str">
            <v>NOK</v>
          </cell>
          <cell r="I602" t="str">
            <v>NO</v>
          </cell>
          <cell r="J602" t="str">
            <v>YES</v>
          </cell>
          <cell r="K602" t="str">
            <v>BRONZE</v>
          </cell>
          <cell r="L602" t="str">
            <v>rural</v>
          </cell>
          <cell r="M602" t="str">
            <v>70996887</v>
          </cell>
          <cell r="N602" t="str">
            <v>TCHAMBA</v>
          </cell>
        </row>
        <row r="603">
          <cell r="A603" t="str">
            <v>KITIDJAN</v>
          </cell>
          <cell r="B603">
            <v>43124</v>
          </cell>
          <cell r="C603" t="str">
            <v>LOM-037</v>
          </cell>
          <cell r="D603" t="str">
            <v>LOME</v>
          </cell>
          <cell r="E603" t="str">
            <v>LOME-NORD</v>
          </cell>
          <cell r="F603" t="str">
            <v>FH</v>
          </cell>
          <cell r="G603" t="str">
            <v>Grid-Batt.</v>
          </cell>
          <cell r="H603" t="str">
            <v>N/A</v>
          </cell>
          <cell r="I603" t="str">
            <v>NO</v>
          </cell>
          <cell r="J603" t="str">
            <v>NO</v>
          </cell>
          <cell r="K603" t="str">
            <v>BRONZE</v>
          </cell>
          <cell r="L603" t="str">
            <v>Urbain</v>
          </cell>
          <cell r="M603">
            <v>0</v>
          </cell>
          <cell r="N603" t="str">
            <v>LOME NORD</v>
          </cell>
        </row>
        <row r="604">
          <cell r="A604" t="str">
            <v>KLABE-EFOUKPA</v>
          </cell>
          <cell r="B604"/>
          <cell r="C604" t="str">
            <v>PLA-105</v>
          </cell>
          <cell r="D604" t="str">
            <v>PLATEAUX</v>
          </cell>
          <cell r="E604" t="str">
            <v>BADOU</v>
          </cell>
          <cell r="F604" t="str">
            <v>FH</v>
          </cell>
          <cell r="G604" t="str">
            <v>DG-Solar-Batt.</v>
          </cell>
          <cell r="H604" t="str">
            <v>NOK</v>
          </cell>
          <cell r="I604" t="str">
            <v>NO</v>
          </cell>
          <cell r="J604" t="str">
            <v>YES</v>
          </cell>
          <cell r="K604" t="str">
            <v>BRONZE</v>
          </cell>
          <cell r="L604" t="str">
            <v>rural</v>
          </cell>
          <cell r="M604" t="str">
            <v>70996888</v>
          </cell>
          <cell r="N604" t="str">
            <v>BADOU</v>
          </cell>
        </row>
        <row r="605">
          <cell r="A605" t="str">
            <v>KLEME</v>
          </cell>
          <cell r="B605"/>
          <cell r="C605" t="str">
            <v>LOM-059</v>
          </cell>
          <cell r="D605" t="str">
            <v>LOME</v>
          </cell>
          <cell r="E605" t="str">
            <v>LOME-OUEST 2</v>
          </cell>
          <cell r="F605" t="str">
            <v>FO</v>
          </cell>
          <cell r="G605" t="str">
            <v>Grid-DG-Batt.</v>
          </cell>
          <cell r="H605" t="str">
            <v>OK</v>
          </cell>
          <cell r="I605" t="str">
            <v>NO</v>
          </cell>
          <cell r="J605" t="str">
            <v>NO</v>
          </cell>
          <cell r="K605" t="str">
            <v>GOLD</v>
          </cell>
          <cell r="L605" t="str">
            <v>Urbain</v>
          </cell>
          <cell r="M605" t="str">
            <v>70996889</v>
          </cell>
          <cell r="N605" t="str">
            <v>LOME OUEST2</v>
          </cell>
        </row>
        <row r="606">
          <cell r="A606" t="str">
            <v>KLEME2</v>
          </cell>
          <cell r="B606">
            <v>44607</v>
          </cell>
          <cell r="C606" t="str">
            <v>LOM-309</v>
          </cell>
          <cell r="D606" t="str">
            <v>LOME</v>
          </cell>
          <cell r="E606" t="str">
            <v>LOME-OUEST 2</v>
          </cell>
          <cell r="F606" t="str">
            <v>FH</v>
          </cell>
          <cell r="G606" t="str">
            <v>Grid-DG-Batt.</v>
          </cell>
          <cell r="H606" t="str">
            <v>OK</v>
          </cell>
          <cell r="I606" t="str">
            <v>NO</v>
          </cell>
          <cell r="J606" t="str">
            <v>YES</v>
          </cell>
          <cell r="K606" t="str">
            <v>GOLD</v>
          </cell>
          <cell r="L606" t="str">
            <v>SubUrbain</v>
          </cell>
          <cell r="M606" t="str">
            <v>70996403</v>
          </cell>
          <cell r="N606" t="str">
            <v>LOME OUEST2</v>
          </cell>
        </row>
        <row r="607">
          <cell r="A607" t="str">
            <v>KLEME-AGOKPANOU</v>
          </cell>
          <cell r="B607">
            <v>44702</v>
          </cell>
          <cell r="C607" t="str">
            <v>LOM-305</v>
          </cell>
          <cell r="D607" t="str">
            <v>LOME</v>
          </cell>
          <cell r="E607" t="str">
            <v>LOME-OUEST 2</v>
          </cell>
          <cell r="F607" t="str">
            <v>FH</v>
          </cell>
          <cell r="G607" t="str">
            <v>DG-Batt.</v>
          </cell>
          <cell r="H607" t="str">
            <v>OK</v>
          </cell>
          <cell r="I607" t="str">
            <v>NO</v>
          </cell>
          <cell r="J607" t="str">
            <v>YES</v>
          </cell>
          <cell r="K607" t="str">
            <v>SILVER</v>
          </cell>
          <cell r="L607" t="str">
            <v>SubUrbain</v>
          </cell>
          <cell r="M607" t="str">
            <v>70996421</v>
          </cell>
          <cell r="N607" t="str">
            <v>LOME OUEST2</v>
          </cell>
        </row>
        <row r="608">
          <cell r="A608" t="str">
            <v>KLEME-YEWEPE</v>
          </cell>
          <cell r="B608">
            <v>44609</v>
          </cell>
          <cell r="C608" t="str">
            <v>LOM-308</v>
          </cell>
          <cell r="D608" t="str">
            <v>LOME</v>
          </cell>
          <cell r="E608" t="str">
            <v>LOME-OUEST 2</v>
          </cell>
          <cell r="F608" t="str">
            <v>FTTM</v>
          </cell>
          <cell r="G608" t="str">
            <v>Grid-DG-Batt.</v>
          </cell>
          <cell r="H608" t="str">
            <v>OK</v>
          </cell>
          <cell r="I608" t="str">
            <v>NO</v>
          </cell>
          <cell r="J608" t="str">
            <v>YES</v>
          </cell>
          <cell r="K608" t="str">
            <v>SILVER</v>
          </cell>
          <cell r="L608" t="str">
            <v>SubUrbain</v>
          </cell>
          <cell r="M608" t="str">
            <v>70996412</v>
          </cell>
          <cell r="N608" t="str">
            <v>LOME OUEST2</v>
          </cell>
        </row>
        <row r="609">
          <cell r="A609" t="str">
            <v>KLIKAME</v>
          </cell>
          <cell r="B609"/>
          <cell r="C609" t="str">
            <v>LOM-113</v>
          </cell>
          <cell r="D609" t="str">
            <v>LOME</v>
          </cell>
          <cell r="E609" t="str">
            <v>LOME-CENTRE</v>
          </cell>
          <cell r="F609" t="str">
            <v>FO</v>
          </cell>
          <cell r="G609" t="str">
            <v>Grid-DG-Batt.</v>
          </cell>
          <cell r="H609" t="str">
            <v>OK</v>
          </cell>
          <cell r="I609" t="str">
            <v>YES</v>
          </cell>
          <cell r="J609" t="str">
            <v>NO</v>
          </cell>
          <cell r="K609" t="str">
            <v>SILVER</v>
          </cell>
          <cell r="L609" t="str">
            <v>Urbain</v>
          </cell>
          <cell r="M609" t="str">
            <v>70996890</v>
          </cell>
          <cell r="N609" t="str">
            <v>LOME CENTRE</v>
          </cell>
        </row>
        <row r="610">
          <cell r="A610" t="str">
            <v>KLIKAME-MOOV</v>
          </cell>
          <cell r="B610"/>
          <cell r="C610" t="str">
            <v>LOM-114</v>
          </cell>
          <cell r="D610" t="str">
            <v>LOME</v>
          </cell>
          <cell r="E610" t="str">
            <v>LOME-CENTRE</v>
          </cell>
          <cell r="F610" t="str">
            <v>FH</v>
          </cell>
          <cell r="G610" t="str">
            <v>Grid-DG-Batt.</v>
          </cell>
          <cell r="H610" t="str">
            <v>OK</v>
          </cell>
          <cell r="I610" t="str">
            <v>NO</v>
          </cell>
          <cell r="J610" t="str">
            <v>NO</v>
          </cell>
          <cell r="K610" t="str">
            <v>SILVER</v>
          </cell>
          <cell r="L610" t="str">
            <v>Urbain</v>
          </cell>
          <cell r="M610">
            <v>0</v>
          </cell>
          <cell r="N610" t="str">
            <v>LOME CENTRE</v>
          </cell>
        </row>
        <row r="611">
          <cell r="A611" t="str">
            <v>KLONOU-MOOV</v>
          </cell>
          <cell r="B611">
            <v>45220</v>
          </cell>
          <cell r="C611" t="str">
            <v>PLA-249</v>
          </cell>
          <cell r="D611" t="str">
            <v>MARITIME</v>
          </cell>
          <cell r="E611" t="str">
            <v>KPALIME</v>
          </cell>
          <cell r="F611" t="str">
            <v>FH</v>
          </cell>
          <cell r="G611" t="str">
            <v>Grid-DG-Batt.</v>
          </cell>
          <cell r="H611" t="str">
            <v>OK</v>
          </cell>
          <cell r="I611" t="str">
            <v>NO</v>
          </cell>
          <cell r="J611" t="str">
            <v>NO</v>
          </cell>
          <cell r="K611" t="str">
            <v>BRONZE</v>
          </cell>
          <cell r="L611" t="str">
            <v>RURAL</v>
          </cell>
          <cell r="M611">
            <v>0</v>
          </cell>
          <cell r="N611" t="str">
            <v>KPALIME</v>
          </cell>
        </row>
        <row r="612">
          <cell r="A612" t="str">
            <v>KLOUKPON</v>
          </cell>
          <cell r="B612">
            <v>44076</v>
          </cell>
          <cell r="C612" t="str">
            <v>KAR-130</v>
          </cell>
          <cell r="D612" t="str">
            <v>KARA</v>
          </cell>
          <cell r="E612" t="str">
            <v>KABOU</v>
          </cell>
          <cell r="F612" t="str">
            <v>FH</v>
          </cell>
          <cell r="G612" t="str">
            <v>DG-Solar-Batt.</v>
          </cell>
          <cell r="H612" t="str">
            <v>OK</v>
          </cell>
          <cell r="I612" t="str">
            <v>NO</v>
          </cell>
          <cell r="J612" t="str">
            <v>NO</v>
          </cell>
          <cell r="K612" t="str">
            <v>BRONZE</v>
          </cell>
          <cell r="L612" t="str">
            <v>rural</v>
          </cell>
          <cell r="M612" t="str">
            <v>70996891</v>
          </cell>
          <cell r="N612" t="str">
            <v>KABOU</v>
          </cell>
        </row>
        <row r="613">
          <cell r="A613" t="str">
            <v>KODJE-MOOV</v>
          </cell>
          <cell r="B613">
            <v>44861</v>
          </cell>
          <cell r="C613" t="str">
            <v>MAR-156</v>
          </cell>
          <cell r="D613" t="str">
            <v>MARITIME</v>
          </cell>
          <cell r="E613" t="str">
            <v>TSEVIE</v>
          </cell>
          <cell r="F613" t="str">
            <v>FH</v>
          </cell>
          <cell r="G613" t="str">
            <v>DG-Batt.</v>
          </cell>
          <cell r="H613" t="str">
            <v>OK</v>
          </cell>
          <cell r="I613" t="str">
            <v>NO</v>
          </cell>
          <cell r="J613" t="str">
            <v>YES</v>
          </cell>
          <cell r="K613" t="str">
            <v>BRONZE</v>
          </cell>
          <cell r="L613" t="str">
            <v>rural</v>
          </cell>
          <cell r="M613">
            <v>0</v>
          </cell>
          <cell r="N613" t="str">
            <v>TSEVIE</v>
          </cell>
        </row>
        <row r="614">
          <cell r="A614" t="str">
            <v>KODJOVIAKOPE</v>
          </cell>
          <cell r="B614"/>
          <cell r="C614" t="str">
            <v>LOM-138</v>
          </cell>
          <cell r="D614" t="str">
            <v>LOME</v>
          </cell>
          <cell r="E614" t="str">
            <v>LOME-SUD</v>
          </cell>
          <cell r="F614" t="str">
            <v>FO</v>
          </cell>
          <cell r="G614" t="str">
            <v>Grid-DG-Batt.</v>
          </cell>
          <cell r="H614" t="str">
            <v>OK</v>
          </cell>
          <cell r="I614" t="str">
            <v>YES</v>
          </cell>
          <cell r="J614" t="str">
            <v>NO</v>
          </cell>
          <cell r="K614" t="str">
            <v>GOLD</v>
          </cell>
          <cell r="L614" t="str">
            <v>Urbain</v>
          </cell>
          <cell r="M614" t="str">
            <v>70996892</v>
          </cell>
          <cell r="N614" t="str">
            <v>LOME SUD</v>
          </cell>
        </row>
        <row r="615">
          <cell r="A615" t="str">
            <v>KODOME</v>
          </cell>
          <cell r="B615"/>
          <cell r="C615" t="str">
            <v>LOM-124</v>
          </cell>
          <cell r="D615" t="str">
            <v>LOME</v>
          </cell>
          <cell r="E615" t="str">
            <v>LOME-SUD</v>
          </cell>
          <cell r="F615" t="str">
            <v>FO</v>
          </cell>
          <cell r="G615" t="str">
            <v>Grid-DG-Batt.</v>
          </cell>
          <cell r="H615" t="str">
            <v>OK</v>
          </cell>
          <cell r="I615" t="str">
            <v>NO</v>
          </cell>
          <cell r="J615" t="str">
            <v>YES</v>
          </cell>
          <cell r="K615" t="str">
            <v>SILVER</v>
          </cell>
          <cell r="L615" t="str">
            <v>Urbain</v>
          </cell>
          <cell r="M615" t="str">
            <v>70996893</v>
          </cell>
          <cell r="N615" t="str">
            <v>LOME SUD</v>
          </cell>
        </row>
        <row r="616">
          <cell r="A616" t="str">
            <v>KODOME2</v>
          </cell>
          <cell r="B616"/>
          <cell r="C616" t="str">
            <v>LOM-125</v>
          </cell>
          <cell r="D616" t="str">
            <v>LOME</v>
          </cell>
          <cell r="E616" t="str">
            <v>LOME-SUD</v>
          </cell>
          <cell r="F616" t="str">
            <v>FO</v>
          </cell>
          <cell r="G616" t="str">
            <v>Grid-DG-Batt.</v>
          </cell>
          <cell r="H616" t="str">
            <v>OK</v>
          </cell>
          <cell r="I616" t="str">
            <v>NO</v>
          </cell>
          <cell r="J616" t="str">
            <v>YES</v>
          </cell>
          <cell r="K616" t="str">
            <v>GOLD</v>
          </cell>
          <cell r="L616" t="str">
            <v>Urbain</v>
          </cell>
          <cell r="M616" t="str">
            <v>70996894</v>
          </cell>
          <cell r="N616" t="str">
            <v>LOME SUD</v>
          </cell>
        </row>
        <row r="617">
          <cell r="A617" t="str">
            <v>KOGNITO</v>
          </cell>
          <cell r="B617">
            <v>45199</v>
          </cell>
          <cell r="C617" t="str">
            <v>LOM-376</v>
          </cell>
          <cell r="D617" t="str">
            <v>LOME</v>
          </cell>
          <cell r="E617" t="str">
            <v>LOME-OUEST 1</v>
          </cell>
          <cell r="F617" t="str">
            <v>FH</v>
          </cell>
          <cell r="G617" t="str">
            <v>Grid-DG-Batt.</v>
          </cell>
          <cell r="H617" t="str">
            <v>OK</v>
          </cell>
          <cell r="I617" t="str">
            <v>NO</v>
          </cell>
          <cell r="J617" t="str">
            <v>NO</v>
          </cell>
          <cell r="K617" t="str">
            <v>SILVER</v>
          </cell>
          <cell r="L617" t="str">
            <v>SUBURBAN</v>
          </cell>
          <cell r="M617">
            <v>0</v>
          </cell>
          <cell r="N617" t="str">
            <v>LOME OUEST1</v>
          </cell>
        </row>
        <row r="618">
          <cell r="A618" t="str">
            <v>KOHE</v>
          </cell>
          <cell r="B618"/>
          <cell r="C618" t="str">
            <v>LOM-060</v>
          </cell>
          <cell r="D618" t="str">
            <v>LOME</v>
          </cell>
          <cell r="E618" t="str">
            <v>LOME-OUEST 2</v>
          </cell>
          <cell r="F618" t="str">
            <v>FH</v>
          </cell>
          <cell r="G618" t="str">
            <v>Grid-DG-Batt.</v>
          </cell>
          <cell r="H618" t="str">
            <v>OK</v>
          </cell>
          <cell r="I618" t="str">
            <v>NO</v>
          </cell>
          <cell r="J618" t="str">
            <v>YES</v>
          </cell>
          <cell r="K618" t="str">
            <v>SILVER</v>
          </cell>
          <cell r="L618" t="str">
            <v>Urbain</v>
          </cell>
          <cell r="M618" t="str">
            <v>70996895</v>
          </cell>
          <cell r="N618" t="str">
            <v>LOME OUEST2</v>
          </cell>
        </row>
        <row r="619">
          <cell r="A619" t="str">
            <v>KOHE2</v>
          </cell>
          <cell r="B619">
            <v>44859</v>
          </cell>
          <cell r="C619" t="str">
            <v>LOM-342</v>
          </cell>
          <cell r="D619" t="str">
            <v>LOME</v>
          </cell>
          <cell r="E619" t="str">
            <v>LOME-OUEST 1</v>
          </cell>
          <cell r="F619" t="str">
            <v>FTTM</v>
          </cell>
          <cell r="G619" t="str">
            <v>Grid-DG-Batt.</v>
          </cell>
          <cell r="H619" t="str">
            <v>OK</v>
          </cell>
          <cell r="I619" t="str">
            <v>NO</v>
          </cell>
          <cell r="J619" t="str">
            <v>YES</v>
          </cell>
          <cell r="K619" t="str">
            <v>BRONZE</v>
          </cell>
          <cell r="L619" t="str">
            <v>SubUrbain</v>
          </cell>
          <cell r="M619">
            <v>70997348</v>
          </cell>
          <cell r="N619" t="str">
            <v>LOME OUEST1</v>
          </cell>
        </row>
        <row r="620">
          <cell r="A620" t="str">
            <v>KOLOKOPE</v>
          </cell>
          <cell r="B620"/>
          <cell r="C620" t="str">
            <v>PLA-088</v>
          </cell>
          <cell r="D620" t="str">
            <v>PLATEAUX</v>
          </cell>
          <cell r="E620" t="str">
            <v>ATAKPAME-OUEST</v>
          </cell>
          <cell r="F620" t="str">
            <v>FH</v>
          </cell>
          <cell r="G620" t="str">
            <v>DG-Solar-Batt.</v>
          </cell>
          <cell r="H620" t="str">
            <v>OK</v>
          </cell>
          <cell r="I620" t="str">
            <v>NO</v>
          </cell>
          <cell r="J620" t="str">
            <v>NO</v>
          </cell>
          <cell r="K620" t="str">
            <v>BRONZE</v>
          </cell>
          <cell r="L620" t="str">
            <v>rural</v>
          </cell>
          <cell r="M620">
            <v>70997124</v>
          </cell>
          <cell r="N620" t="str">
            <v>ELAVAGNON</v>
          </cell>
        </row>
        <row r="621">
          <cell r="A621" t="str">
            <v>KOLO-MESSIWOBE</v>
          </cell>
          <cell r="B621">
            <v>43885</v>
          </cell>
          <cell r="C621" t="str">
            <v>PLA-152</v>
          </cell>
          <cell r="D621" t="str">
            <v>MARITIME</v>
          </cell>
          <cell r="E621" t="str">
            <v>KPALIME</v>
          </cell>
          <cell r="F621" t="str">
            <v>FH</v>
          </cell>
          <cell r="G621" t="str">
            <v>DG-Solar-Batt.</v>
          </cell>
          <cell r="H621" t="str">
            <v>OK</v>
          </cell>
          <cell r="I621" t="str">
            <v>NO</v>
          </cell>
          <cell r="J621" t="str">
            <v>YES</v>
          </cell>
          <cell r="K621" t="str">
            <v>BRONZE</v>
          </cell>
          <cell r="L621" t="str">
            <v>rural</v>
          </cell>
          <cell r="M621" t="str">
            <v>70996897</v>
          </cell>
          <cell r="N621" t="str">
            <v>KPALIME</v>
          </cell>
        </row>
        <row r="622">
          <cell r="A622" t="str">
            <v>KOMAH</v>
          </cell>
          <cell r="B622"/>
          <cell r="C622" t="str">
            <v>CEN-010</v>
          </cell>
          <cell r="D622" t="str">
            <v>CENTRALE</v>
          </cell>
          <cell r="E622" t="str">
            <v>SOKODE</v>
          </cell>
          <cell r="F622" t="str">
            <v>FH</v>
          </cell>
          <cell r="G622" t="str">
            <v>Grid-DG-Batt.</v>
          </cell>
          <cell r="H622" t="str">
            <v>NOK</v>
          </cell>
          <cell r="I622" t="str">
            <v>NO</v>
          </cell>
          <cell r="J622" t="str">
            <v>NO</v>
          </cell>
          <cell r="K622" t="str">
            <v>GOLD</v>
          </cell>
          <cell r="L622" t="str">
            <v>Urbain</v>
          </cell>
          <cell r="M622">
            <v>70996898</v>
          </cell>
          <cell r="N622" t="str">
            <v>SOKODE</v>
          </cell>
        </row>
        <row r="623">
          <cell r="A623" t="str">
            <v>KOMAH2</v>
          </cell>
          <cell r="B623">
            <v>44722</v>
          </cell>
          <cell r="C623" t="str">
            <v>CEN-104</v>
          </cell>
          <cell r="D623" t="str">
            <v>CENTRALE</v>
          </cell>
          <cell r="E623" t="str">
            <v>SOKODE</v>
          </cell>
          <cell r="F623" t="str">
            <v>FTTM</v>
          </cell>
          <cell r="G623" t="str">
            <v>Grid-DG-Batt.</v>
          </cell>
          <cell r="H623" t="str">
            <v>OK</v>
          </cell>
          <cell r="I623" t="str">
            <v>NO</v>
          </cell>
          <cell r="J623" t="str">
            <v>YES</v>
          </cell>
          <cell r="K623" t="str">
            <v>BRONZE</v>
          </cell>
          <cell r="L623" t="str">
            <v>Urbain</v>
          </cell>
          <cell r="M623" t="str">
            <v>70996478</v>
          </cell>
          <cell r="N623" t="str">
            <v>SOKODE</v>
          </cell>
        </row>
        <row r="624">
          <cell r="A624" t="str">
            <v>KONFAGA-MOOV</v>
          </cell>
          <cell r="B624">
            <v>44858</v>
          </cell>
          <cell r="C624" t="str">
            <v>KAR-152</v>
          </cell>
          <cell r="D624" t="str">
            <v>KARA</v>
          </cell>
          <cell r="E624" t="str">
            <v>KARA-EST</v>
          </cell>
          <cell r="F624" t="str">
            <v>FH</v>
          </cell>
          <cell r="G624" t="str">
            <v>Grid-DG-Batt.</v>
          </cell>
          <cell r="H624" t="str">
            <v>OK</v>
          </cell>
          <cell r="I624" t="str">
            <v>NO</v>
          </cell>
          <cell r="J624" t="str">
            <v>YES</v>
          </cell>
          <cell r="K624" t="str">
            <v>BRONZE</v>
          </cell>
          <cell r="L624" t="str">
            <v>rural</v>
          </cell>
          <cell r="M624">
            <v>0</v>
          </cell>
          <cell r="N624" t="str">
            <v>KARA EST</v>
          </cell>
        </row>
        <row r="625">
          <cell r="A625" t="str">
            <v>KORBONGOU</v>
          </cell>
          <cell r="B625"/>
          <cell r="C625" t="str">
            <v>SAV-027</v>
          </cell>
          <cell r="D625" t="str">
            <v>SAVANES</v>
          </cell>
          <cell r="E625" t="str">
            <v>DAPAONG 1</v>
          </cell>
          <cell r="F625" t="str">
            <v>FH</v>
          </cell>
          <cell r="G625" t="str">
            <v>Grid-DG-Batt.</v>
          </cell>
          <cell r="H625" t="str">
            <v>OK</v>
          </cell>
          <cell r="I625" t="str">
            <v>NO</v>
          </cell>
          <cell r="J625" t="str">
            <v>YES</v>
          </cell>
          <cell r="K625" t="str">
            <v>GOLD</v>
          </cell>
          <cell r="L625" t="str">
            <v>rural</v>
          </cell>
          <cell r="M625" t="str">
            <v>70996899</v>
          </cell>
          <cell r="N625" t="str">
            <v>DAPAONG</v>
          </cell>
        </row>
        <row r="626">
          <cell r="A626" t="str">
            <v>KOSSIKITI</v>
          </cell>
          <cell r="B626"/>
          <cell r="C626" t="str">
            <v>PLA-007</v>
          </cell>
          <cell r="D626" t="str">
            <v>PLATEAUX</v>
          </cell>
          <cell r="E626" t="str">
            <v>ATAKPAME-EST</v>
          </cell>
          <cell r="F626" t="str">
            <v>FO</v>
          </cell>
          <cell r="G626" t="str">
            <v>Grid-DG-Batt.</v>
          </cell>
          <cell r="H626" t="str">
            <v>OK</v>
          </cell>
          <cell r="I626" t="str">
            <v>NO</v>
          </cell>
          <cell r="J626" t="str">
            <v>NO</v>
          </cell>
          <cell r="K626" t="str">
            <v>GOLD</v>
          </cell>
          <cell r="L626" t="str">
            <v>rural</v>
          </cell>
          <cell r="M626">
            <v>0</v>
          </cell>
          <cell r="N626" t="str">
            <v>ATAKPAME</v>
          </cell>
        </row>
        <row r="627">
          <cell r="A627" t="str">
            <v>KOUBOUABOU</v>
          </cell>
          <cell r="B627">
            <v>44078</v>
          </cell>
          <cell r="C627" t="str">
            <v>KAR-122</v>
          </cell>
          <cell r="D627" t="str">
            <v>KARA</v>
          </cell>
          <cell r="E627" t="str">
            <v>KABOU</v>
          </cell>
          <cell r="F627" t="str">
            <v>FH</v>
          </cell>
          <cell r="G627" t="str">
            <v>DG-Solar-Batt.</v>
          </cell>
          <cell r="H627" t="str">
            <v>OK</v>
          </cell>
          <cell r="I627" t="str">
            <v>NO</v>
          </cell>
          <cell r="J627" t="str">
            <v>YES</v>
          </cell>
          <cell r="K627" t="str">
            <v>BRONZE</v>
          </cell>
          <cell r="L627" t="str">
            <v>rural</v>
          </cell>
          <cell r="M627" t="str">
            <v>70996900</v>
          </cell>
          <cell r="N627" t="str">
            <v>KABOU</v>
          </cell>
        </row>
        <row r="628">
          <cell r="A628" t="str">
            <v>KOUDASSI</v>
          </cell>
          <cell r="B628"/>
          <cell r="C628" t="str">
            <v>MAR-068</v>
          </cell>
          <cell r="D628" t="str">
            <v>MARITIME</v>
          </cell>
          <cell r="E628" t="str">
            <v>KPALIME</v>
          </cell>
          <cell r="F628" t="str">
            <v>FH</v>
          </cell>
          <cell r="G628" t="str">
            <v>Grid-DG-Batt.</v>
          </cell>
          <cell r="H628" t="str">
            <v>OK</v>
          </cell>
          <cell r="I628" t="str">
            <v>NO</v>
          </cell>
          <cell r="J628" t="str">
            <v>NO</v>
          </cell>
          <cell r="K628" t="str">
            <v>BRONZE</v>
          </cell>
          <cell r="L628" t="str">
            <v>rural</v>
          </cell>
          <cell r="M628" t="str">
            <v>70996901</v>
          </cell>
          <cell r="N628" t="str">
            <v>KPALIME</v>
          </cell>
        </row>
        <row r="629">
          <cell r="A629" t="str">
            <v>KOUDJOUKADE-MOOV</v>
          </cell>
          <cell r="B629">
            <v>44859</v>
          </cell>
          <cell r="C629" t="str">
            <v>KAR-146</v>
          </cell>
          <cell r="D629" t="str">
            <v>KARA</v>
          </cell>
          <cell r="E629" t="str">
            <v>KARA-OUEST</v>
          </cell>
          <cell r="F629" t="str">
            <v>FH</v>
          </cell>
          <cell r="G629" t="str">
            <v>Grid-DG-Batt.</v>
          </cell>
          <cell r="H629" t="str">
            <v>OK</v>
          </cell>
          <cell r="I629" t="str">
            <v>NO</v>
          </cell>
          <cell r="J629" t="str">
            <v>YES</v>
          </cell>
          <cell r="K629" t="str">
            <v>BRONZE</v>
          </cell>
          <cell r="L629" t="str">
            <v>rural</v>
          </cell>
          <cell r="M629">
            <v>0</v>
          </cell>
          <cell r="N629" t="str">
            <v>KARA OUEST</v>
          </cell>
        </row>
        <row r="630">
          <cell r="A630" t="str">
            <v>KOUDOUGOU</v>
          </cell>
          <cell r="B630"/>
          <cell r="C630" t="str">
            <v>SAV-035</v>
          </cell>
          <cell r="D630" t="str">
            <v>SAVANES</v>
          </cell>
          <cell r="E630" t="str">
            <v>MANGO</v>
          </cell>
          <cell r="F630" t="str">
            <v>FH</v>
          </cell>
          <cell r="G630" t="str">
            <v>DG-Solar-Batt.</v>
          </cell>
          <cell r="H630" t="str">
            <v>OK</v>
          </cell>
          <cell r="I630" t="str">
            <v>NO</v>
          </cell>
          <cell r="J630" t="str">
            <v>YES</v>
          </cell>
          <cell r="K630" t="str">
            <v>BRONZE</v>
          </cell>
          <cell r="L630" t="str">
            <v>rural</v>
          </cell>
          <cell r="M630" t="str">
            <v>70996902</v>
          </cell>
          <cell r="N630" t="str">
            <v>MANGO</v>
          </cell>
        </row>
        <row r="631">
          <cell r="A631" t="str">
            <v>KOUDZRAGAN</v>
          </cell>
          <cell r="B631">
            <v>43904</v>
          </cell>
          <cell r="C631" t="str">
            <v>PLA-165</v>
          </cell>
          <cell r="D631" t="str">
            <v>MARITIME</v>
          </cell>
          <cell r="E631" t="str">
            <v>KPALIME</v>
          </cell>
          <cell r="F631" t="str">
            <v>FH</v>
          </cell>
          <cell r="G631" t="str">
            <v>DG-Solar-Batt.</v>
          </cell>
          <cell r="H631" t="str">
            <v>OK</v>
          </cell>
          <cell r="I631" t="str">
            <v>NO</v>
          </cell>
          <cell r="J631" t="str">
            <v>YES</v>
          </cell>
          <cell r="K631" t="str">
            <v>BRONZE</v>
          </cell>
          <cell r="L631" t="str">
            <v>rural</v>
          </cell>
          <cell r="M631" t="str">
            <v>70996903</v>
          </cell>
          <cell r="N631" t="str">
            <v>KPALIME</v>
          </cell>
        </row>
        <row r="632">
          <cell r="A632" t="str">
            <v>KOUGNOHOU</v>
          </cell>
          <cell r="B632"/>
          <cell r="C632" t="str">
            <v>PLA-106</v>
          </cell>
          <cell r="D632" t="str">
            <v>PLATEAUX</v>
          </cell>
          <cell r="E632" t="str">
            <v>BADOU</v>
          </cell>
          <cell r="F632" t="str">
            <v>FH</v>
          </cell>
          <cell r="G632" t="str">
            <v>Grid-DG-Batt.</v>
          </cell>
          <cell r="H632" t="str">
            <v>OK</v>
          </cell>
          <cell r="I632" t="str">
            <v>NO</v>
          </cell>
          <cell r="J632" t="str">
            <v>YES</v>
          </cell>
          <cell r="K632" t="str">
            <v>SILVER</v>
          </cell>
          <cell r="L632" t="str">
            <v>SubUrbain</v>
          </cell>
          <cell r="M632" t="str">
            <v>70996904</v>
          </cell>
          <cell r="N632" t="str">
            <v>BADOU</v>
          </cell>
        </row>
        <row r="633">
          <cell r="A633" t="str">
            <v>KOUGNOHOU-DJOKOUME</v>
          </cell>
          <cell r="B633">
            <v>43876</v>
          </cell>
          <cell r="C633" t="str">
            <v>PLA-145</v>
          </cell>
          <cell r="D633" t="str">
            <v>PLATEAUX</v>
          </cell>
          <cell r="E633" t="str">
            <v>BADOU</v>
          </cell>
          <cell r="F633" t="str">
            <v>FH</v>
          </cell>
          <cell r="G633" t="str">
            <v>Grid-DG-Batt.</v>
          </cell>
          <cell r="H633" t="str">
            <v>OK</v>
          </cell>
          <cell r="I633" t="str">
            <v>NO</v>
          </cell>
          <cell r="J633" t="str">
            <v>NO</v>
          </cell>
          <cell r="K633" t="str">
            <v>BRONZE</v>
          </cell>
          <cell r="L633" t="str">
            <v>rural</v>
          </cell>
          <cell r="M633" t="str">
            <v>70996905</v>
          </cell>
          <cell r="N633" t="str">
            <v>BADOU</v>
          </cell>
        </row>
        <row r="634">
          <cell r="A634" t="str">
            <v>KOUI</v>
          </cell>
          <cell r="B634">
            <v>44070</v>
          </cell>
          <cell r="C634" t="str">
            <v>CEN-093</v>
          </cell>
          <cell r="D634" t="str">
            <v>CENTRALE</v>
          </cell>
          <cell r="E634" t="str">
            <v>BLITTA</v>
          </cell>
          <cell r="F634" t="str">
            <v>FH</v>
          </cell>
          <cell r="G634" t="str">
            <v>DG-Batt.</v>
          </cell>
          <cell r="H634" t="str">
            <v>OK</v>
          </cell>
          <cell r="I634" t="str">
            <v>NO</v>
          </cell>
          <cell r="J634" t="str">
            <v>NO</v>
          </cell>
          <cell r="K634" t="str">
            <v>BRONZE</v>
          </cell>
          <cell r="L634" t="str">
            <v>rural</v>
          </cell>
          <cell r="M634" t="str">
            <v>70996906</v>
          </cell>
          <cell r="N634" t="str">
            <v>BLITTA</v>
          </cell>
        </row>
        <row r="635">
          <cell r="A635" t="str">
            <v>KOUKA</v>
          </cell>
          <cell r="B635"/>
          <cell r="C635" t="str">
            <v>KAR-054</v>
          </cell>
          <cell r="D635" t="str">
            <v>KARA</v>
          </cell>
          <cell r="E635" t="str">
            <v>KABOU</v>
          </cell>
          <cell r="F635" t="str">
            <v>FH</v>
          </cell>
          <cell r="G635" t="str">
            <v>Grid-DG-Batt.</v>
          </cell>
          <cell r="H635" t="str">
            <v>OK</v>
          </cell>
          <cell r="I635" t="str">
            <v>NO</v>
          </cell>
          <cell r="J635" t="str">
            <v>YES</v>
          </cell>
          <cell r="K635" t="str">
            <v>SILVER</v>
          </cell>
          <cell r="L635" t="str">
            <v>SubUrbain</v>
          </cell>
          <cell r="M635" t="str">
            <v>70996907</v>
          </cell>
          <cell r="N635" t="str">
            <v>KABOU</v>
          </cell>
        </row>
        <row r="636">
          <cell r="A636" t="str">
            <v>KOUKA-GBANGBALE</v>
          </cell>
          <cell r="B636"/>
          <cell r="C636" t="str">
            <v>KAR-055</v>
          </cell>
          <cell r="D636" t="str">
            <v>KARA</v>
          </cell>
          <cell r="E636" t="str">
            <v>KABOU</v>
          </cell>
          <cell r="F636" t="str">
            <v>FH</v>
          </cell>
          <cell r="G636" t="str">
            <v>Grid-DG-Solar-Batt.</v>
          </cell>
          <cell r="H636" t="str">
            <v>OK</v>
          </cell>
          <cell r="I636" t="str">
            <v>NO</v>
          </cell>
          <cell r="J636" t="str">
            <v>NO</v>
          </cell>
          <cell r="K636" t="str">
            <v>BRONZE</v>
          </cell>
          <cell r="L636" t="str">
            <v>SubUrbain</v>
          </cell>
          <cell r="M636" t="str">
            <v>70996908</v>
          </cell>
          <cell r="N636" t="str">
            <v>KABOU</v>
          </cell>
        </row>
        <row r="637">
          <cell r="A637" t="str">
            <v>KOUKA2-MOOV</v>
          </cell>
          <cell r="B637">
            <v>44832</v>
          </cell>
          <cell r="C637" t="str">
            <v>KAR-150</v>
          </cell>
          <cell r="D637" t="str">
            <v>KARA</v>
          </cell>
          <cell r="E637" t="str">
            <v>KABOU</v>
          </cell>
          <cell r="F637" t="str">
            <v>FH</v>
          </cell>
          <cell r="G637" t="str">
            <v>Grid-DG-Batt.</v>
          </cell>
          <cell r="H637" t="str">
            <v>OK</v>
          </cell>
          <cell r="I637" t="str">
            <v>NO</v>
          </cell>
          <cell r="J637" t="str">
            <v>YES</v>
          </cell>
          <cell r="K637" t="str">
            <v>PLATINUM</v>
          </cell>
          <cell r="L637" t="str">
            <v>Urbain</v>
          </cell>
          <cell r="M637" t="e">
            <v>#N/A</v>
          </cell>
          <cell r="N637" t="str">
            <v>KABOU</v>
          </cell>
        </row>
        <row r="638">
          <cell r="A638" t="str">
            <v>KOULFIEKOU</v>
          </cell>
          <cell r="B638"/>
          <cell r="C638" t="str">
            <v>KAR-056</v>
          </cell>
          <cell r="D638" t="str">
            <v>SAVANES</v>
          </cell>
          <cell r="E638" t="str">
            <v>MANGO</v>
          </cell>
          <cell r="F638" t="str">
            <v>FH</v>
          </cell>
          <cell r="G638" t="str">
            <v>DG-Solar-Batt.</v>
          </cell>
          <cell r="H638" t="str">
            <v>NOK</v>
          </cell>
          <cell r="I638" t="str">
            <v>NO</v>
          </cell>
          <cell r="J638" t="str">
            <v>NO</v>
          </cell>
          <cell r="K638" t="str">
            <v>BRONZE</v>
          </cell>
          <cell r="L638" t="str">
            <v>rural</v>
          </cell>
          <cell r="M638" t="str">
            <v>70996909</v>
          </cell>
          <cell r="N638" t="str">
            <v>MANGO</v>
          </cell>
        </row>
        <row r="639">
          <cell r="A639" t="str">
            <v>KOULOUMI</v>
          </cell>
          <cell r="B639"/>
          <cell r="C639" t="str">
            <v>CEN-051</v>
          </cell>
          <cell r="D639" t="str">
            <v>CENTRALE</v>
          </cell>
          <cell r="E639" t="str">
            <v>TCHAMBA</v>
          </cell>
          <cell r="F639" t="str">
            <v>FH</v>
          </cell>
          <cell r="G639" t="str">
            <v>Grid-DG-Batt.</v>
          </cell>
          <cell r="H639" t="str">
            <v>NOK</v>
          </cell>
          <cell r="I639" t="str">
            <v>NO</v>
          </cell>
          <cell r="J639" t="str">
            <v>NO</v>
          </cell>
          <cell r="K639" t="str">
            <v>BRONZE</v>
          </cell>
          <cell r="L639" t="str">
            <v>rural</v>
          </cell>
          <cell r="M639" t="str">
            <v>70996910</v>
          </cell>
          <cell r="N639" t="str">
            <v>TCHAMBA</v>
          </cell>
        </row>
        <row r="640">
          <cell r="A640" t="str">
            <v>KOULOUNDE</v>
          </cell>
          <cell r="B640"/>
          <cell r="C640" t="str">
            <v>CEN-011</v>
          </cell>
          <cell r="D640" t="str">
            <v>CENTRALE</v>
          </cell>
          <cell r="E640" t="str">
            <v>SOKODE</v>
          </cell>
          <cell r="F640" t="str">
            <v>FO</v>
          </cell>
          <cell r="G640" t="str">
            <v>Grid-DG-Batt.</v>
          </cell>
          <cell r="H640" t="str">
            <v>OK</v>
          </cell>
          <cell r="I640" t="str">
            <v>NO</v>
          </cell>
          <cell r="J640" t="str">
            <v>NO</v>
          </cell>
          <cell r="K640" t="str">
            <v>SILVER</v>
          </cell>
          <cell r="L640" t="str">
            <v>Urbain</v>
          </cell>
          <cell r="M640">
            <v>70996912</v>
          </cell>
          <cell r="N640" t="str">
            <v>SOKODE</v>
          </cell>
        </row>
        <row r="641">
          <cell r="A641" t="str">
            <v>KOUMA</v>
          </cell>
          <cell r="B641"/>
          <cell r="C641" t="str">
            <v>PLA-048</v>
          </cell>
          <cell r="D641" t="str">
            <v>MARITIME</v>
          </cell>
          <cell r="E641" t="str">
            <v>KPALIME</v>
          </cell>
          <cell r="F641" t="str">
            <v>FH</v>
          </cell>
          <cell r="G641" t="str">
            <v>Grid-DG-Batt.</v>
          </cell>
          <cell r="H641" t="str">
            <v>OK</v>
          </cell>
          <cell r="I641" t="str">
            <v>NO</v>
          </cell>
          <cell r="J641" t="str">
            <v>NO</v>
          </cell>
          <cell r="K641" t="str">
            <v>BRONZE</v>
          </cell>
          <cell r="L641" t="str">
            <v>rural</v>
          </cell>
          <cell r="M641" t="str">
            <v>70996913</v>
          </cell>
          <cell r="N641" t="str">
            <v>KPALIME</v>
          </cell>
        </row>
        <row r="642">
          <cell r="A642" t="str">
            <v>KOUMA-KONDA-MOOV</v>
          </cell>
          <cell r="B642"/>
          <cell r="C642" t="str">
            <v>PLA-049</v>
          </cell>
          <cell r="D642" t="str">
            <v>MARITIME</v>
          </cell>
          <cell r="E642" t="str">
            <v>KPALIME</v>
          </cell>
          <cell r="F642" t="str">
            <v>FH</v>
          </cell>
          <cell r="G642" t="str">
            <v>Grid-DG-Batt.</v>
          </cell>
          <cell r="H642" t="str">
            <v>NOK</v>
          </cell>
          <cell r="I642" t="str">
            <v>NO</v>
          </cell>
          <cell r="J642" t="str">
            <v>NO</v>
          </cell>
          <cell r="K642" t="str">
            <v>BRONZE</v>
          </cell>
          <cell r="L642" t="str">
            <v>rural</v>
          </cell>
          <cell r="M642" t="str">
            <v>70996914</v>
          </cell>
          <cell r="N642" t="str">
            <v>KPALIME</v>
          </cell>
        </row>
        <row r="643">
          <cell r="A643" t="str">
            <v>KOUMBOG</v>
          </cell>
          <cell r="B643"/>
          <cell r="C643" t="str">
            <v>SAV-021</v>
          </cell>
          <cell r="D643" t="str">
            <v>SAVANES</v>
          </cell>
          <cell r="E643" t="str">
            <v>DAPAONG 1</v>
          </cell>
          <cell r="F643" t="str">
            <v>FH</v>
          </cell>
          <cell r="G643" t="str">
            <v>DG-Solar-Batt.</v>
          </cell>
          <cell r="H643" t="str">
            <v>OK</v>
          </cell>
          <cell r="I643" t="str">
            <v>NO</v>
          </cell>
          <cell r="J643" t="str">
            <v>YES</v>
          </cell>
          <cell r="K643" t="str">
            <v>BRONZE</v>
          </cell>
          <cell r="L643" t="str">
            <v>rural</v>
          </cell>
          <cell r="M643" t="str">
            <v>70996915</v>
          </cell>
          <cell r="N643" t="str">
            <v>DAPAONG</v>
          </cell>
        </row>
        <row r="644">
          <cell r="A644" t="str">
            <v>KOUMEA</v>
          </cell>
          <cell r="B644"/>
          <cell r="C644" t="str">
            <v>KAR-020</v>
          </cell>
          <cell r="D644" t="str">
            <v>KARA</v>
          </cell>
          <cell r="E644" t="str">
            <v>KARA-EST</v>
          </cell>
          <cell r="F644" t="str">
            <v>FH</v>
          </cell>
          <cell r="G644" t="str">
            <v>Grid-DG-Solar-Batt.</v>
          </cell>
          <cell r="H644" t="str">
            <v>NOK</v>
          </cell>
          <cell r="I644" t="str">
            <v>NO</v>
          </cell>
          <cell r="J644" t="str">
            <v>YES</v>
          </cell>
          <cell r="K644" t="str">
            <v>BRONZE</v>
          </cell>
          <cell r="L644" t="str">
            <v>rural</v>
          </cell>
          <cell r="M644" t="str">
            <v>70996916</v>
          </cell>
          <cell r="N644" t="str">
            <v>KARA EST</v>
          </cell>
        </row>
        <row r="645">
          <cell r="A645" t="str">
            <v>KOUMONDE</v>
          </cell>
          <cell r="B645"/>
          <cell r="C645" t="str">
            <v>KAR-081</v>
          </cell>
          <cell r="D645" t="str">
            <v>KARA</v>
          </cell>
          <cell r="E645" t="str">
            <v>KARA-OUEST</v>
          </cell>
          <cell r="F645" t="str">
            <v>FH</v>
          </cell>
          <cell r="G645" t="str">
            <v>Grid-DG-Batt.</v>
          </cell>
          <cell r="H645" t="str">
            <v>OK</v>
          </cell>
          <cell r="I645" t="str">
            <v>NO</v>
          </cell>
          <cell r="J645" t="str">
            <v>NO</v>
          </cell>
          <cell r="K645" t="str">
            <v>BRONZE</v>
          </cell>
          <cell r="L645" t="str">
            <v>rural</v>
          </cell>
          <cell r="M645" t="str">
            <v>70996917</v>
          </cell>
          <cell r="N645" t="str">
            <v>KARA OUEST</v>
          </cell>
        </row>
        <row r="646">
          <cell r="A646" t="str">
            <v>KOUMONGOU</v>
          </cell>
          <cell r="B646"/>
          <cell r="C646" t="str">
            <v>SAV-051</v>
          </cell>
          <cell r="D646" t="str">
            <v>SAVANES</v>
          </cell>
          <cell r="E646" t="str">
            <v>MANGO</v>
          </cell>
          <cell r="F646" t="str">
            <v>FH</v>
          </cell>
          <cell r="G646" t="str">
            <v>DG-Solar-Batt.</v>
          </cell>
          <cell r="H646" t="str">
            <v>OK</v>
          </cell>
          <cell r="I646" t="str">
            <v>NO</v>
          </cell>
          <cell r="J646" t="str">
            <v>NO</v>
          </cell>
          <cell r="K646" t="str">
            <v>BRONZE</v>
          </cell>
          <cell r="L646" t="str">
            <v>rural</v>
          </cell>
          <cell r="M646" t="str">
            <v>70996918</v>
          </cell>
          <cell r="N646" t="str">
            <v>MANGO</v>
          </cell>
        </row>
        <row r="647">
          <cell r="A647" t="str">
            <v>KOUMONGOUKAN</v>
          </cell>
          <cell r="B647"/>
          <cell r="C647" t="str">
            <v>SAV-052</v>
          </cell>
          <cell r="D647" t="str">
            <v>SAVANES</v>
          </cell>
          <cell r="E647" t="str">
            <v>MANGO</v>
          </cell>
          <cell r="F647" t="str">
            <v>FH</v>
          </cell>
          <cell r="G647" t="str">
            <v>Grid-DG-Solar-Batt.</v>
          </cell>
          <cell r="H647" t="str">
            <v>OK</v>
          </cell>
          <cell r="I647" t="str">
            <v>NO</v>
          </cell>
          <cell r="J647" t="str">
            <v>NO</v>
          </cell>
          <cell r="K647" t="str">
            <v>BRONZE</v>
          </cell>
          <cell r="L647" t="str">
            <v>rural</v>
          </cell>
          <cell r="M647" t="str">
            <v>70996919</v>
          </cell>
          <cell r="N647" t="str">
            <v>MANGO</v>
          </cell>
        </row>
        <row r="648">
          <cell r="A648" t="str">
            <v>KOUMONIADE</v>
          </cell>
          <cell r="B648"/>
          <cell r="C648" t="str">
            <v>CEN-004</v>
          </cell>
          <cell r="D648" t="str">
            <v>CENTRALE</v>
          </cell>
          <cell r="E648" t="str">
            <v>SOKODE</v>
          </cell>
          <cell r="F648" t="str">
            <v>FH</v>
          </cell>
          <cell r="G648" t="str">
            <v>DG-Solar-Batt.</v>
          </cell>
          <cell r="H648" t="str">
            <v>OK</v>
          </cell>
          <cell r="I648" t="str">
            <v>NO</v>
          </cell>
          <cell r="J648" t="str">
            <v>NO</v>
          </cell>
          <cell r="K648" t="str">
            <v>BRONZE</v>
          </cell>
          <cell r="L648" t="str">
            <v>rural</v>
          </cell>
          <cell r="M648" t="str">
            <v>70996920</v>
          </cell>
          <cell r="N648" t="str">
            <v>SOKODE</v>
          </cell>
        </row>
        <row r="649">
          <cell r="A649" t="str">
            <v>KOUNDJOUARE</v>
          </cell>
          <cell r="B649"/>
          <cell r="C649" t="str">
            <v>SAV-042</v>
          </cell>
          <cell r="D649" t="str">
            <v>SAVANES</v>
          </cell>
          <cell r="E649" t="str">
            <v>DAPAONG 1</v>
          </cell>
          <cell r="F649" t="str">
            <v>FH</v>
          </cell>
          <cell r="G649" t="str">
            <v>Grid-DG-Solar-Batt.</v>
          </cell>
          <cell r="H649" t="str">
            <v>NOK</v>
          </cell>
          <cell r="I649" t="str">
            <v>NO</v>
          </cell>
          <cell r="J649" t="str">
            <v>YES</v>
          </cell>
          <cell r="K649" t="str">
            <v>SILVER</v>
          </cell>
          <cell r="L649" t="str">
            <v>rural</v>
          </cell>
          <cell r="M649" t="str">
            <v>70996921</v>
          </cell>
          <cell r="N649" t="str">
            <v>DAPAONG</v>
          </cell>
        </row>
        <row r="650">
          <cell r="A650" t="str">
            <v>KOUNDOUM</v>
          </cell>
          <cell r="B650">
            <v>43750</v>
          </cell>
          <cell r="C650" t="str">
            <v>KAR-098</v>
          </cell>
          <cell r="D650" t="str">
            <v>KARA</v>
          </cell>
          <cell r="E650" t="str">
            <v>KABOU</v>
          </cell>
          <cell r="F650" t="str">
            <v>FH</v>
          </cell>
          <cell r="G650" t="str">
            <v>DG-Solar-Batt.</v>
          </cell>
          <cell r="H650" t="str">
            <v>OK</v>
          </cell>
          <cell r="I650" t="str">
            <v>NO</v>
          </cell>
          <cell r="J650" t="str">
            <v>NO</v>
          </cell>
          <cell r="K650" t="str">
            <v>BRONZE</v>
          </cell>
          <cell r="L650" t="str">
            <v>rural</v>
          </cell>
          <cell r="M650" t="str">
            <v>70996922</v>
          </cell>
          <cell r="N650" t="str">
            <v>KABOU</v>
          </cell>
        </row>
        <row r="651">
          <cell r="A651" t="str">
            <v>KOUNTONGUE</v>
          </cell>
          <cell r="B651"/>
          <cell r="C651" t="str">
            <v>SAV-006</v>
          </cell>
          <cell r="D651" t="str">
            <v>SAVANES</v>
          </cell>
          <cell r="E651" t="str">
            <v>DAPAONG 1</v>
          </cell>
          <cell r="F651" t="str">
            <v>FH</v>
          </cell>
          <cell r="G651" t="str">
            <v>Grid-DG-Batt.</v>
          </cell>
          <cell r="H651" t="str">
            <v>OK</v>
          </cell>
          <cell r="I651" t="str">
            <v>NO</v>
          </cell>
          <cell r="J651" t="str">
            <v>YES</v>
          </cell>
          <cell r="K651" t="str">
            <v>GOLD</v>
          </cell>
          <cell r="L651" t="str">
            <v>rural</v>
          </cell>
          <cell r="M651" t="str">
            <v>70996923</v>
          </cell>
          <cell r="N651" t="str">
            <v>DAPAONG</v>
          </cell>
        </row>
        <row r="652">
          <cell r="A652" t="str">
            <v>KOUNTOUARE</v>
          </cell>
          <cell r="B652">
            <v>44008</v>
          </cell>
          <cell r="C652" t="str">
            <v>SAV-084</v>
          </cell>
          <cell r="D652" t="str">
            <v>SAVANES</v>
          </cell>
          <cell r="E652" t="str">
            <v>MANGO</v>
          </cell>
          <cell r="F652" t="str">
            <v>FH</v>
          </cell>
          <cell r="G652" t="str">
            <v>DG-Solar-Batt.</v>
          </cell>
          <cell r="H652" t="str">
            <v>OK</v>
          </cell>
          <cell r="I652" t="str">
            <v>NO</v>
          </cell>
          <cell r="J652" t="str">
            <v>YES</v>
          </cell>
          <cell r="K652" t="str">
            <v>BRONZE</v>
          </cell>
          <cell r="L652" t="str">
            <v>rural</v>
          </cell>
          <cell r="M652" t="str">
            <v>70996924</v>
          </cell>
          <cell r="N652" t="str">
            <v>MANGO</v>
          </cell>
        </row>
        <row r="653">
          <cell r="A653" t="str">
            <v>KOURIENTRE</v>
          </cell>
          <cell r="B653">
            <v>44020</v>
          </cell>
          <cell r="C653" t="str">
            <v>SAV-085</v>
          </cell>
          <cell r="D653" t="str">
            <v>SAVANES</v>
          </cell>
          <cell r="E653" t="str">
            <v>DAPAONG 1</v>
          </cell>
          <cell r="F653" t="str">
            <v>FH</v>
          </cell>
          <cell r="G653" t="str">
            <v>DG-Solar-Batt.</v>
          </cell>
          <cell r="H653" t="str">
            <v>OK</v>
          </cell>
          <cell r="I653" t="str">
            <v>NO</v>
          </cell>
          <cell r="J653" t="str">
            <v>NO</v>
          </cell>
          <cell r="K653" t="str">
            <v>BRONZE</v>
          </cell>
          <cell r="L653" t="str">
            <v>rural</v>
          </cell>
          <cell r="M653" t="str">
            <v>70996925</v>
          </cell>
          <cell r="N653" t="str">
            <v>DAPAONG</v>
          </cell>
        </row>
        <row r="654">
          <cell r="A654" t="str">
            <v>KOUSSOUMTOU</v>
          </cell>
          <cell r="B654"/>
          <cell r="C654" t="str">
            <v>CEN-052</v>
          </cell>
          <cell r="D654" t="str">
            <v>CENTRALE</v>
          </cell>
          <cell r="E654" t="str">
            <v>TCHAMBA</v>
          </cell>
          <cell r="F654" t="str">
            <v>FH</v>
          </cell>
          <cell r="G654" t="str">
            <v>Grid-DG-Solar-Batt.</v>
          </cell>
          <cell r="H654" t="str">
            <v>OK</v>
          </cell>
          <cell r="I654" t="str">
            <v>NO</v>
          </cell>
          <cell r="J654" t="str">
            <v>NO</v>
          </cell>
          <cell r="K654" t="str">
            <v>SILVER</v>
          </cell>
          <cell r="L654" t="str">
            <v>rural</v>
          </cell>
          <cell r="M654" t="str">
            <v>70996926</v>
          </cell>
          <cell r="N654" t="str">
            <v>TCHAMBA</v>
          </cell>
        </row>
        <row r="655">
          <cell r="A655" t="str">
            <v>KOUTANGOU</v>
          </cell>
          <cell r="B655">
            <v>44009</v>
          </cell>
          <cell r="C655" t="str">
            <v>KAR-131</v>
          </cell>
          <cell r="D655" t="str">
            <v>KARA</v>
          </cell>
          <cell r="E655" t="str">
            <v>KANTE</v>
          </cell>
          <cell r="F655" t="str">
            <v>FH</v>
          </cell>
          <cell r="G655" t="str">
            <v>DG-Solar-Batt.</v>
          </cell>
          <cell r="H655" t="str">
            <v>OK</v>
          </cell>
          <cell r="I655" t="str">
            <v>NO</v>
          </cell>
          <cell r="J655" t="str">
            <v>YES</v>
          </cell>
          <cell r="K655" t="str">
            <v>BRONZE</v>
          </cell>
          <cell r="L655" t="str">
            <v>rural</v>
          </cell>
          <cell r="M655" t="str">
            <v>70996927</v>
          </cell>
          <cell r="N655" t="str">
            <v>KANTE</v>
          </cell>
        </row>
        <row r="656">
          <cell r="A656" t="str">
            <v>KOUTCHITCHEOU</v>
          </cell>
          <cell r="B656">
            <v>44016</v>
          </cell>
          <cell r="C656" t="str">
            <v>KAR-121</v>
          </cell>
          <cell r="D656" t="str">
            <v>KARA</v>
          </cell>
          <cell r="E656" t="str">
            <v>KABOU</v>
          </cell>
          <cell r="F656" t="str">
            <v>FH</v>
          </cell>
          <cell r="G656" t="str">
            <v>DG-Solar-Batt.</v>
          </cell>
          <cell r="H656" t="str">
            <v>OK</v>
          </cell>
          <cell r="I656" t="str">
            <v>NO</v>
          </cell>
          <cell r="J656" t="str">
            <v>YES</v>
          </cell>
          <cell r="K656" t="str">
            <v>BRONZE</v>
          </cell>
          <cell r="L656" t="str">
            <v>rural</v>
          </cell>
          <cell r="M656" t="str">
            <v>70996928</v>
          </cell>
          <cell r="N656" t="str">
            <v>KABOU</v>
          </cell>
        </row>
        <row r="657">
          <cell r="A657" t="str">
            <v>KOUTIERE</v>
          </cell>
          <cell r="B657">
            <v>45016</v>
          </cell>
          <cell r="C657" t="str">
            <v>KAR-151</v>
          </cell>
          <cell r="D657" t="str">
            <v>KARA</v>
          </cell>
          <cell r="E657" t="str">
            <v>KARA-OUEST</v>
          </cell>
          <cell r="F657" t="str">
            <v>FH</v>
          </cell>
          <cell r="G657" t="str">
            <v>DG-Solar-Batt.</v>
          </cell>
          <cell r="H657" t="str">
            <v>OK</v>
          </cell>
          <cell r="I657" t="str">
            <v>NO</v>
          </cell>
          <cell r="J657" t="str">
            <v>YES</v>
          </cell>
          <cell r="K657" t="str">
            <v>BRONZE</v>
          </cell>
          <cell r="L657" t="str">
            <v>rural</v>
          </cell>
          <cell r="M657">
            <v>70997269</v>
          </cell>
          <cell r="N657" t="str">
            <v>KARA OUEST</v>
          </cell>
        </row>
        <row r="658">
          <cell r="A658" t="str">
            <v>KOUTIME-MOOV</v>
          </cell>
          <cell r="B658">
            <v>43557</v>
          </cell>
          <cell r="C658" t="str">
            <v>MAR-029</v>
          </cell>
          <cell r="D658" t="str">
            <v>MARITIME</v>
          </cell>
          <cell r="E658" t="str">
            <v>ANEHO</v>
          </cell>
          <cell r="F658" t="str">
            <v>FH</v>
          </cell>
          <cell r="G658" t="str">
            <v>Grid-DG-Batt.</v>
          </cell>
          <cell r="H658" t="str">
            <v>NOK</v>
          </cell>
          <cell r="I658" t="str">
            <v>NO</v>
          </cell>
          <cell r="J658" t="str">
            <v>NO</v>
          </cell>
          <cell r="K658" t="str">
            <v>BRONZE</v>
          </cell>
          <cell r="L658" t="str">
            <v>rural</v>
          </cell>
          <cell r="M658">
            <v>0</v>
          </cell>
          <cell r="N658" t="str">
            <v>ANEHO</v>
          </cell>
        </row>
        <row r="659">
          <cell r="A659" t="str">
            <v>KOUTOUGOU</v>
          </cell>
          <cell r="B659"/>
          <cell r="C659" t="str">
            <v>KAR-041</v>
          </cell>
          <cell r="D659" t="str">
            <v>KARA</v>
          </cell>
          <cell r="E659" t="str">
            <v>KARA-EST</v>
          </cell>
          <cell r="F659" t="str">
            <v>FH</v>
          </cell>
          <cell r="G659" t="str">
            <v>DG-Solar-Batt.</v>
          </cell>
          <cell r="H659" t="str">
            <v>OK</v>
          </cell>
          <cell r="I659" t="str">
            <v>NO</v>
          </cell>
          <cell r="J659" t="str">
            <v>NO</v>
          </cell>
          <cell r="K659" t="str">
            <v>BRONZE</v>
          </cell>
          <cell r="L659" t="str">
            <v>rural</v>
          </cell>
          <cell r="M659" t="str">
            <v>70996929</v>
          </cell>
          <cell r="N659" t="str">
            <v>KARA EST</v>
          </cell>
        </row>
        <row r="660">
          <cell r="A660" t="str">
            <v>KOUVE</v>
          </cell>
          <cell r="B660"/>
          <cell r="C660" t="str">
            <v>MAR-040</v>
          </cell>
          <cell r="D660" t="str">
            <v>MARITIME</v>
          </cell>
          <cell r="E660" t="str">
            <v>TSEVIE</v>
          </cell>
          <cell r="F660" t="str">
            <v>FH</v>
          </cell>
          <cell r="G660" t="str">
            <v>Grid-DG-Batt.</v>
          </cell>
          <cell r="H660" t="str">
            <v>OK</v>
          </cell>
          <cell r="I660" t="str">
            <v>NO</v>
          </cell>
          <cell r="J660" t="str">
            <v>NO</v>
          </cell>
          <cell r="K660" t="str">
            <v>SILVER</v>
          </cell>
          <cell r="L660" t="str">
            <v>rural</v>
          </cell>
          <cell r="M660" t="str">
            <v>70996930</v>
          </cell>
          <cell r="N660" t="str">
            <v>TSEVIE</v>
          </cell>
        </row>
        <row r="661">
          <cell r="A661" t="str">
            <v>KOVE</v>
          </cell>
          <cell r="B661"/>
          <cell r="C661" t="str">
            <v>LOM-047</v>
          </cell>
          <cell r="D661" t="str">
            <v>LOME</v>
          </cell>
          <cell r="E661" t="str">
            <v>LOME-OUEST 1</v>
          </cell>
          <cell r="F661" t="str">
            <v>FH</v>
          </cell>
          <cell r="G661" t="str">
            <v>Grid-DG-Batt.</v>
          </cell>
          <cell r="H661" t="str">
            <v>OK</v>
          </cell>
          <cell r="I661" t="str">
            <v>NO</v>
          </cell>
          <cell r="J661" t="str">
            <v>NO</v>
          </cell>
          <cell r="K661" t="str">
            <v>GOLD</v>
          </cell>
          <cell r="L661" t="str">
            <v>Urbain</v>
          </cell>
          <cell r="M661" t="str">
            <v>70996931</v>
          </cell>
          <cell r="N661" t="str">
            <v>LOME OUEST1</v>
          </cell>
        </row>
        <row r="662">
          <cell r="A662" t="str">
            <v>KOVE2</v>
          </cell>
          <cell r="B662"/>
          <cell r="C662" t="str">
            <v>LOM-052</v>
          </cell>
          <cell r="D662" t="str">
            <v>LOME</v>
          </cell>
          <cell r="E662" t="str">
            <v>LOME-OUEST 1</v>
          </cell>
          <cell r="F662" t="str">
            <v>FH</v>
          </cell>
          <cell r="G662" t="str">
            <v>Grid-DG-Batt.</v>
          </cell>
          <cell r="H662" t="str">
            <v>OK</v>
          </cell>
          <cell r="I662" t="str">
            <v>NO</v>
          </cell>
          <cell r="J662" t="str">
            <v>NO</v>
          </cell>
          <cell r="K662" t="str">
            <v>GOLD</v>
          </cell>
          <cell r="L662" t="str">
            <v>Urbain</v>
          </cell>
          <cell r="M662" t="str">
            <v>70996932</v>
          </cell>
          <cell r="N662" t="str">
            <v>LOME OUEST1</v>
          </cell>
        </row>
        <row r="663">
          <cell r="A663" t="str">
            <v>KOVE-AHONDJI-MOOV</v>
          </cell>
          <cell r="B663">
            <v>45129</v>
          </cell>
          <cell r="C663" t="str">
            <v>LOM-377</v>
          </cell>
          <cell r="D663" t="str">
            <v>LOME</v>
          </cell>
          <cell r="E663" t="str">
            <v>LOME-OUEST 1</v>
          </cell>
          <cell r="F663" t="str">
            <v>FH</v>
          </cell>
          <cell r="G663" t="str">
            <v>Grid-DG-Batt.</v>
          </cell>
          <cell r="H663" t="str">
            <v>OK</v>
          </cell>
          <cell r="I663" t="str">
            <v>NO</v>
          </cell>
          <cell r="J663" t="str">
            <v>NO</v>
          </cell>
          <cell r="K663" t="str">
            <v>SILVER</v>
          </cell>
          <cell r="L663" t="str">
            <v>Urbain</v>
          </cell>
          <cell r="M663">
            <v>0</v>
          </cell>
          <cell r="N663" t="str">
            <v>LOME OUEST1</v>
          </cell>
        </row>
        <row r="664">
          <cell r="A664" t="str">
            <v>KOVE-HOUMBI</v>
          </cell>
          <cell r="B664">
            <v>44721</v>
          </cell>
          <cell r="C664" t="str">
            <v>LOM-310</v>
          </cell>
          <cell r="D664" t="str">
            <v>LOME</v>
          </cell>
          <cell r="E664" t="str">
            <v>LOME-OUEST 1</v>
          </cell>
          <cell r="F664" t="str">
            <v>FTTM</v>
          </cell>
          <cell r="G664" t="str">
            <v>Grid-DG-Batt.</v>
          </cell>
          <cell r="H664" t="str">
            <v>OK</v>
          </cell>
          <cell r="I664" t="str">
            <v>NO</v>
          </cell>
          <cell r="J664" t="str">
            <v>YES</v>
          </cell>
          <cell r="K664" t="str">
            <v>GOLD</v>
          </cell>
          <cell r="L664" t="str">
            <v>Urbain</v>
          </cell>
          <cell r="M664" t="str">
            <v>70996422</v>
          </cell>
          <cell r="N664" t="str">
            <v>LOME OUEST1</v>
          </cell>
        </row>
        <row r="665">
          <cell r="A665" t="str">
            <v>KPADAPE</v>
          </cell>
          <cell r="B665"/>
          <cell r="C665" t="str">
            <v>PLA-043</v>
          </cell>
          <cell r="D665" t="str">
            <v>MARITIME</v>
          </cell>
          <cell r="E665" t="str">
            <v>KPALIME</v>
          </cell>
          <cell r="F665" t="str">
            <v>FH</v>
          </cell>
          <cell r="G665" t="str">
            <v>Grid-DG-Solar-Batt.</v>
          </cell>
          <cell r="H665" t="str">
            <v>NOK</v>
          </cell>
          <cell r="I665" t="str">
            <v>NO</v>
          </cell>
          <cell r="J665" t="str">
            <v>NO</v>
          </cell>
          <cell r="K665" t="str">
            <v>BRONZE</v>
          </cell>
          <cell r="L665" t="str">
            <v>rural</v>
          </cell>
          <cell r="M665" t="str">
            <v>70996933</v>
          </cell>
          <cell r="N665" t="str">
            <v>KPALIME</v>
          </cell>
        </row>
        <row r="666">
          <cell r="A666" t="str">
            <v>KPALA-MOOV</v>
          </cell>
          <cell r="B666">
            <v>45215</v>
          </cell>
          <cell r="C666" t="str">
            <v>LOM-384</v>
          </cell>
          <cell r="D666" t="str">
            <v>LOME</v>
          </cell>
          <cell r="E666" t="str">
            <v>LOME-OUEST 1</v>
          </cell>
          <cell r="F666" t="str">
            <v>FH</v>
          </cell>
          <cell r="G666" t="str">
            <v>DG-Batt.</v>
          </cell>
          <cell r="H666" t="str">
            <v>OK</v>
          </cell>
          <cell r="I666" t="str">
            <v>NO</v>
          </cell>
          <cell r="J666" t="str">
            <v>NO</v>
          </cell>
          <cell r="K666" t="str">
            <v>BRONZE</v>
          </cell>
          <cell r="L666" t="str">
            <v>SUBURBAN</v>
          </cell>
          <cell r="M666">
            <v>0</v>
          </cell>
          <cell r="N666" t="str">
            <v>LOME OUEST1</v>
          </cell>
        </row>
        <row r="667">
          <cell r="A667" t="str">
            <v>KPALIME</v>
          </cell>
          <cell r="B667"/>
          <cell r="C667" t="str">
            <v>PLA-015</v>
          </cell>
          <cell r="D667" t="str">
            <v>MARITIME</v>
          </cell>
          <cell r="E667" t="str">
            <v>KPALIME</v>
          </cell>
          <cell r="F667" t="str">
            <v>FO</v>
          </cell>
          <cell r="G667" t="str">
            <v>Grid-2DG-Batt.</v>
          </cell>
          <cell r="H667" t="str">
            <v>OK</v>
          </cell>
          <cell r="I667" t="str">
            <v>NO</v>
          </cell>
          <cell r="J667" t="str">
            <v>YES</v>
          </cell>
          <cell r="K667" t="str">
            <v>PLATINUM</v>
          </cell>
          <cell r="L667" t="str">
            <v>Urbain</v>
          </cell>
          <cell r="M667" t="str">
            <v>70996934</v>
          </cell>
          <cell r="N667" t="str">
            <v>KPALIME</v>
          </cell>
        </row>
        <row r="668">
          <cell r="A668" t="str">
            <v>KPALIME2</v>
          </cell>
          <cell r="B668"/>
          <cell r="C668" t="str">
            <v>PLA-016</v>
          </cell>
          <cell r="D668" t="str">
            <v>MARITIME</v>
          </cell>
          <cell r="E668" t="str">
            <v>KPALIME</v>
          </cell>
          <cell r="F668" t="str">
            <v>FH</v>
          </cell>
          <cell r="G668" t="str">
            <v>Grid-DG-Batt.</v>
          </cell>
          <cell r="H668" t="str">
            <v>NOK</v>
          </cell>
          <cell r="I668" t="str">
            <v>NO</v>
          </cell>
          <cell r="J668" t="str">
            <v>YES</v>
          </cell>
          <cell r="K668" t="str">
            <v>GOLD</v>
          </cell>
          <cell r="L668" t="str">
            <v>Urbain</v>
          </cell>
          <cell r="M668" t="str">
            <v>70996935</v>
          </cell>
          <cell r="N668" t="str">
            <v>KPALIME</v>
          </cell>
        </row>
        <row r="669">
          <cell r="A669" t="str">
            <v>KPALIME3</v>
          </cell>
          <cell r="B669"/>
          <cell r="C669" t="str">
            <v>PLA-017</v>
          </cell>
          <cell r="D669" t="str">
            <v>MARITIME</v>
          </cell>
          <cell r="E669" t="str">
            <v>KPALIME</v>
          </cell>
          <cell r="F669" t="str">
            <v>FH</v>
          </cell>
          <cell r="G669" t="str">
            <v>Grid-DG-Batt.</v>
          </cell>
          <cell r="H669" t="str">
            <v>OK</v>
          </cell>
          <cell r="I669" t="str">
            <v>NO</v>
          </cell>
          <cell r="J669" t="str">
            <v>NO</v>
          </cell>
          <cell r="K669" t="str">
            <v>SILVER</v>
          </cell>
          <cell r="L669" t="str">
            <v>Urbain</v>
          </cell>
          <cell r="M669" t="str">
            <v>70996936</v>
          </cell>
          <cell r="N669" t="str">
            <v>KPALIME</v>
          </cell>
        </row>
        <row r="670">
          <cell r="A670" t="str">
            <v>KPALIME4</v>
          </cell>
          <cell r="B670"/>
          <cell r="C670" t="str">
            <v>PLA-018</v>
          </cell>
          <cell r="D670" t="str">
            <v>MARITIME</v>
          </cell>
          <cell r="E670" t="str">
            <v>KPALIME</v>
          </cell>
          <cell r="F670" t="str">
            <v>FH</v>
          </cell>
          <cell r="G670" t="str">
            <v>Grid-DG-Batt.</v>
          </cell>
          <cell r="H670" t="str">
            <v>OK</v>
          </cell>
          <cell r="I670" t="str">
            <v>NO</v>
          </cell>
          <cell r="J670" t="str">
            <v>NO</v>
          </cell>
          <cell r="K670" t="str">
            <v>SILVER</v>
          </cell>
          <cell r="L670" t="str">
            <v>Urbain</v>
          </cell>
          <cell r="M670" t="str">
            <v>70996937</v>
          </cell>
          <cell r="N670" t="str">
            <v>KPALIME</v>
          </cell>
        </row>
        <row r="671">
          <cell r="A671" t="str">
            <v>KPALIME5</v>
          </cell>
          <cell r="B671">
            <v>44625</v>
          </cell>
          <cell r="C671" t="str">
            <v>PLA-205</v>
          </cell>
          <cell r="D671" t="str">
            <v>MARITIME</v>
          </cell>
          <cell r="E671" t="str">
            <v>KPALIME</v>
          </cell>
          <cell r="F671" t="str">
            <v>FH</v>
          </cell>
          <cell r="G671" t="str">
            <v>Grid-DG-Batt.</v>
          </cell>
          <cell r="H671" t="str">
            <v>OK</v>
          </cell>
          <cell r="I671" t="str">
            <v>NO</v>
          </cell>
          <cell r="J671" t="str">
            <v>YES</v>
          </cell>
          <cell r="K671" t="str">
            <v>SILVER</v>
          </cell>
          <cell r="L671" t="str">
            <v>Urbain</v>
          </cell>
          <cell r="M671" t="str">
            <v>70996479</v>
          </cell>
          <cell r="N671" t="str">
            <v>KPALIME</v>
          </cell>
        </row>
        <row r="672">
          <cell r="A672" t="str">
            <v>KPALIME6</v>
          </cell>
          <cell r="B672">
            <v>44609</v>
          </cell>
          <cell r="C672" t="str">
            <v>PLA-206</v>
          </cell>
          <cell r="D672" t="str">
            <v>MARITIME</v>
          </cell>
          <cell r="E672" t="str">
            <v>KPALIME</v>
          </cell>
          <cell r="F672" t="str">
            <v>FH</v>
          </cell>
          <cell r="G672" t="str">
            <v>Grid-DG-Batt.</v>
          </cell>
          <cell r="H672" t="str">
            <v>OK</v>
          </cell>
          <cell r="I672" t="str">
            <v>NO</v>
          </cell>
          <cell r="J672" t="str">
            <v>YES</v>
          </cell>
          <cell r="K672" t="str">
            <v>SILVER</v>
          </cell>
          <cell r="L672" t="str">
            <v>SubUrbain</v>
          </cell>
          <cell r="M672" t="str">
            <v>70996480</v>
          </cell>
          <cell r="N672" t="str">
            <v>KPALIME</v>
          </cell>
        </row>
        <row r="673">
          <cell r="A673" t="str">
            <v>KPALIME-HOTEL</v>
          </cell>
          <cell r="B673">
            <v>44136</v>
          </cell>
          <cell r="C673" t="str">
            <v>PLA-168</v>
          </cell>
          <cell r="D673" t="str">
            <v>MARITIME</v>
          </cell>
          <cell r="E673" t="str">
            <v>KPALIME</v>
          </cell>
          <cell r="F673" t="str">
            <v>FH</v>
          </cell>
          <cell r="G673" t="str">
            <v>Grid-DG-Batt.</v>
          </cell>
          <cell r="H673" t="str">
            <v>OK</v>
          </cell>
          <cell r="I673" t="str">
            <v>NO</v>
          </cell>
          <cell r="J673" t="str">
            <v>NO</v>
          </cell>
          <cell r="K673" t="str">
            <v>SILVER</v>
          </cell>
          <cell r="L673" t="str">
            <v>Urbain</v>
          </cell>
          <cell r="M673" t="str">
            <v>70996938</v>
          </cell>
          <cell r="N673" t="str">
            <v>KPALIME</v>
          </cell>
        </row>
        <row r="674">
          <cell r="A674" t="str">
            <v>KPALIME-KPODJI</v>
          </cell>
          <cell r="B674"/>
          <cell r="C674" t="str">
            <v>PLA-019</v>
          </cell>
          <cell r="D674" t="str">
            <v>MARITIME</v>
          </cell>
          <cell r="E674" t="str">
            <v>KPALIME</v>
          </cell>
          <cell r="F674" t="str">
            <v>FH</v>
          </cell>
          <cell r="G674" t="str">
            <v>Grid-DG-Solar-Batt.</v>
          </cell>
          <cell r="H674" t="str">
            <v>NOK</v>
          </cell>
          <cell r="I674" t="str">
            <v>NO</v>
          </cell>
          <cell r="J674" t="str">
            <v>NO</v>
          </cell>
          <cell r="K674" t="str">
            <v>GOLD</v>
          </cell>
          <cell r="L674" t="str">
            <v>Urbain</v>
          </cell>
          <cell r="M674" t="str">
            <v>70996939</v>
          </cell>
          <cell r="N674" t="str">
            <v>KPALIME</v>
          </cell>
        </row>
        <row r="675">
          <cell r="A675" t="str">
            <v>KPALIME-NUMETSUKONDJI</v>
          </cell>
          <cell r="B675">
            <v>45261</v>
          </cell>
          <cell r="C675" t="str">
            <v>PLA-238</v>
          </cell>
          <cell r="D675" t="str">
            <v>MARITIME</v>
          </cell>
          <cell r="E675" t="str">
            <v>KPALIME</v>
          </cell>
          <cell r="F675" t="str">
            <v>FTTM</v>
          </cell>
          <cell r="G675" t="str">
            <v>Grid-DG-Batt.</v>
          </cell>
          <cell r="H675" t="str">
            <v>OK</v>
          </cell>
          <cell r="I675" t="str">
            <v>NO</v>
          </cell>
          <cell r="J675">
            <v>0</v>
          </cell>
          <cell r="K675" t="str">
            <v>SILVER</v>
          </cell>
          <cell r="L675" t="str">
            <v>URBAN</v>
          </cell>
          <cell r="M675">
            <v>0</v>
          </cell>
          <cell r="N675" t="str">
            <v>KPALIME</v>
          </cell>
        </row>
        <row r="676">
          <cell r="A676" t="str">
            <v>KPALIME-NYIVEME</v>
          </cell>
          <cell r="B676">
            <v>44113</v>
          </cell>
          <cell r="C676" t="str">
            <v>PLA-184</v>
          </cell>
          <cell r="D676" t="str">
            <v>MARITIME</v>
          </cell>
          <cell r="E676" t="str">
            <v>KPALIME</v>
          </cell>
          <cell r="F676" t="str">
            <v>FH</v>
          </cell>
          <cell r="G676" t="str">
            <v>Grid-DG-Batt.</v>
          </cell>
          <cell r="H676" t="str">
            <v>OK</v>
          </cell>
          <cell r="I676" t="str">
            <v>NO</v>
          </cell>
          <cell r="J676" t="str">
            <v>NO</v>
          </cell>
          <cell r="K676" t="str">
            <v>GOLD</v>
          </cell>
          <cell r="L676" t="str">
            <v>Urbain</v>
          </cell>
          <cell r="M676" t="str">
            <v>70996440</v>
          </cell>
          <cell r="N676" t="str">
            <v>KPALIME</v>
          </cell>
        </row>
        <row r="677">
          <cell r="A677" t="str">
            <v>KPALIME-TSIVE</v>
          </cell>
          <cell r="B677">
            <v>45198</v>
          </cell>
          <cell r="C677" t="str">
            <v>PLA-239</v>
          </cell>
          <cell r="D677" t="str">
            <v>MARITIME</v>
          </cell>
          <cell r="E677" t="str">
            <v>KPALIME</v>
          </cell>
          <cell r="F677" t="str">
            <v>FH</v>
          </cell>
          <cell r="G677" t="str">
            <v>Grid-DG-Batt.</v>
          </cell>
          <cell r="H677" t="str">
            <v>OK</v>
          </cell>
          <cell r="I677" t="str">
            <v>NO</v>
          </cell>
          <cell r="J677" t="str">
            <v>NO</v>
          </cell>
          <cell r="K677" t="str">
            <v>SILVER</v>
          </cell>
          <cell r="L677" t="str">
            <v>RURAL</v>
          </cell>
          <cell r="M677">
            <v>0</v>
          </cell>
          <cell r="N677" t="str">
            <v>KPALIME</v>
          </cell>
        </row>
        <row r="678">
          <cell r="A678" t="str">
            <v>KPALOU</v>
          </cell>
          <cell r="B678">
            <v>43791</v>
          </cell>
          <cell r="C678" t="str">
            <v>KAR-103</v>
          </cell>
          <cell r="D678" t="str">
            <v>KARA</v>
          </cell>
          <cell r="E678" t="str">
            <v>KABOU</v>
          </cell>
          <cell r="F678" t="str">
            <v>FH</v>
          </cell>
          <cell r="G678" t="str">
            <v>DG-Solar-Batt.</v>
          </cell>
          <cell r="H678" t="str">
            <v>OK</v>
          </cell>
          <cell r="I678" t="str">
            <v>NO</v>
          </cell>
          <cell r="J678" t="str">
            <v>NO</v>
          </cell>
          <cell r="K678" t="str">
            <v>BRONZE</v>
          </cell>
          <cell r="L678" t="str">
            <v>rural</v>
          </cell>
          <cell r="M678" t="str">
            <v>70996940</v>
          </cell>
          <cell r="N678" t="str">
            <v>KABOU</v>
          </cell>
        </row>
        <row r="679">
          <cell r="A679" t="str">
            <v>KPANDJOARE</v>
          </cell>
          <cell r="B679">
            <v>44636</v>
          </cell>
          <cell r="C679" t="str">
            <v>SAV-091</v>
          </cell>
          <cell r="D679" t="str">
            <v>SAVANES</v>
          </cell>
          <cell r="E679" t="str">
            <v>DAPAONG 1</v>
          </cell>
          <cell r="F679" t="str">
            <v>FH</v>
          </cell>
          <cell r="G679" t="str">
            <v>Grid-DG-Batt.</v>
          </cell>
          <cell r="H679" t="str">
            <v>OK</v>
          </cell>
          <cell r="I679" t="str">
            <v>NO</v>
          </cell>
          <cell r="J679" t="str">
            <v>YES</v>
          </cell>
          <cell r="K679" t="str">
            <v>BRONZE</v>
          </cell>
          <cell r="L679" t="str">
            <v>rural</v>
          </cell>
          <cell r="M679" t="str">
            <v>70996413</v>
          </cell>
          <cell r="N679" t="str">
            <v>DAPAONG</v>
          </cell>
        </row>
        <row r="680">
          <cell r="A680" t="str">
            <v>KPANGALAM</v>
          </cell>
          <cell r="B680"/>
          <cell r="C680" t="str">
            <v>CEN-005</v>
          </cell>
          <cell r="D680" t="str">
            <v>CENTRALE</v>
          </cell>
          <cell r="E680" t="str">
            <v>SOKODE</v>
          </cell>
          <cell r="F680" t="str">
            <v>FO</v>
          </cell>
          <cell r="G680" t="str">
            <v>Grid-DG-Batt.</v>
          </cell>
          <cell r="H680" t="str">
            <v>OK</v>
          </cell>
          <cell r="I680" t="str">
            <v>NO</v>
          </cell>
          <cell r="J680" t="str">
            <v>NO</v>
          </cell>
          <cell r="K680" t="str">
            <v>SILVER</v>
          </cell>
          <cell r="L680" t="str">
            <v>Urbain</v>
          </cell>
          <cell r="M680" t="str">
            <v>70996941</v>
          </cell>
          <cell r="N680" t="str">
            <v>SOKODE</v>
          </cell>
        </row>
        <row r="681">
          <cell r="A681" t="str">
            <v>KPARATAO</v>
          </cell>
          <cell r="B681"/>
          <cell r="C681" t="str">
            <v>CEN-019</v>
          </cell>
          <cell r="D681" t="str">
            <v>CENTRALE</v>
          </cell>
          <cell r="E681" t="str">
            <v>SOKODE</v>
          </cell>
          <cell r="F681" t="str">
            <v>FH</v>
          </cell>
          <cell r="G681" t="str">
            <v>Grid-DG-Batt.</v>
          </cell>
          <cell r="H681" t="str">
            <v>OK</v>
          </cell>
          <cell r="I681" t="str">
            <v>NO</v>
          </cell>
          <cell r="J681" t="str">
            <v>NO</v>
          </cell>
          <cell r="K681" t="str">
            <v>SILVER</v>
          </cell>
          <cell r="L681" t="str">
            <v>Urbain</v>
          </cell>
          <cell r="M681" t="str">
            <v>70996942</v>
          </cell>
          <cell r="N681" t="str">
            <v>SOKODE</v>
          </cell>
        </row>
        <row r="682">
          <cell r="A682" t="str">
            <v>KPASSOUADE</v>
          </cell>
          <cell r="B682"/>
          <cell r="C682" t="str">
            <v>CEN-020</v>
          </cell>
          <cell r="D682" t="str">
            <v>CENTRALE</v>
          </cell>
          <cell r="E682" t="str">
            <v>TCHAMBA</v>
          </cell>
          <cell r="F682" t="str">
            <v>FH</v>
          </cell>
          <cell r="G682" t="str">
            <v>Grid-DG-Batt.</v>
          </cell>
          <cell r="H682" t="str">
            <v>OK</v>
          </cell>
          <cell r="I682" t="str">
            <v>NO</v>
          </cell>
          <cell r="J682" t="str">
            <v>NO</v>
          </cell>
          <cell r="K682" t="str">
            <v>BRONZE</v>
          </cell>
          <cell r="L682" t="str">
            <v>rural</v>
          </cell>
          <cell r="M682" t="str">
            <v>70996943</v>
          </cell>
          <cell r="N682" t="str">
            <v>TCHAMBA</v>
          </cell>
        </row>
        <row r="683">
          <cell r="A683" t="str">
            <v>KPATEGAN</v>
          </cell>
          <cell r="B683">
            <v>43864</v>
          </cell>
          <cell r="C683" t="str">
            <v>PLA-126</v>
          </cell>
          <cell r="D683" t="str">
            <v>MARITIME</v>
          </cell>
          <cell r="E683" t="str">
            <v>KPALIME</v>
          </cell>
          <cell r="F683" t="str">
            <v>FH</v>
          </cell>
          <cell r="G683" t="str">
            <v>DG-Solar-Batt.</v>
          </cell>
          <cell r="H683" t="str">
            <v>OK</v>
          </cell>
          <cell r="I683" t="str">
            <v>NO</v>
          </cell>
          <cell r="J683" t="str">
            <v>NO</v>
          </cell>
          <cell r="K683" t="str">
            <v>BRONZE</v>
          </cell>
          <cell r="L683" t="str">
            <v>rural</v>
          </cell>
          <cell r="M683" t="str">
            <v>70996944</v>
          </cell>
          <cell r="N683" t="str">
            <v>KPALIME</v>
          </cell>
        </row>
        <row r="684">
          <cell r="A684" t="str">
            <v>KPAZA</v>
          </cell>
          <cell r="B684"/>
          <cell r="C684" t="str">
            <v>CEN-048</v>
          </cell>
          <cell r="D684" t="str">
            <v>CENTRALE</v>
          </cell>
          <cell r="E684" t="str">
            <v>SOKODE</v>
          </cell>
          <cell r="F684" t="str">
            <v>FH</v>
          </cell>
          <cell r="G684" t="str">
            <v>DG-Solar-Batt.</v>
          </cell>
          <cell r="H684" t="str">
            <v>OK</v>
          </cell>
          <cell r="I684" t="str">
            <v>NO</v>
          </cell>
          <cell r="J684" t="str">
            <v>YES</v>
          </cell>
          <cell r="K684" t="str">
            <v>BRONZE</v>
          </cell>
          <cell r="L684" t="str">
            <v>rural</v>
          </cell>
          <cell r="M684" t="str">
            <v>70996945</v>
          </cell>
          <cell r="N684" t="str">
            <v>SOKODE</v>
          </cell>
        </row>
        <row r="685">
          <cell r="A685" t="str">
            <v>KPEGNON</v>
          </cell>
          <cell r="B685">
            <v>43871</v>
          </cell>
          <cell r="C685" t="str">
            <v>PLA-131</v>
          </cell>
          <cell r="D685" t="str">
            <v>PLATEAUX</v>
          </cell>
          <cell r="E685" t="str">
            <v>NOTSE</v>
          </cell>
          <cell r="F685" t="str">
            <v>FH</v>
          </cell>
          <cell r="G685" t="str">
            <v>DG-Solar-Batt.</v>
          </cell>
          <cell r="H685" t="str">
            <v>NOK</v>
          </cell>
          <cell r="I685" t="str">
            <v>NO</v>
          </cell>
          <cell r="J685" t="str">
            <v>NO</v>
          </cell>
          <cell r="K685" t="str">
            <v>BRONZE</v>
          </cell>
          <cell r="L685" t="str">
            <v>rural</v>
          </cell>
          <cell r="M685" t="str">
            <v>70996946</v>
          </cell>
          <cell r="N685" t="str">
            <v>NOTSE</v>
          </cell>
        </row>
        <row r="686">
          <cell r="A686" t="str">
            <v>KPEKPETA</v>
          </cell>
          <cell r="B686">
            <v>44016</v>
          </cell>
          <cell r="C686" t="str">
            <v>PLA-171</v>
          </cell>
          <cell r="D686" t="str">
            <v>MARITIME</v>
          </cell>
          <cell r="E686" t="str">
            <v>KPALIME</v>
          </cell>
          <cell r="F686" t="str">
            <v>FH</v>
          </cell>
          <cell r="G686" t="str">
            <v>DG-Batt.</v>
          </cell>
          <cell r="H686" t="str">
            <v>OK</v>
          </cell>
          <cell r="I686" t="str">
            <v>NO</v>
          </cell>
          <cell r="J686" t="str">
            <v>NO</v>
          </cell>
          <cell r="K686" t="str">
            <v>BRONZE</v>
          </cell>
          <cell r="L686" t="str">
            <v>rural</v>
          </cell>
          <cell r="M686" t="str">
            <v>70996947</v>
          </cell>
          <cell r="N686" t="str">
            <v>KPALIME</v>
          </cell>
        </row>
        <row r="687">
          <cell r="A687" t="str">
            <v>KPEKPLEME</v>
          </cell>
          <cell r="B687">
            <v>43642</v>
          </cell>
          <cell r="C687" t="str">
            <v>PLA-136</v>
          </cell>
          <cell r="D687" t="str">
            <v>PLATEAUX</v>
          </cell>
          <cell r="E687" t="str">
            <v>NOTSE</v>
          </cell>
          <cell r="F687" t="str">
            <v>FH</v>
          </cell>
          <cell r="G687" t="str">
            <v>Grid-DG-Solar-Batt.</v>
          </cell>
          <cell r="H687" t="str">
            <v>OK</v>
          </cell>
          <cell r="I687" t="str">
            <v>NO</v>
          </cell>
          <cell r="J687" t="str">
            <v>NO</v>
          </cell>
          <cell r="K687" t="str">
            <v>SILVER</v>
          </cell>
          <cell r="L687" t="str">
            <v>rural</v>
          </cell>
          <cell r="M687" t="str">
            <v>70996948</v>
          </cell>
          <cell r="N687" t="str">
            <v>NOTSE</v>
          </cell>
        </row>
        <row r="688">
          <cell r="A688" t="str">
            <v>KPELE</v>
          </cell>
          <cell r="B688"/>
          <cell r="C688" t="str">
            <v>PLA-050</v>
          </cell>
          <cell r="D688" t="str">
            <v>PLATEAUX</v>
          </cell>
          <cell r="E688" t="str">
            <v>NOTSE</v>
          </cell>
          <cell r="F688" t="str">
            <v>FH</v>
          </cell>
          <cell r="G688" t="str">
            <v>Grid-DG-Batt.</v>
          </cell>
          <cell r="H688" t="str">
            <v>OK</v>
          </cell>
          <cell r="I688" t="str">
            <v>NO</v>
          </cell>
          <cell r="J688" t="str">
            <v>NO</v>
          </cell>
          <cell r="K688" t="str">
            <v>SILVER</v>
          </cell>
          <cell r="L688" t="str">
            <v>rural</v>
          </cell>
          <cell r="M688" t="str">
            <v>70996949</v>
          </cell>
          <cell r="N688" t="str">
            <v>NOTSE</v>
          </cell>
        </row>
        <row r="689">
          <cell r="A689" t="str">
            <v>KPELE-AGAVE</v>
          </cell>
          <cell r="B689"/>
          <cell r="C689" t="str">
            <v>PLA-070</v>
          </cell>
          <cell r="D689" t="str">
            <v>MARITIME</v>
          </cell>
          <cell r="E689" t="str">
            <v>KPALIME</v>
          </cell>
          <cell r="F689" t="str">
            <v>FH</v>
          </cell>
          <cell r="G689" t="str">
            <v>Grid-DG-Batt.</v>
          </cell>
          <cell r="H689" t="str">
            <v>OK</v>
          </cell>
          <cell r="I689" t="str">
            <v>NO</v>
          </cell>
          <cell r="J689" t="str">
            <v>NO</v>
          </cell>
          <cell r="K689" t="str">
            <v>BRONZE</v>
          </cell>
          <cell r="L689" t="str">
            <v>rural</v>
          </cell>
          <cell r="M689" t="str">
            <v>70996951</v>
          </cell>
          <cell r="N689" t="str">
            <v>KPALIME</v>
          </cell>
        </row>
        <row r="690">
          <cell r="A690" t="str">
            <v>KPELE-AGBANON</v>
          </cell>
          <cell r="B690">
            <v>44069</v>
          </cell>
          <cell r="C690" t="str">
            <v>PLA-186</v>
          </cell>
          <cell r="D690" t="str">
            <v>MARITIME</v>
          </cell>
          <cell r="E690" t="str">
            <v>KPALIME</v>
          </cell>
          <cell r="F690" t="str">
            <v>FH</v>
          </cell>
          <cell r="G690" t="str">
            <v>DG-Batt.</v>
          </cell>
          <cell r="H690" t="str">
            <v>OK</v>
          </cell>
          <cell r="I690" t="str">
            <v>YES</v>
          </cell>
          <cell r="J690" t="str">
            <v>NO</v>
          </cell>
          <cell r="K690" t="str">
            <v>BRONZE</v>
          </cell>
          <cell r="L690" t="str">
            <v>rural</v>
          </cell>
          <cell r="M690" t="str">
            <v>70996950</v>
          </cell>
          <cell r="N690" t="str">
            <v>KPALIME</v>
          </cell>
        </row>
        <row r="691">
          <cell r="A691" t="str">
            <v>KPELE-AKATA</v>
          </cell>
          <cell r="B691"/>
          <cell r="C691" t="str">
            <v>PLA-063</v>
          </cell>
          <cell r="D691" t="str">
            <v>MARITIME</v>
          </cell>
          <cell r="E691" t="str">
            <v>KPALIME</v>
          </cell>
          <cell r="F691" t="str">
            <v>FH</v>
          </cell>
          <cell r="G691" t="str">
            <v>Grid-DG-Batt.</v>
          </cell>
          <cell r="H691" t="str">
            <v>OK</v>
          </cell>
          <cell r="I691" t="str">
            <v>NO</v>
          </cell>
          <cell r="J691" t="str">
            <v>NO</v>
          </cell>
          <cell r="K691" t="str">
            <v>BRONZE</v>
          </cell>
          <cell r="L691" t="str">
            <v>rural</v>
          </cell>
          <cell r="M691" t="str">
            <v>70996952</v>
          </cell>
          <cell r="N691" t="str">
            <v>KPALIME</v>
          </cell>
        </row>
        <row r="692">
          <cell r="A692" t="str">
            <v>KPELE-ELE</v>
          </cell>
          <cell r="B692">
            <v>43650</v>
          </cell>
          <cell r="C692" t="str">
            <v>PLA-071</v>
          </cell>
          <cell r="D692" t="str">
            <v>MARITIME</v>
          </cell>
          <cell r="E692" t="str">
            <v>KPALIME</v>
          </cell>
          <cell r="F692" t="str">
            <v>FH</v>
          </cell>
          <cell r="G692" t="str">
            <v>Grid-DG-Batt.</v>
          </cell>
          <cell r="H692" t="str">
            <v>OK</v>
          </cell>
          <cell r="I692" t="str">
            <v>NO</v>
          </cell>
          <cell r="J692" t="str">
            <v>YES</v>
          </cell>
          <cell r="K692" t="str">
            <v>BRONZE</v>
          </cell>
          <cell r="L692" t="str">
            <v>rural</v>
          </cell>
          <cell r="M692" t="str">
            <v>70996953</v>
          </cell>
          <cell r="N692" t="str">
            <v>KPALIME</v>
          </cell>
        </row>
        <row r="693">
          <cell r="A693" t="str">
            <v>KPELE-GOUDEVE</v>
          </cell>
          <cell r="B693">
            <v>45075</v>
          </cell>
          <cell r="C693" t="str">
            <v>PLA-245</v>
          </cell>
          <cell r="D693" t="str">
            <v>MARITIME</v>
          </cell>
          <cell r="E693" t="str">
            <v>KPALIME</v>
          </cell>
          <cell r="F693" t="str">
            <v>FH</v>
          </cell>
          <cell r="G693" t="str">
            <v>Grid-DG-Batt.</v>
          </cell>
          <cell r="H693" t="str">
            <v>OK</v>
          </cell>
          <cell r="I693" t="str">
            <v>NO</v>
          </cell>
          <cell r="J693" t="str">
            <v>NO</v>
          </cell>
          <cell r="K693" t="str">
            <v>BRONZE</v>
          </cell>
          <cell r="L693" t="str">
            <v>rural</v>
          </cell>
          <cell r="M693">
            <v>0</v>
          </cell>
          <cell r="N693" t="str">
            <v>KPALIME</v>
          </cell>
        </row>
        <row r="694">
          <cell r="A694" t="str">
            <v>KPELOUWAYI</v>
          </cell>
          <cell r="B694">
            <v>43282</v>
          </cell>
          <cell r="C694" t="str">
            <v>KAR-017</v>
          </cell>
          <cell r="D694" t="str">
            <v>KARA</v>
          </cell>
          <cell r="E694" t="str">
            <v>KARA-OUEST</v>
          </cell>
          <cell r="F694" t="str">
            <v>FH</v>
          </cell>
          <cell r="G694" t="str">
            <v>Grid-DG-Batt.</v>
          </cell>
          <cell r="H694" t="str">
            <v>NOK</v>
          </cell>
          <cell r="I694" t="str">
            <v>NO</v>
          </cell>
          <cell r="J694" t="str">
            <v>NO</v>
          </cell>
          <cell r="K694" t="str">
            <v>GOLD</v>
          </cell>
          <cell r="L694" t="str">
            <v>SubUrbain</v>
          </cell>
          <cell r="M694" t="str">
            <v>70996954</v>
          </cell>
          <cell r="N694" t="str">
            <v>KARA OUEST</v>
          </cell>
        </row>
        <row r="695">
          <cell r="A695" t="str">
            <v>KPEME</v>
          </cell>
          <cell r="B695"/>
          <cell r="C695" t="str">
            <v>MAR-019</v>
          </cell>
          <cell r="D695" t="str">
            <v>MARITIME</v>
          </cell>
          <cell r="E695" t="str">
            <v>ANEHO</v>
          </cell>
          <cell r="F695" t="str">
            <v>FO</v>
          </cell>
          <cell r="G695" t="str">
            <v>Grid-DG-Batt.</v>
          </cell>
          <cell r="H695" t="str">
            <v>OK</v>
          </cell>
          <cell r="I695" t="str">
            <v>NO</v>
          </cell>
          <cell r="J695" t="str">
            <v>NO</v>
          </cell>
          <cell r="K695" t="str">
            <v>PLATINUM</v>
          </cell>
          <cell r="L695" t="str">
            <v>SubUrbain</v>
          </cell>
          <cell r="M695" t="str">
            <v>70996955</v>
          </cell>
          <cell r="N695" t="str">
            <v>ANEHO</v>
          </cell>
        </row>
        <row r="696">
          <cell r="A696" t="str">
            <v>KPESSI</v>
          </cell>
          <cell r="B696"/>
          <cell r="C696" t="str">
            <v>PLA-030</v>
          </cell>
          <cell r="D696" t="str">
            <v>CENTRALE</v>
          </cell>
          <cell r="E696" t="str">
            <v>BLITTA</v>
          </cell>
          <cell r="F696" t="str">
            <v>FH</v>
          </cell>
          <cell r="G696" t="str">
            <v>Grid-DG-Batt.</v>
          </cell>
          <cell r="H696" t="str">
            <v>OK</v>
          </cell>
          <cell r="I696" t="str">
            <v>NO</v>
          </cell>
          <cell r="J696" t="str">
            <v>NO</v>
          </cell>
          <cell r="K696" t="str">
            <v>BRONZE</v>
          </cell>
          <cell r="L696" t="str">
            <v>rural</v>
          </cell>
          <cell r="M696" t="str">
            <v>70996956</v>
          </cell>
          <cell r="N696" t="str">
            <v>ELAVAGNON</v>
          </cell>
        </row>
        <row r="697">
          <cell r="A697" t="str">
            <v>KPESSIDE</v>
          </cell>
          <cell r="B697" t="str">
            <v>NA</v>
          </cell>
          <cell r="C697" t="str">
            <v>KAR-049</v>
          </cell>
          <cell r="D697" t="str">
            <v>KARA</v>
          </cell>
          <cell r="E697" t="str">
            <v>KANTE</v>
          </cell>
          <cell r="F697" t="str">
            <v>FH</v>
          </cell>
          <cell r="G697" t="str">
            <v>DG-Solar-Batt.</v>
          </cell>
          <cell r="H697" t="str">
            <v>OK</v>
          </cell>
          <cell r="I697" t="str">
            <v>NO</v>
          </cell>
          <cell r="J697" t="str">
            <v>NO</v>
          </cell>
          <cell r="K697" t="str">
            <v>BRONZE</v>
          </cell>
          <cell r="L697" t="str">
            <v>rural</v>
          </cell>
          <cell r="M697" t="str">
            <v>70996957</v>
          </cell>
          <cell r="N697" t="str">
            <v>KANTE</v>
          </cell>
        </row>
        <row r="698">
          <cell r="A698" t="str">
            <v>KPESSI-MOOV</v>
          </cell>
          <cell r="B698">
            <v>44757</v>
          </cell>
          <cell r="C698" t="str">
            <v>LOM-343</v>
          </cell>
          <cell r="D698" t="str">
            <v>LOME</v>
          </cell>
          <cell r="E698" t="str">
            <v>LOME-EST</v>
          </cell>
          <cell r="F698" t="str">
            <v>FH</v>
          </cell>
          <cell r="G698" t="str">
            <v>Grid-DG-Batt.</v>
          </cell>
          <cell r="H698" t="str">
            <v>OK</v>
          </cell>
          <cell r="I698" t="str">
            <v>NO</v>
          </cell>
          <cell r="J698" t="str">
            <v>YES</v>
          </cell>
          <cell r="K698" t="str">
            <v>SILVER</v>
          </cell>
          <cell r="L698" t="str">
            <v>SubUrbain</v>
          </cell>
          <cell r="M698">
            <v>0</v>
          </cell>
          <cell r="N698" t="str">
            <v>LOME EST</v>
          </cell>
        </row>
        <row r="699">
          <cell r="A699" t="str">
            <v>KPETA</v>
          </cell>
          <cell r="B699" t="str">
            <v>25/06/2020</v>
          </cell>
          <cell r="C699" t="str">
            <v>PLA-183</v>
          </cell>
          <cell r="D699" t="str">
            <v>PLATEAUX</v>
          </cell>
          <cell r="E699" t="str">
            <v>NOTSE</v>
          </cell>
          <cell r="F699" t="str">
            <v>FH</v>
          </cell>
          <cell r="G699" t="str">
            <v>DG-Solar-Batt.</v>
          </cell>
          <cell r="H699" t="str">
            <v>OK</v>
          </cell>
          <cell r="I699" t="str">
            <v>NO</v>
          </cell>
          <cell r="J699" t="str">
            <v>YES</v>
          </cell>
          <cell r="K699" t="str">
            <v>BRONZE</v>
          </cell>
          <cell r="L699" t="str">
            <v>rural</v>
          </cell>
          <cell r="M699" t="str">
            <v>70996958</v>
          </cell>
          <cell r="N699" t="str">
            <v>NOTSE</v>
          </cell>
        </row>
        <row r="700">
          <cell r="A700" t="str">
            <v>KPETAB</v>
          </cell>
          <cell r="B700">
            <v>43942</v>
          </cell>
          <cell r="C700" t="str">
            <v>KAR-123</v>
          </cell>
          <cell r="D700" t="str">
            <v>KARA</v>
          </cell>
          <cell r="E700" t="str">
            <v>KABOU</v>
          </cell>
          <cell r="F700" t="str">
            <v>FH</v>
          </cell>
          <cell r="G700" t="str">
            <v>DG-Solar-Batt.</v>
          </cell>
          <cell r="H700" t="str">
            <v>OK</v>
          </cell>
          <cell r="I700" t="str">
            <v>NO</v>
          </cell>
          <cell r="J700" t="str">
            <v>YES</v>
          </cell>
          <cell r="K700" t="str">
            <v>BRONZE</v>
          </cell>
          <cell r="L700" t="str">
            <v>rural</v>
          </cell>
          <cell r="M700" t="str">
            <v>70996959</v>
          </cell>
          <cell r="N700" t="str">
            <v>KABOU</v>
          </cell>
        </row>
        <row r="701">
          <cell r="A701" t="str">
            <v>KPETCHIHOE</v>
          </cell>
          <cell r="B701">
            <v>43896</v>
          </cell>
          <cell r="C701" t="str">
            <v>PLA-155</v>
          </cell>
          <cell r="D701" t="str">
            <v>PLATEAUX</v>
          </cell>
          <cell r="E701" t="str">
            <v>NOTSE</v>
          </cell>
          <cell r="F701" t="str">
            <v>FH</v>
          </cell>
          <cell r="G701" t="str">
            <v>DG-Batt.</v>
          </cell>
          <cell r="H701" t="str">
            <v>OK</v>
          </cell>
          <cell r="I701" t="str">
            <v>NO</v>
          </cell>
          <cell r="J701" t="str">
            <v>NO</v>
          </cell>
          <cell r="K701" t="str">
            <v>BRONZE</v>
          </cell>
          <cell r="L701" t="str">
            <v>rural</v>
          </cell>
          <cell r="M701" t="str">
            <v>70996960</v>
          </cell>
          <cell r="N701" t="str">
            <v>NOTSE</v>
          </cell>
        </row>
        <row r="702">
          <cell r="A702" t="str">
            <v>KPETEBENE</v>
          </cell>
          <cell r="B702"/>
          <cell r="C702" t="str">
            <v>PLA-118</v>
          </cell>
          <cell r="D702" t="str">
            <v>PLATEAUX</v>
          </cell>
          <cell r="E702" t="str">
            <v>BADOU</v>
          </cell>
          <cell r="F702" t="str">
            <v>FH</v>
          </cell>
          <cell r="G702" t="str">
            <v>Grid-DG-Batt.</v>
          </cell>
          <cell r="H702" t="str">
            <v>OK</v>
          </cell>
          <cell r="I702" t="str">
            <v>NO</v>
          </cell>
          <cell r="J702" t="str">
            <v>YES</v>
          </cell>
          <cell r="K702" t="str">
            <v>BRONZE</v>
          </cell>
          <cell r="L702" t="str">
            <v>rural</v>
          </cell>
          <cell r="M702" t="str">
            <v>70996961</v>
          </cell>
          <cell r="N702" t="str">
            <v>BADOU</v>
          </cell>
        </row>
        <row r="703">
          <cell r="A703" t="str">
            <v>KPETSOU</v>
          </cell>
          <cell r="B703">
            <v>43937</v>
          </cell>
          <cell r="C703" t="str">
            <v>MAR-085</v>
          </cell>
          <cell r="D703" t="str">
            <v>MARITIME</v>
          </cell>
          <cell r="E703" t="str">
            <v>ANEHO</v>
          </cell>
          <cell r="F703" t="str">
            <v>FH</v>
          </cell>
          <cell r="G703" t="str">
            <v>DG-Solar-Batt.</v>
          </cell>
          <cell r="H703" t="str">
            <v>NOK</v>
          </cell>
          <cell r="I703" t="str">
            <v>NO</v>
          </cell>
          <cell r="J703" t="str">
            <v>YES</v>
          </cell>
          <cell r="K703" t="str">
            <v>BRONZE</v>
          </cell>
          <cell r="L703" t="str">
            <v>rural</v>
          </cell>
          <cell r="M703" t="str">
            <v>70996962</v>
          </cell>
          <cell r="N703" t="str">
            <v>ANEHO</v>
          </cell>
        </row>
        <row r="704">
          <cell r="A704" t="str">
            <v>KPEVE</v>
          </cell>
          <cell r="B704">
            <v>44847</v>
          </cell>
          <cell r="C704" t="str">
            <v>PLA-231</v>
          </cell>
          <cell r="D704" t="str">
            <v>MARITIME</v>
          </cell>
          <cell r="E704" t="str">
            <v>KPALIME</v>
          </cell>
          <cell r="F704" t="str">
            <v>FH</v>
          </cell>
          <cell r="G704" t="str">
            <v>DG-Solar-Batt.</v>
          </cell>
          <cell r="H704" t="str">
            <v>NOK</v>
          </cell>
          <cell r="I704" t="str">
            <v>NO</v>
          </cell>
          <cell r="J704" t="str">
            <v>YES</v>
          </cell>
          <cell r="K704" t="str">
            <v>BRONZE</v>
          </cell>
          <cell r="L704" t="str">
            <v>rural</v>
          </cell>
          <cell r="M704" t="str">
            <v>70996513</v>
          </cell>
          <cell r="N704" t="str">
            <v>KPALIME</v>
          </cell>
        </row>
        <row r="705">
          <cell r="A705" t="str">
            <v>KPEVEGO</v>
          </cell>
          <cell r="B705"/>
          <cell r="C705" t="str">
            <v>MAR-066</v>
          </cell>
          <cell r="D705" t="str">
            <v>MARITIME</v>
          </cell>
          <cell r="E705" t="str">
            <v>TSEVIE</v>
          </cell>
          <cell r="F705" t="str">
            <v>FH</v>
          </cell>
          <cell r="G705" t="str">
            <v>Grid-DG-Solar-Batt.</v>
          </cell>
          <cell r="H705" t="str">
            <v>OK</v>
          </cell>
          <cell r="I705" t="str">
            <v>NO</v>
          </cell>
          <cell r="J705" t="str">
            <v>NO</v>
          </cell>
          <cell r="K705" t="str">
            <v>BRONZE</v>
          </cell>
          <cell r="L705" t="str">
            <v>rural</v>
          </cell>
          <cell r="M705" t="str">
            <v>70996963</v>
          </cell>
          <cell r="N705" t="str">
            <v>TSEVIE</v>
          </cell>
        </row>
        <row r="706">
          <cell r="A706" t="str">
            <v>KPINDI</v>
          </cell>
          <cell r="B706">
            <v>43999</v>
          </cell>
          <cell r="C706" t="str">
            <v>KAR-126</v>
          </cell>
          <cell r="D706" t="str">
            <v>KARA</v>
          </cell>
          <cell r="E706" t="str">
            <v>KARA-OUEST</v>
          </cell>
          <cell r="F706" t="str">
            <v>FH</v>
          </cell>
          <cell r="G706" t="str">
            <v>DG-Solar-Batt.</v>
          </cell>
          <cell r="H706" t="str">
            <v>OK</v>
          </cell>
          <cell r="I706" t="str">
            <v>NO</v>
          </cell>
          <cell r="J706" t="str">
            <v>NO</v>
          </cell>
          <cell r="K706" t="str">
            <v>BRONZE</v>
          </cell>
          <cell r="L706" t="str">
            <v>rural</v>
          </cell>
          <cell r="M706" t="str">
            <v>70996964</v>
          </cell>
          <cell r="N706" t="str">
            <v>KARA OUEST</v>
          </cell>
        </row>
        <row r="707">
          <cell r="A707" t="str">
            <v>KPODJI</v>
          </cell>
          <cell r="B707">
            <v>45084</v>
          </cell>
          <cell r="C707" t="str">
            <v>LOM-344</v>
          </cell>
          <cell r="D707" t="str">
            <v>LOME</v>
          </cell>
          <cell r="E707" t="str">
            <v>LOME-OUEST 2</v>
          </cell>
          <cell r="F707" t="str">
            <v>FTTM</v>
          </cell>
          <cell r="G707" t="str">
            <v>Grid-DG-Batt.</v>
          </cell>
          <cell r="H707" t="str">
            <v>OK</v>
          </cell>
          <cell r="I707" t="str">
            <v>NO</v>
          </cell>
          <cell r="J707" t="str">
            <v>NO</v>
          </cell>
          <cell r="K707" t="str">
            <v>SILVER</v>
          </cell>
          <cell r="L707" t="str">
            <v>SubUrbain</v>
          </cell>
          <cell r="M707" t="str">
            <v>70996615</v>
          </cell>
          <cell r="N707" t="str">
            <v>LOME OUEST2</v>
          </cell>
        </row>
        <row r="708">
          <cell r="A708" t="str">
            <v>KPOGAN</v>
          </cell>
          <cell r="B708"/>
          <cell r="C708" t="str">
            <v>LOM-201</v>
          </cell>
          <cell r="D708" t="str">
            <v>LOME</v>
          </cell>
          <cell r="E708" t="str">
            <v>LOME-EST</v>
          </cell>
          <cell r="F708" t="str">
            <v>FH</v>
          </cell>
          <cell r="G708" t="str">
            <v>Grid-DG-Batt.</v>
          </cell>
          <cell r="H708" t="str">
            <v>OK</v>
          </cell>
          <cell r="I708" t="str">
            <v>NO</v>
          </cell>
          <cell r="J708" t="str">
            <v>NO</v>
          </cell>
          <cell r="K708" t="str">
            <v>SILVER</v>
          </cell>
          <cell r="L708" t="str">
            <v>Urbain</v>
          </cell>
          <cell r="M708" t="str">
            <v>70996965</v>
          </cell>
          <cell r="N708" t="str">
            <v>LOME EST</v>
          </cell>
        </row>
        <row r="709">
          <cell r="A709" t="str">
            <v>KPOGAN2</v>
          </cell>
          <cell r="B709">
            <v>43446</v>
          </cell>
          <cell r="C709" t="str">
            <v>LOM-231</v>
          </cell>
          <cell r="D709" t="str">
            <v>LOME</v>
          </cell>
          <cell r="E709" t="str">
            <v>LOME-EST</v>
          </cell>
          <cell r="F709" t="str">
            <v>FH</v>
          </cell>
          <cell r="G709" t="str">
            <v>Grid-Batt.</v>
          </cell>
          <cell r="H709" t="str">
            <v>N/A</v>
          </cell>
          <cell r="I709" t="str">
            <v>YES</v>
          </cell>
          <cell r="J709" t="str">
            <v>NO</v>
          </cell>
          <cell r="K709" t="str">
            <v>BRONZE</v>
          </cell>
          <cell r="L709" t="str">
            <v>Urbain</v>
          </cell>
          <cell r="M709">
            <v>0</v>
          </cell>
          <cell r="N709" t="str">
            <v>LOME EST</v>
          </cell>
        </row>
        <row r="710">
          <cell r="A710" t="str">
            <v>KPOME</v>
          </cell>
          <cell r="B710"/>
          <cell r="C710" t="str">
            <v>MAR-024</v>
          </cell>
          <cell r="D710" t="str">
            <v>MARITIME</v>
          </cell>
          <cell r="E710" t="str">
            <v>ANEHO</v>
          </cell>
          <cell r="F710" t="str">
            <v>FH</v>
          </cell>
          <cell r="G710" t="str">
            <v>Grid-DG-Batt.</v>
          </cell>
          <cell r="H710" t="str">
            <v>NOK</v>
          </cell>
          <cell r="I710" t="str">
            <v>NO</v>
          </cell>
          <cell r="J710" t="str">
            <v>NO</v>
          </cell>
          <cell r="K710" t="str">
            <v>BRONZE</v>
          </cell>
          <cell r="L710" t="str">
            <v>rural</v>
          </cell>
          <cell r="M710" t="str">
            <v>70996966</v>
          </cell>
          <cell r="N710" t="str">
            <v>ANEHO</v>
          </cell>
        </row>
        <row r="711">
          <cell r="A711" t="str">
            <v>KPOME2</v>
          </cell>
          <cell r="B711">
            <v>44721</v>
          </cell>
          <cell r="C711" t="str">
            <v>PLA-196</v>
          </cell>
          <cell r="D711" t="str">
            <v>PLATEAUX</v>
          </cell>
          <cell r="E711" t="str">
            <v>NOTSE</v>
          </cell>
          <cell r="F711" t="str">
            <v>FH</v>
          </cell>
          <cell r="G711" t="str">
            <v>DG-Solar-Batt.</v>
          </cell>
          <cell r="H711" t="str">
            <v>OK</v>
          </cell>
          <cell r="I711" t="str">
            <v>NO</v>
          </cell>
          <cell r="J711" t="str">
            <v>YES</v>
          </cell>
          <cell r="K711" t="str">
            <v>BRONZE</v>
          </cell>
          <cell r="L711" t="str">
            <v>rural</v>
          </cell>
          <cell r="M711" t="str">
            <v>70996481</v>
          </cell>
          <cell r="N711" t="str">
            <v>NOTSE</v>
          </cell>
        </row>
        <row r="712">
          <cell r="A712" t="str">
            <v>KPONOU</v>
          </cell>
          <cell r="B712"/>
          <cell r="C712" t="str">
            <v>LOM-189</v>
          </cell>
          <cell r="D712" t="str">
            <v>LOME</v>
          </cell>
          <cell r="E712" t="str">
            <v>LOME-EST</v>
          </cell>
          <cell r="F712" t="str">
            <v>FO</v>
          </cell>
          <cell r="G712" t="str">
            <v>Grid-DG-Batt.</v>
          </cell>
          <cell r="H712" t="str">
            <v>OK</v>
          </cell>
          <cell r="I712" t="str">
            <v>NO</v>
          </cell>
          <cell r="J712" t="str">
            <v>NO</v>
          </cell>
          <cell r="K712" t="str">
            <v>SILVER</v>
          </cell>
          <cell r="L712" t="str">
            <v>Urbain</v>
          </cell>
          <cell r="M712" t="str">
            <v>70996967</v>
          </cell>
          <cell r="N712" t="str">
            <v>LOME EST</v>
          </cell>
        </row>
        <row r="713">
          <cell r="A713" t="str">
            <v>KPOVE</v>
          </cell>
          <cell r="B713"/>
          <cell r="C713" t="str">
            <v>PLA-058</v>
          </cell>
          <cell r="D713" t="str">
            <v>PLATEAUX</v>
          </cell>
          <cell r="E713" t="str">
            <v>NOTSE</v>
          </cell>
          <cell r="F713" t="str">
            <v>FH</v>
          </cell>
          <cell r="G713" t="str">
            <v>DG-Solar-Batt.</v>
          </cell>
          <cell r="H713" t="str">
            <v>nok</v>
          </cell>
          <cell r="I713" t="str">
            <v>NO</v>
          </cell>
          <cell r="J713" t="str">
            <v>NO</v>
          </cell>
          <cell r="K713" t="str">
            <v>SILVER</v>
          </cell>
          <cell r="L713" t="str">
            <v>rural</v>
          </cell>
          <cell r="M713" t="str">
            <v>70996968</v>
          </cell>
          <cell r="N713" t="str">
            <v>NOTSE</v>
          </cell>
        </row>
        <row r="714">
          <cell r="A714" t="str">
            <v>KRIKRI</v>
          </cell>
          <cell r="B714"/>
          <cell r="C714" t="str">
            <v>CEN-053</v>
          </cell>
          <cell r="D714" t="str">
            <v>CENTRALE</v>
          </cell>
          <cell r="E714" t="str">
            <v>TCHAMBA</v>
          </cell>
          <cell r="F714" t="str">
            <v>FH</v>
          </cell>
          <cell r="G714" t="str">
            <v>Grid-DG-Batt.</v>
          </cell>
          <cell r="H714" t="str">
            <v>OK</v>
          </cell>
          <cell r="I714" t="str">
            <v>NO</v>
          </cell>
          <cell r="J714" t="str">
            <v>NO</v>
          </cell>
          <cell r="K714" t="str">
            <v>BRONZE</v>
          </cell>
          <cell r="L714" t="str">
            <v>rural</v>
          </cell>
          <cell r="M714" t="str">
            <v>70996969</v>
          </cell>
          <cell r="N714" t="str">
            <v>TCHAMBA</v>
          </cell>
        </row>
        <row r="715">
          <cell r="A715" t="str">
            <v>LABARKOUTA</v>
          </cell>
          <cell r="B715">
            <v>43897</v>
          </cell>
          <cell r="C715" t="str">
            <v>KAR-116</v>
          </cell>
          <cell r="D715" t="str">
            <v>KARA</v>
          </cell>
          <cell r="E715" t="str">
            <v>KANTE</v>
          </cell>
          <cell r="F715" t="str">
            <v>FH</v>
          </cell>
          <cell r="G715" t="str">
            <v>DG-Solar-Batt.</v>
          </cell>
          <cell r="H715" t="str">
            <v>OK</v>
          </cell>
          <cell r="I715" t="str">
            <v>NO</v>
          </cell>
          <cell r="J715" t="str">
            <v>NO</v>
          </cell>
          <cell r="K715" t="str">
            <v>BRONZE</v>
          </cell>
          <cell r="L715" t="str">
            <v>rural</v>
          </cell>
          <cell r="M715" t="str">
            <v>70996970</v>
          </cell>
          <cell r="N715" t="str">
            <v>KANTE</v>
          </cell>
        </row>
        <row r="716">
          <cell r="A716" t="str">
            <v>LAKIYEKOU</v>
          </cell>
          <cell r="B716">
            <v>43901</v>
          </cell>
          <cell r="C716" t="str">
            <v>PLA-160</v>
          </cell>
          <cell r="D716" t="str">
            <v>PLATEAUX</v>
          </cell>
          <cell r="E716" t="str">
            <v>ATAKPAME-EST</v>
          </cell>
          <cell r="F716" t="str">
            <v>FH</v>
          </cell>
          <cell r="G716" t="str">
            <v>DG-Solar-Batt.</v>
          </cell>
          <cell r="H716" t="str">
            <v>OK</v>
          </cell>
          <cell r="I716" t="str">
            <v>NO</v>
          </cell>
          <cell r="J716" t="str">
            <v>YES</v>
          </cell>
          <cell r="K716" t="str">
            <v>BRONZE</v>
          </cell>
          <cell r="L716" t="str">
            <v>rural</v>
          </cell>
          <cell r="M716" t="str">
            <v>70996971</v>
          </cell>
          <cell r="N716" t="str">
            <v>ELAVAGNON</v>
          </cell>
        </row>
        <row r="717">
          <cell r="A717" t="str">
            <v>LAMA</v>
          </cell>
          <cell r="B717"/>
          <cell r="C717" t="str">
            <v>KAR-004</v>
          </cell>
          <cell r="D717" t="str">
            <v>KARA</v>
          </cell>
          <cell r="E717" t="str">
            <v>KARA-EST</v>
          </cell>
          <cell r="F717" t="str">
            <v>FO</v>
          </cell>
          <cell r="G717" t="str">
            <v>Grid-DG-Batt.</v>
          </cell>
          <cell r="H717" t="str">
            <v>NOK</v>
          </cell>
          <cell r="I717" t="str">
            <v>NO</v>
          </cell>
          <cell r="J717" t="str">
            <v>NO</v>
          </cell>
          <cell r="K717" t="str">
            <v>SILVER</v>
          </cell>
          <cell r="L717" t="str">
            <v>SubUrbain</v>
          </cell>
          <cell r="M717">
            <v>0</v>
          </cell>
          <cell r="N717" t="str">
            <v>KARA EST</v>
          </cell>
        </row>
        <row r="718">
          <cell r="A718" t="str">
            <v>LAMA-MOOV</v>
          </cell>
          <cell r="B718"/>
          <cell r="C718" t="str">
            <v>KAR-005</v>
          </cell>
          <cell r="D718" t="str">
            <v>KARA</v>
          </cell>
          <cell r="E718" t="str">
            <v>KARA-EST</v>
          </cell>
          <cell r="F718" t="str">
            <v>FO</v>
          </cell>
          <cell r="G718" t="str">
            <v>Grid-DG-Batt.</v>
          </cell>
          <cell r="H718" t="str">
            <v>OK</v>
          </cell>
          <cell r="I718" t="str">
            <v>NO</v>
          </cell>
          <cell r="J718" t="str">
            <v>NO</v>
          </cell>
          <cell r="K718" t="str">
            <v>SILVER</v>
          </cell>
          <cell r="L718" t="str">
            <v>SubUrbain</v>
          </cell>
          <cell r="M718">
            <v>70996973</v>
          </cell>
          <cell r="N718" t="str">
            <v>KARA EST</v>
          </cell>
        </row>
        <row r="719">
          <cell r="A719" t="str">
            <v>LAMATESSI</v>
          </cell>
          <cell r="B719"/>
          <cell r="C719" t="str">
            <v>CEN-041</v>
          </cell>
          <cell r="D719" t="str">
            <v>CENTRALE</v>
          </cell>
          <cell r="E719" t="str">
            <v>SOKODE</v>
          </cell>
          <cell r="F719" t="str">
            <v>FO</v>
          </cell>
          <cell r="G719" t="str">
            <v>Grid-DG-Batt.</v>
          </cell>
          <cell r="H719" t="str">
            <v>OK</v>
          </cell>
          <cell r="I719" t="str">
            <v>NO</v>
          </cell>
          <cell r="J719" t="str">
            <v>NO</v>
          </cell>
          <cell r="K719" t="str">
            <v>GOLD</v>
          </cell>
          <cell r="L719" t="str">
            <v>rural</v>
          </cell>
          <cell r="M719" t="str">
            <v>70996974</v>
          </cell>
          <cell r="N719" t="str">
            <v>SOKODE</v>
          </cell>
        </row>
        <row r="720">
          <cell r="A720" t="str">
            <v>LAMBOUNDI</v>
          </cell>
          <cell r="B720">
            <v>43889</v>
          </cell>
          <cell r="C720" t="str">
            <v>SAV-077</v>
          </cell>
          <cell r="D720" t="str">
            <v>SAVANES</v>
          </cell>
          <cell r="E720" t="str">
            <v>DAPAONG 1</v>
          </cell>
          <cell r="F720" t="str">
            <v>FH</v>
          </cell>
          <cell r="G720" t="str">
            <v>DG-Solar-Batt.</v>
          </cell>
          <cell r="H720" t="str">
            <v>NOK</v>
          </cell>
          <cell r="I720" t="str">
            <v>NO</v>
          </cell>
          <cell r="J720" t="str">
            <v>YES</v>
          </cell>
          <cell r="K720" t="str">
            <v>BRONZE</v>
          </cell>
          <cell r="L720" t="str">
            <v>rural</v>
          </cell>
          <cell r="M720" t="str">
            <v>70996975</v>
          </cell>
          <cell r="N720" t="str">
            <v>DAPAONG</v>
          </cell>
        </row>
        <row r="721">
          <cell r="A721" t="str">
            <v>LANDA</v>
          </cell>
          <cell r="B721"/>
          <cell r="C721" t="str">
            <v>KAR-037</v>
          </cell>
          <cell r="D721" t="str">
            <v>KARA</v>
          </cell>
          <cell r="E721" t="str">
            <v>KARA-OUEST</v>
          </cell>
          <cell r="F721" t="str">
            <v>FH</v>
          </cell>
          <cell r="G721" t="str">
            <v>DG-Solar-Batt.</v>
          </cell>
          <cell r="H721" t="str">
            <v>OK</v>
          </cell>
          <cell r="I721" t="str">
            <v>NO</v>
          </cell>
          <cell r="J721" t="str">
            <v>NO</v>
          </cell>
          <cell r="K721" t="str">
            <v>BRONZE</v>
          </cell>
          <cell r="L721" t="str">
            <v>rural</v>
          </cell>
          <cell r="M721" t="str">
            <v>70996976</v>
          </cell>
          <cell r="N721" t="str">
            <v>KARA OUEST</v>
          </cell>
        </row>
        <row r="722">
          <cell r="A722" t="str">
            <v>LANGABOU</v>
          </cell>
          <cell r="B722"/>
          <cell r="C722" t="str">
            <v>CEN-062</v>
          </cell>
          <cell r="D722" t="str">
            <v>CENTRALE</v>
          </cell>
          <cell r="E722" t="str">
            <v>BLITTA</v>
          </cell>
          <cell r="F722" t="str">
            <v>FO</v>
          </cell>
          <cell r="G722" t="str">
            <v>DG-Solar-Batt.</v>
          </cell>
          <cell r="H722" t="str">
            <v>OK</v>
          </cell>
          <cell r="I722" t="str">
            <v>NO</v>
          </cell>
          <cell r="J722" t="str">
            <v>YES</v>
          </cell>
          <cell r="K722" t="str">
            <v>SILVER</v>
          </cell>
          <cell r="L722" t="str">
            <v>rural</v>
          </cell>
          <cell r="M722" t="str">
            <v>70996977</v>
          </cell>
          <cell r="N722" t="str">
            <v>BLITTA</v>
          </cell>
        </row>
        <row r="723">
          <cell r="A723" t="str">
            <v>LANKOUVI</v>
          </cell>
          <cell r="B723">
            <v>44063</v>
          </cell>
          <cell r="C723" t="str">
            <v>LOM-249</v>
          </cell>
          <cell r="D723" t="str">
            <v>LOME</v>
          </cell>
          <cell r="E723" t="str">
            <v>LOME-OUEST 2</v>
          </cell>
          <cell r="F723" t="str">
            <v>FH</v>
          </cell>
          <cell r="G723" t="str">
            <v>Grid-DG-Batt.</v>
          </cell>
          <cell r="H723" t="str">
            <v>OK</v>
          </cell>
          <cell r="I723" t="str">
            <v>NO</v>
          </cell>
          <cell r="J723" t="str">
            <v>NO</v>
          </cell>
          <cell r="K723" t="str">
            <v>GOLD</v>
          </cell>
          <cell r="L723" t="str">
            <v>SubUrbain</v>
          </cell>
          <cell r="M723" t="str">
            <v>70996978</v>
          </cell>
          <cell r="N723" t="str">
            <v>LOME OUEST2</v>
          </cell>
        </row>
        <row r="724">
          <cell r="A724" t="str">
            <v>LANKOUVI2</v>
          </cell>
          <cell r="B724">
            <v>44733</v>
          </cell>
          <cell r="C724" t="str">
            <v>LOM-311</v>
          </cell>
          <cell r="D724" t="str">
            <v>LOME</v>
          </cell>
          <cell r="E724" t="str">
            <v>LOME-OUEST1</v>
          </cell>
          <cell r="F724" t="str">
            <v>FH</v>
          </cell>
          <cell r="G724" t="str">
            <v>Grid-DG-Batt.</v>
          </cell>
          <cell r="H724" t="str">
            <v>OK</v>
          </cell>
          <cell r="I724" t="str">
            <v>NO</v>
          </cell>
          <cell r="J724" t="str">
            <v>YES</v>
          </cell>
          <cell r="K724" t="str">
            <v>SILVER</v>
          </cell>
          <cell r="L724" t="str">
            <v>SubUrbain</v>
          </cell>
          <cell r="M724" t="e">
            <v>#N/A</v>
          </cell>
          <cell r="N724" t="str">
            <v>LOME OUEST2</v>
          </cell>
        </row>
        <row r="725">
          <cell r="A725" t="str">
            <v>LANKUI-MOOV</v>
          </cell>
          <cell r="B725">
            <v>43897</v>
          </cell>
          <cell r="C725" t="str">
            <v>PLA-156</v>
          </cell>
          <cell r="D725" t="str">
            <v>MARITIME</v>
          </cell>
          <cell r="E725" t="str">
            <v>KPALIME</v>
          </cell>
          <cell r="F725" t="str">
            <v>FH</v>
          </cell>
          <cell r="G725" t="str">
            <v>DG-Solar-Batt.</v>
          </cell>
          <cell r="H725" t="str">
            <v>OK</v>
          </cell>
          <cell r="I725" t="str">
            <v>NO</v>
          </cell>
          <cell r="J725" t="str">
            <v>NO</v>
          </cell>
          <cell r="K725" t="str">
            <v>BRONZE</v>
          </cell>
          <cell r="L725" t="str">
            <v>rural</v>
          </cell>
          <cell r="M725">
            <v>0</v>
          </cell>
          <cell r="N725" t="str">
            <v>KPALIME</v>
          </cell>
        </row>
        <row r="726">
          <cell r="A726" t="str">
            <v>LAPAIX</v>
          </cell>
          <cell r="B726">
            <v>43931</v>
          </cell>
          <cell r="C726" t="str">
            <v>LOM-244</v>
          </cell>
          <cell r="D726" t="str">
            <v>LOME</v>
          </cell>
          <cell r="E726" t="str">
            <v>LOME-SUD</v>
          </cell>
          <cell r="F726" t="str">
            <v>FH</v>
          </cell>
          <cell r="G726" t="str">
            <v>Grid-Batt.</v>
          </cell>
          <cell r="H726" t="str">
            <v>N/A</v>
          </cell>
          <cell r="I726" t="str">
            <v>YES</v>
          </cell>
          <cell r="J726" t="str">
            <v>NO</v>
          </cell>
          <cell r="K726" t="str">
            <v>GOLD</v>
          </cell>
          <cell r="L726" t="str">
            <v>Urbain</v>
          </cell>
          <cell r="M726" t="str">
            <v>70996979</v>
          </cell>
          <cell r="N726" t="str">
            <v>LOME SUD</v>
          </cell>
        </row>
        <row r="727">
          <cell r="A727" t="str">
            <v>LAPAMPA</v>
          </cell>
          <cell r="B727"/>
          <cell r="C727" t="str">
            <v>LOM-079</v>
          </cell>
          <cell r="D727" t="str">
            <v>LOME</v>
          </cell>
          <cell r="E727" t="str">
            <v>LOME-OUEST 2</v>
          </cell>
          <cell r="F727" t="str">
            <v>FO</v>
          </cell>
          <cell r="G727" t="str">
            <v>Grid-DG-Batt.</v>
          </cell>
          <cell r="H727" t="str">
            <v>OK</v>
          </cell>
          <cell r="I727" t="str">
            <v>YES</v>
          </cell>
          <cell r="J727" t="str">
            <v>NO</v>
          </cell>
          <cell r="K727" t="str">
            <v>GOLD</v>
          </cell>
          <cell r="L727" t="str">
            <v>Urbain</v>
          </cell>
          <cell r="M727" t="str">
            <v>70996980</v>
          </cell>
          <cell r="N727" t="str">
            <v>LOME OUEST2</v>
          </cell>
        </row>
        <row r="728">
          <cell r="A728" t="str">
            <v>LAPOSTE</v>
          </cell>
          <cell r="B728"/>
          <cell r="C728" t="str">
            <v>CEN-012</v>
          </cell>
          <cell r="D728" t="str">
            <v>CENTRALE</v>
          </cell>
          <cell r="E728" t="str">
            <v>SOKODE</v>
          </cell>
          <cell r="F728" t="str">
            <v>FO</v>
          </cell>
          <cell r="G728" t="str">
            <v>Grid-DG-Batt.</v>
          </cell>
          <cell r="H728" t="str">
            <v>OK</v>
          </cell>
          <cell r="I728" t="str">
            <v>NO</v>
          </cell>
          <cell r="J728" t="str">
            <v>NO</v>
          </cell>
          <cell r="K728" t="str">
            <v>GOLD</v>
          </cell>
          <cell r="L728" t="str">
            <v>Urbain</v>
          </cell>
          <cell r="M728">
            <v>0</v>
          </cell>
          <cell r="N728" t="str">
            <v>SOKODE</v>
          </cell>
        </row>
        <row r="729">
          <cell r="A729" t="str">
            <v>LAREME</v>
          </cell>
          <cell r="B729"/>
          <cell r="C729" t="str">
            <v>CEN-021</v>
          </cell>
          <cell r="D729" t="str">
            <v>CENTRALE</v>
          </cell>
          <cell r="E729" t="str">
            <v>TCHAMBA</v>
          </cell>
          <cell r="F729" t="str">
            <v>FH</v>
          </cell>
          <cell r="G729" t="str">
            <v>Grid-DG-Solar-Batt.</v>
          </cell>
          <cell r="H729" t="str">
            <v>OK</v>
          </cell>
          <cell r="I729" t="str">
            <v>NO</v>
          </cell>
          <cell r="J729" t="str">
            <v>NO</v>
          </cell>
          <cell r="K729" t="str">
            <v>SILVER</v>
          </cell>
          <cell r="L729" t="str">
            <v>Urbain</v>
          </cell>
          <cell r="M729">
            <v>0</v>
          </cell>
          <cell r="N729" t="str">
            <v>TCHAMBA</v>
          </cell>
        </row>
        <row r="730">
          <cell r="A730" t="str">
            <v>LAROCHE</v>
          </cell>
          <cell r="B730"/>
          <cell r="C730" t="str">
            <v>LOM-166</v>
          </cell>
          <cell r="D730" t="str">
            <v>LOME</v>
          </cell>
          <cell r="E730" t="str">
            <v>LOME-SUD</v>
          </cell>
          <cell r="F730" t="str">
            <v>FH</v>
          </cell>
          <cell r="G730" t="str">
            <v>Grid-Batt.</v>
          </cell>
          <cell r="H730" t="str">
            <v>N/A</v>
          </cell>
          <cell r="I730" t="str">
            <v>YES</v>
          </cell>
          <cell r="J730" t="str">
            <v>NO</v>
          </cell>
          <cell r="K730" t="str">
            <v>SILVER</v>
          </cell>
          <cell r="L730" t="str">
            <v>Urbain</v>
          </cell>
          <cell r="M730">
            <v>0</v>
          </cell>
          <cell r="N730" t="str">
            <v>LOME SUD</v>
          </cell>
        </row>
        <row r="731">
          <cell r="A731" t="str">
            <v>LASSA</v>
          </cell>
          <cell r="B731" t="str">
            <v>NA</v>
          </cell>
          <cell r="C731" t="str">
            <v>KAR-006</v>
          </cell>
          <cell r="D731" t="str">
            <v>KARA</v>
          </cell>
          <cell r="E731" t="str">
            <v>KARA-EST</v>
          </cell>
          <cell r="F731" t="str">
            <v>FH</v>
          </cell>
          <cell r="G731" t="str">
            <v>Grid-DG-Batt.</v>
          </cell>
          <cell r="H731" t="str">
            <v>NOK</v>
          </cell>
          <cell r="I731" t="str">
            <v>NO</v>
          </cell>
          <cell r="J731" t="str">
            <v>NO</v>
          </cell>
          <cell r="K731" t="str">
            <v>BRONZE</v>
          </cell>
          <cell r="L731" t="str">
            <v>Urbain</v>
          </cell>
          <cell r="M731" t="str">
            <v>70996981</v>
          </cell>
          <cell r="N731" t="str">
            <v>KARA EST</v>
          </cell>
        </row>
        <row r="732">
          <cell r="A732" t="str">
            <v>LAVIE</v>
          </cell>
          <cell r="B732"/>
          <cell r="C732" t="str">
            <v>PLA-044</v>
          </cell>
          <cell r="D732" t="str">
            <v>MARITIME</v>
          </cell>
          <cell r="E732" t="str">
            <v>KPALIME</v>
          </cell>
          <cell r="F732" t="str">
            <v>FH</v>
          </cell>
          <cell r="G732" t="str">
            <v>Grid-DG-Solar-Batt.</v>
          </cell>
          <cell r="H732" t="str">
            <v>OK</v>
          </cell>
          <cell r="I732" t="str">
            <v>NO</v>
          </cell>
          <cell r="J732" t="str">
            <v>NO</v>
          </cell>
          <cell r="K732" t="str">
            <v>SILVER</v>
          </cell>
          <cell r="L732" t="str">
            <v>rural</v>
          </cell>
          <cell r="M732" t="str">
            <v>70996982</v>
          </cell>
          <cell r="N732" t="str">
            <v>KPALIME</v>
          </cell>
        </row>
        <row r="733">
          <cell r="A733" t="str">
            <v>LEADERPRICE</v>
          </cell>
          <cell r="B733"/>
          <cell r="C733" t="str">
            <v>LOM-014</v>
          </cell>
          <cell r="D733" t="str">
            <v>LOME</v>
          </cell>
          <cell r="E733" t="str">
            <v>LOME-NORD</v>
          </cell>
          <cell r="F733" t="str">
            <v>FO</v>
          </cell>
          <cell r="G733" t="str">
            <v>Grid-DG-Batt.</v>
          </cell>
          <cell r="H733" t="str">
            <v>NOK</v>
          </cell>
          <cell r="I733" t="str">
            <v>YES</v>
          </cell>
          <cell r="J733" t="str">
            <v>NO</v>
          </cell>
          <cell r="K733" t="str">
            <v>GOLD</v>
          </cell>
          <cell r="L733" t="str">
            <v>Urbain</v>
          </cell>
          <cell r="M733" t="str">
            <v>70996983</v>
          </cell>
          <cell r="N733" t="str">
            <v>LOME NORD</v>
          </cell>
        </row>
        <row r="734">
          <cell r="A734" t="str">
            <v>LEBE</v>
          </cell>
          <cell r="B734">
            <v>45080</v>
          </cell>
          <cell r="C734" t="str">
            <v>LOM-346</v>
          </cell>
          <cell r="D734" t="str">
            <v>MARITIME</v>
          </cell>
          <cell r="E734" t="str">
            <v>ANEHO</v>
          </cell>
          <cell r="F734" t="str">
            <v>FH</v>
          </cell>
          <cell r="G734" t="str">
            <v>Grid-DG-Batt.</v>
          </cell>
          <cell r="H734" t="str">
            <v>OK</v>
          </cell>
          <cell r="I734" t="str">
            <v>NO</v>
          </cell>
          <cell r="J734" t="str">
            <v>NO</v>
          </cell>
          <cell r="K734" t="str">
            <v>BRONZE</v>
          </cell>
          <cell r="L734" t="str">
            <v>SubUrbain</v>
          </cell>
          <cell r="M734">
            <v>70997353</v>
          </cell>
          <cell r="N734" t="str">
            <v>ANEHO</v>
          </cell>
        </row>
        <row r="735">
          <cell r="A735" t="str">
            <v>LEDIYO</v>
          </cell>
          <cell r="B735">
            <v>43913</v>
          </cell>
          <cell r="C735" t="str">
            <v>CEN-089</v>
          </cell>
          <cell r="D735" t="str">
            <v>CENTRALE</v>
          </cell>
          <cell r="E735" t="str">
            <v>SOKODE</v>
          </cell>
          <cell r="F735" t="str">
            <v>FH</v>
          </cell>
          <cell r="G735" t="str">
            <v>DG-Solar-Batt.</v>
          </cell>
          <cell r="H735" t="str">
            <v>OK</v>
          </cell>
          <cell r="I735" t="str">
            <v>NO</v>
          </cell>
          <cell r="J735" t="str">
            <v>YES</v>
          </cell>
          <cell r="K735" t="str">
            <v>BRONZE</v>
          </cell>
          <cell r="L735" t="str">
            <v>rural</v>
          </cell>
          <cell r="M735" t="str">
            <v>70996984</v>
          </cell>
          <cell r="N735" t="str">
            <v>SOKODE</v>
          </cell>
        </row>
        <row r="736">
          <cell r="A736" t="str">
            <v>LEGBASSITO</v>
          </cell>
          <cell r="B736"/>
          <cell r="C736" t="str">
            <v>LOM-024</v>
          </cell>
          <cell r="D736" t="str">
            <v>LOME</v>
          </cell>
          <cell r="E736" t="str">
            <v>LOME-OUEST 1</v>
          </cell>
          <cell r="F736" t="str">
            <v>FO</v>
          </cell>
          <cell r="G736" t="str">
            <v>Grid-DG-Batt.</v>
          </cell>
          <cell r="H736" t="str">
            <v>OK</v>
          </cell>
          <cell r="I736" t="str">
            <v>YES</v>
          </cell>
          <cell r="J736" t="str">
            <v>NO</v>
          </cell>
          <cell r="K736" t="str">
            <v>PLATINUM</v>
          </cell>
          <cell r="L736" t="str">
            <v>Urbain</v>
          </cell>
          <cell r="M736" t="str">
            <v>70996985</v>
          </cell>
          <cell r="N736" t="str">
            <v>LOME OUEST1</v>
          </cell>
        </row>
        <row r="737">
          <cell r="A737" t="str">
            <v>LEGBASSITO3</v>
          </cell>
          <cell r="B737">
            <v>43265</v>
          </cell>
          <cell r="C737" t="str">
            <v>LOM-215</v>
          </cell>
          <cell r="D737" t="str">
            <v>LOME</v>
          </cell>
          <cell r="E737" t="str">
            <v>LOME-OUEST 1</v>
          </cell>
          <cell r="F737" t="str">
            <v>FH</v>
          </cell>
          <cell r="G737" t="str">
            <v>Grid-DG-Batt.</v>
          </cell>
          <cell r="H737" t="str">
            <v>N/A</v>
          </cell>
          <cell r="I737" t="str">
            <v>NO</v>
          </cell>
          <cell r="J737" t="str">
            <v>NO</v>
          </cell>
          <cell r="K737" t="str">
            <v>GOLD</v>
          </cell>
          <cell r="L737" t="str">
            <v>Urbain</v>
          </cell>
          <cell r="M737">
            <v>0</v>
          </cell>
          <cell r="N737" t="str">
            <v>LOME OUEST1</v>
          </cell>
        </row>
        <row r="738">
          <cell r="A738" t="str">
            <v>LEGBASSOKPE-MOOV</v>
          </cell>
          <cell r="B738">
            <v>43074</v>
          </cell>
          <cell r="C738" t="str">
            <v>LOM-025</v>
          </cell>
          <cell r="D738" t="str">
            <v>LOME</v>
          </cell>
          <cell r="E738" t="str">
            <v>LOME-OUEST 1</v>
          </cell>
          <cell r="F738" t="str">
            <v>FH</v>
          </cell>
          <cell r="G738" t="str">
            <v>Grid-DG-Batt.</v>
          </cell>
          <cell r="H738" t="str">
            <v>OK</v>
          </cell>
          <cell r="I738" t="str">
            <v>NO</v>
          </cell>
          <cell r="J738" t="str">
            <v>NO</v>
          </cell>
          <cell r="K738" t="str">
            <v>SILVER</v>
          </cell>
          <cell r="L738" t="str">
            <v>Urbain</v>
          </cell>
          <cell r="M738">
            <v>0</v>
          </cell>
          <cell r="N738" t="str">
            <v>LOME OUEST1</v>
          </cell>
        </row>
        <row r="739">
          <cell r="A739" t="str">
            <v>LEO2000</v>
          </cell>
          <cell r="B739"/>
          <cell r="C739" t="str">
            <v>LOM-040</v>
          </cell>
          <cell r="D739" t="str">
            <v>LOME</v>
          </cell>
          <cell r="E739" t="str">
            <v>LOME-NORD</v>
          </cell>
          <cell r="F739" t="str">
            <v>FO</v>
          </cell>
          <cell r="G739" t="str">
            <v>Grid-DG-Batt.</v>
          </cell>
          <cell r="H739" t="str">
            <v>OK</v>
          </cell>
          <cell r="I739" t="str">
            <v>YES</v>
          </cell>
          <cell r="J739" t="str">
            <v>YES</v>
          </cell>
          <cell r="K739" t="str">
            <v>GOLD</v>
          </cell>
          <cell r="L739" t="str">
            <v>Urbain</v>
          </cell>
          <cell r="M739" t="str">
            <v>70996986</v>
          </cell>
          <cell r="N739" t="str">
            <v>LOME NORD</v>
          </cell>
        </row>
        <row r="740">
          <cell r="A740" t="str">
            <v>LETOGO</v>
          </cell>
          <cell r="B740">
            <v>45247</v>
          </cell>
          <cell r="C740" t="str">
            <v>LOM-382</v>
          </cell>
          <cell r="D740" t="str">
            <v>LOME</v>
          </cell>
          <cell r="E740" t="str">
            <v>LOME-SUD</v>
          </cell>
          <cell r="F740" t="str">
            <v>FTTM</v>
          </cell>
          <cell r="G740" t="str">
            <v>Grid-DG-Batt.</v>
          </cell>
          <cell r="H740" t="str">
            <v>OK</v>
          </cell>
          <cell r="I740" t="str">
            <v>NO</v>
          </cell>
          <cell r="J740" t="str">
            <v>NO</v>
          </cell>
          <cell r="K740" t="str">
            <v>GOLD</v>
          </cell>
          <cell r="L740" t="str">
            <v>URBAN</v>
          </cell>
          <cell r="M740">
            <v>0</v>
          </cell>
          <cell r="N740" t="str">
            <v>LOME SUD</v>
          </cell>
        </row>
        <row r="741">
          <cell r="A741" t="str">
            <v>LILIKOPE</v>
          </cell>
          <cell r="B741"/>
          <cell r="C741" t="str">
            <v>MAR-067</v>
          </cell>
          <cell r="D741" t="str">
            <v>MARITIME</v>
          </cell>
          <cell r="E741" t="str">
            <v>TSEVIE</v>
          </cell>
          <cell r="F741" t="str">
            <v>FH</v>
          </cell>
          <cell r="G741" t="str">
            <v>Grid-DG-Solar-Batt.</v>
          </cell>
          <cell r="H741" t="str">
            <v>OK</v>
          </cell>
          <cell r="I741" t="str">
            <v>NO</v>
          </cell>
          <cell r="J741" t="str">
            <v>YES</v>
          </cell>
          <cell r="K741" t="str">
            <v>BRONZE</v>
          </cell>
          <cell r="L741" t="str">
            <v>rural</v>
          </cell>
          <cell r="M741" t="str">
            <v>70996987</v>
          </cell>
          <cell r="N741" t="str">
            <v>TSEVIE</v>
          </cell>
        </row>
        <row r="742">
          <cell r="A742" t="str">
            <v>LOGOGOME</v>
          </cell>
          <cell r="B742">
            <v>43411</v>
          </cell>
          <cell r="C742" t="str">
            <v>LOM-222</v>
          </cell>
          <cell r="D742" t="str">
            <v>LOME</v>
          </cell>
          <cell r="E742" t="str">
            <v>LOME-OUEST 2</v>
          </cell>
          <cell r="F742" t="str">
            <v>FH</v>
          </cell>
          <cell r="G742" t="str">
            <v>Grid-DG-Batt.</v>
          </cell>
          <cell r="H742" t="str">
            <v>N/A</v>
          </cell>
          <cell r="I742" t="str">
            <v>YES</v>
          </cell>
          <cell r="J742" t="str">
            <v>NO</v>
          </cell>
          <cell r="K742" t="str">
            <v>SILVER</v>
          </cell>
          <cell r="L742" t="str">
            <v>Urbain</v>
          </cell>
          <cell r="M742">
            <v>0</v>
          </cell>
          <cell r="N742" t="str">
            <v>LOME OUEST2</v>
          </cell>
        </row>
        <row r="743">
          <cell r="A743" t="str">
            <v>LOGOPE</v>
          </cell>
          <cell r="B743"/>
          <cell r="C743" t="str">
            <v>LOM-048</v>
          </cell>
          <cell r="D743" t="str">
            <v>LOME</v>
          </cell>
          <cell r="E743" t="str">
            <v>LOME-OUEST 1</v>
          </cell>
          <cell r="F743" t="str">
            <v>FO</v>
          </cell>
          <cell r="G743" t="str">
            <v>Grid-DG-Batt.</v>
          </cell>
          <cell r="H743" t="str">
            <v>NOK</v>
          </cell>
          <cell r="I743" t="str">
            <v>NO</v>
          </cell>
          <cell r="J743" t="str">
            <v>NO</v>
          </cell>
          <cell r="K743" t="str">
            <v>GOLD</v>
          </cell>
          <cell r="L743" t="str">
            <v>Urbain</v>
          </cell>
          <cell r="M743" t="str">
            <v>70996988</v>
          </cell>
          <cell r="N743" t="str">
            <v>LOME OUEST1</v>
          </cell>
        </row>
        <row r="744">
          <cell r="A744" t="str">
            <v>LOGOPE2</v>
          </cell>
          <cell r="B744"/>
          <cell r="C744" t="str">
            <v>LOM-049</v>
          </cell>
          <cell r="D744" t="str">
            <v>LOME</v>
          </cell>
          <cell r="E744" t="str">
            <v>LOME-OUEST 1</v>
          </cell>
          <cell r="F744" t="str">
            <v>FH</v>
          </cell>
          <cell r="G744" t="str">
            <v>Grid-DG-Batt.</v>
          </cell>
          <cell r="H744" t="str">
            <v>OK</v>
          </cell>
          <cell r="I744" t="str">
            <v>NO</v>
          </cell>
          <cell r="J744" t="str">
            <v>NO</v>
          </cell>
          <cell r="K744" t="str">
            <v>GOLD</v>
          </cell>
          <cell r="L744" t="str">
            <v>Urbain</v>
          </cell>
          <cell r="M744" t="str">
            <v>70996989</v>
          </cell>
          <cell r="N744" t="str">
            <v>LOME OUEST1</v>
          </cell>
        </row>
        <row r="745">
          <cell r="A745" t="str">
            <v>LOGOTE-MOOV</v>
          </cell>
          <cell r="B745">
            <v>45179</v>
          </cell>
          <cell r="C745" t="str">
            <v>LOM-355</v>
          </cell>
          <cell r="D745" t="str">
            <v>LOME</v>
          </cell>
          <cell r="E745" t="str">
            <v>LOME-OUEST 2</v>
          </cell>
          <cell r="F745" t="str">
            <v>FTTM</v>
          </cell>
          <cell r="G745" t="str">
            <v>Grid-DG-Batt.</v>
          </cell>
          <cell r="H745" t="str">
            <v>OK</v>
          </cell>
          <cell r="I745" t="str">
            <v>NO</v>
          </cell>
          <cell r="J745" t="str">
            <v>NO</v>
          </cell>
          <cell r="K745" t="str">
            <v>SILVER</v>
          </cell>
          <cell r="L745" t="str">
            <v>URBAIN</v>
          </cell>
          <cell r="M745">
            <v>0</v>
          </cell>
          <cell r="N745" t="str">
            <v>LOME OUEST2</v>
          </cell>
        </row>
        <row r="746">
          <cell r="A746" t="str">
            <v>LOKPANO</v>
          </cell>
          <cell r="B746">
            <v>43721</v>
          </cell>
          <cell r="C746" t="str">
            <v>SAV-064</v>
          </cell>
          <cell r="D746" t="str">
            <v>SAVANES</v>
          </cell>
          <cell r="E746" t="str">
            <v>DAPAONG 1</v>
          </cell>
          <cell r="F746" t="str">
            <v>FH</v>
          </cell>
          <cell r="G746" t="str">
            <v>DG-Solar-Batt.</v>
          </cell>
          <cell r="H746" t="str">
            <v>OK</v>
          </cell>
          <cell r="I746" t="str">
            <v>NO</v>
          </cell>
          <cell r="J746" t="str">
            <v>NO</v>
          </cell>
          <cell r="K746" t="str">
            <v>BRONZE</v>
          </cell>
          <cell r="L746" t="str">
            <v>rural</v>
          </cell>
          <cell r="M746" t="str">
            <v>70996990</v>
          </cell>
          <cell r="N746" t="str">
            <v>DAPAONG</v>
          </cell>
        </row>
        <row r="747">
          <cell r="A747" t="str">
            <v>LOKPOLI</v>
          </cell>
          <cell r="B747">
            <v>44070</v>
          </cell>
          <cell r="C747" t="str">
            <v>PLA-188</v>
          </cell>
          <cell r="D747" t="str">
            <v>PLATEAUX</v>
          </cell>
          <cell r="E747" t="str">
            <v>ATAKPAME-OUEST</v>
          </cell>
          <cell r="F747" t="str">
            <v>FH</v>
          </cell>
          <cell r="G747" t="str">
            <v>DG-Solar-Batt.</v>
          </cell>
          <cell r="H747" t="str">
            <v>OK</v>
          </cell>
          <cell r="I747" t="str">
            <v>NO</v>
          </cell>
          <cell r="J747" t="str">
            <v>YES</v>
          </cell>
          <cell r="K747" t="str">
            <v>BRONZE</v>
          </cell>
          <cell r="L747" t="str">
            <v>rural</v>
          </cell>
          <cell r="M747" t="str">
            <v>70996991</v>
          </cell>
          <cell r="N747" t="str">
            <v>ATAKPAME</v>
          </cell>
        </row>
        <row r="748">
          <cell r="A748" t="str">
            <v>LOME2</v>
          </cell>
          <cell r="B748"/>
          <cell r="C748" t="str">
            <v>LOM-108</v>
          </cell>
          <cell r="D748" t="str">
            <v>LOME</v>
          </cell>
          <cell r="E748" t="str">
            <v>LOME-CENTRE</v>
          </cell>
          <cell r="F748" t="str">
            <v>FO</v>
          </cell>
          <cell r="G748" t="str">
            <v>Grid-DG-Batt.</v>
          </cell>
          <cell r="H748" t="str">
            <v>OK</v>
          </cell>
          <cell r="I748" t="str">
            <v>NO</v>
          </cell>
          <cell r="J748" t="str">
            <v>YES</v>
          </cell>
          <cell r="K748" t="str">
            <v>PLATINUM</v>
          </cell>
          <cell r="L748" t="str">
            <v>Urbain</v>
          </cell>
          <cell r="M748">
            <v>0</v>
          </cell>
          <cell r="N748" t="str">
            <v>LOME CENTRE</v>
          </cell>
        </row>
        <row r="749">
          <cell r="A749" t="str">
            <v>LOME2000-MOOV</v>
          </cell>
          <cell r="B749"/>
          <cell r="C749" t="str">
            <v>LOM-095</v>
          </cell>
          <cell r="D749" t="str">
            <v>LOME</v>
          </cell>
          <cell r="E749" t="str">
            <v>LOME-CENTRE</v>
          </cell>
          <cell r="F749" t="str">
            <v>FTTM</v>
          </cell>
          <cell r="G749" t="str">
            <v>Grid-DG-Batt.</v>
          </cell>
          <cell r="H749" t="str">
            <v>OK</v>
          </cell>
          <cell r="I749" t="str">
            <v>YES</v>
          </cell>
          <cell r="J749" t="str">
            <v>NO</v>
          </cell>
          <cell r="K749" t="str">
            <v>SILVER</v>
          </cell>
          <cell r="L749" t="str">
            <v>Urbain</v>
          </cell>
          <cell r="M749">
            <v>0</v>
          </cell>
          <cell r="N749" t="str">
            <v>LOME CENTRE</v>
          </cell>
        </row>
        <row r="750">
          <cell r="A750" t="str">
            <v>LOME2-CENTRE</v>
          </cell>
          <cell r="B750">
            <v>43562</v>
          </cell>
          <cell r="C750" t="str">
            <v>LOM-234</v>
          </cell>
          <cell r="D750" t="str">
            <v>LOME</v>
          </cell>
          <cell r="E750" t="str">
            <v>LOME-CENTRE</v>
          </cell>
          <cell r="F750" t="str">
            <v>FH</v>
          </cell>
          <cell r="G750" t="str">
            <v>Grid-DG-Batt.</v>
          </cell>
          <cell r="H750" t="str">
            <v>OK</v>
          </cell>
          <cell r="I750" t="str">
            <v>NO</v>
          </cell>
          <cell r="J750" t="str">
            <v>YES</v>
          </cell>
          <cell r="K750" t="str">
            <v>PLATINUM</v>
          </cell>
          <cell r="L750" t="str">
            <v>Urbain</v>
          </cell>
          <cell r="M750">
            <v>0</v>
          </cell>
          <cell r="N750" t="str">
            <v>LOME CENTRE</v>
          </cell>
        </row>
        <row r="751">
          <cell r="A751" t="str">
            <v>LOME-CENTRE</v>
          </cell>
          <cell r="B751"/>
          <cell r="C751" t="str">
            <v>LOM-155</v>
          </cell>
          <cell r="D751" t="str">
            <v>LOME</v>
          </cell>
          <cell r="E751" t="str">
            <v>LOME-SUD</v>
          </cell>
          <cell r="F751" t="str">
            <v>FO</v>
          </cell>
          <cell r="G751" t="str">
            <v>Grid-DG-Batt.</v>
          </cell>
          <cell r="H751" t="str">
            <v>OK</v>
          </cell>
          <cell r="I751" t="str">
            <v>NO</v>
          </cell>
          <cell r="J751" t="str">
            <v>NO</v>
          </cell>
          <cell r="K751" t="str">
            <v>PLATINUM</v>
          </cell>
          <cell r="L751" t="str">
            <v>Urbain</v>
          </cell>
          <cell r="M751">
            <v>0</v>
          </cell>
          <cell r="N751" t="str">
            <v>LOME SUD</v>
          </cell>
        </row>
        <row r="752">
          <cell r="A752" t="str">
            <v>LOME-NORTH</v>
          </cell>
          <cell r="B752">
            <v>44617</v>
          </cell>
          <cell r="C752" t="str">
            <v>LOM-312</v>
          </cell>
          <cell r="D752" t="str">
            <v>LOME</v>
          </cell>
          <cell r="E752" t="str">
            <v>LOME-NORD</v>
          </cell>
          <cell r="F752" t="str">
            <v>FH</v>
          </cell>
          <cell r="G752" t="str">
            <v>DG-Batt.</v>
          </cell>
          <cell r="H752" t="str">
            <v>NOK</v>
          </cell>
          <cell r="I752" t="str">
            <v>YES</v>
          </cell>
          <cell r="J752" t="str">
            <v>YES</v>
          </cell>
          <cell r="K752" t="str">
            <v>BRONZE</v>
          </cell>
          <cell r="L752" t="str">
            <v>rural</v>
          </cell>
          <cell r="M752" t="str">
            <v>70996414</v>
          </cell>
          <cell r="N752" t="str">
            <v>LOME NORD</v>
          </cell>
        </row>
        <row r="753">
          <cell r="A753" t="str">
            <v>LONATO</v>
          </cell>
          <cell r="B753"/>
          <cell r="C753" t="str">
            <v>LOM-139</v>
          </cell>
          <cell r="D753" t="str">
            <v>LOME</v>
          </cell>
          <cell r="E753" t="str">
            <v>LOME-SUD</v>
          </cell>
          <cell r="F753" t="str">
            <v>FO</v>
          </cell>
          <cell r="G753" t="str">
            <v>Grid-Batt.</v>
          </cell>
          <cell r="H753" t="str">
            <v>N/A</v>
          </cell>
          <cell r="I753" t="str">
            <v>YES</v>
          </cell>
          <cell r="J753" t="str">
            <v>NO</v>
          </cell>
          <cell r="K753" t="str">
            <v>PLATINUM</v>
          </cell>
          <cell r="L753" t="str">
            <v>Urbain</v>
          </cell>
          <cell r="M753" t="str">
            <v>70996992</v>
          </cell>
          <cell r="N753" t="str">
            <v>LOME SUD</v>
          </cell>
        </row>
        <row r="754">
          <cell r="A754" t="str">
            <v>LONATO-IBS-SC</v>
          </cell>
          <cell r="B754"/>
          <cell r="C754" t="str">
            <v>LOM-319</v>
          </cell>
          <cell r="D754" t="str">
            <v>LOME</v>
          </cell>
          <cell r="E754" t="str">
            <v>LOME-CENTRE</v>
          </cell>
          <cell r="F754" t="str">
            <v>FO</v>
          </cell>
          <cell r="G754" t="e">
            <v>#N/A</v>
          </cell>
          <cell r="H754" t="str">
            <v>N/A</v>
          </cell>
          <cell r="I754" t="str">
            <v>NO</v>
          </cell>
          <cell r="J754" t="e">
            <v>#N/A</v>
          </cell>
          <cell r="K754" t="e">
            <v>#N/A</v>
          </cell>
          <cell r="L754" t="e">
            <v>#N/A</v>
          </cell>
          <cell r="M754" t="e">
            <v>#N/A</v>
          </cell>
          <cell r="N754" t="e">
            <v>#N/A</v>
          </cell>
        </row>
        <row r="755">
          <cell r="A755" t="str">
            <v>LOTOGOU</v>
          </cell>
          <cell r="B755"/>
          <cell r="C755" t="str">
            <v>SAV-022</v>
          </cell>
          <cell r="D755" t="str">
            <v>SAVANES</v>
          </cell>
          <cell r="E755" t="str">
            <v>DAPAONG 1</v>
          </cell>
          <cell r="F755" t="str">
            <v>FH</v>
          </cell>
          <cell r="G755" t="str">
            <v>DG-Solar-Batt.</v>
          </cell>
          <cell r="H755" t="str">
            <v>OK</v>
          </cell>
          <cell r="I755" t="str">
            <v>NO</v>
          </cell>
          <cell r="J755" t="str">
            <v>NO</v>
          </cell>
          <cell r="K755" t="str">
            <v>BRONZE</v>
          </cell>
          <cell r="L755" t="str">
            <v>rural</v>
          </cell>
          <cell r="M755" t="str">
            <v>70996993</v>
          </cell>
          <cell r="N755" t="str">
            <v>DAPAONG</v>
          </cell>
        </row>
        <row r="756">
          <cell r="A756" t="str">
            <v>LYCEE</v>
          </cell>
          <cell r="B756"/>
          <cell r="C756" t="str">
            <v>LOM-133</v>
          </cell>
          <cell r="D756" t="str">
            <v>LOME</v>
          </cell>
          <cell r="E756" t="str">
            <v>LOME-CENTRE</v>
          </cell>
          <cell r="F756" t="str">
            <v>FO</v>
          </cell>
          <cell r="G756" t="str">
            <v>Grid-DG-Batt.</v>
          </cell>
          <cell r="H756" t="str">
            <v>OK</v>
          </cell>
          <cell r="I756" t="str">
            <v>NO</v>
          </cell>
          <cell r="J756" t="str">
            <v>YES</v>
          </cell>
          <cell r="K756" t="str">
            <v>PLATINUM</v>
          </cell>
          <cell r="L756" t="str">
            <v>Urbain</v>
          </cell>
          <cell r="M756" t="str">
            <v>70996994</v>
          </cell>
          <cell r="N756" t="str">
            <v>LOME CENTRE</v>
          </cell>
        </row>
        <row r="757">
          <cell r="A757" t="str">
            <v>MADJAMAKOU</v>
          </cell>
          <cell r="B757"/>
          <cell r="C757" t="str">
            <v>PLA-137</v>
          </cell>
          <cell r="D757" t="str">
            <v>PLATEAUX</v>
          </cell>
          <cell r="E757" t="str">
            <v>ATAKPAME-EST</v>
          </cell>
          <cell r="F757" t="str">
            <v>FH</v>
          </cell>
          <cell r="G757" t="str">
            <v>DG-Solar-Batt.</v>
          </cell>
          <cell r="H757" t="str">
            <v>OK</v>
          </cell>
          <cell r="I757" t="str">
            <v>NO</v>
          </cell>
          <cell r="J757" t="str">
            <v>YES</v>
          </cell>
          <cell r="K757" t="str">
            <v>BRONZE</v>
          </cell>
          <cell r="L757" t="str">
            <v>rural</v>
          </cell>
          <cell r="M757" t="str">
            <v>70996995</v>
          </cell>
          <cell r="N757" t="str">
            <v>ATAKPAME</v>
          </cell>
        </row>
        <row r="758">
          <cell r="A758" t="str">
            <v>MADJIKPETO</v>
          </cell>
          <cell r="B758">
            <v>44539</v>
          </cell>
          <cell r="C758" t="str">
            <v>LOM-283</v>
          </cell>
          <cell r="D758" t="str">
            <v>LOME</v>
          </cell>
          <cell r="E758" t="str">
            <v>LOME-OUEST 1</v>
          </cell>
          <cell r="F758" t="str">
            <v>FH</v>
          </cell>
          <cell r="G758" t="str">
            <v>Grid-DG-Batt.</v>
          </cell>
          <cell r="H758" t="str">
            <v>OK</v>
          </cell>
          <cell r="I758" t="str">
            <v>YES</v>
          </cell>
          <cell r="J758" t="str">
            <v>YES</v>
          </cell>
          <cell r="K758" t="str">
            <v>GOLD</v>
          </cell>
          <cell r="L758" t="str">
            <v>Urbain</v>
          </cell>
          <cell r="M758">
            <v>0</v>
          </cell>
          <cell r="N758" t="str">
            <v>LOME OUEST1</v>
          </cell>
        </row>
        <row r="759">
          <cell r="A759" t="str">
            <v>MALAGOU</v>
          </cell>
          <cell r="B759"/>
          <cell r="C759" t="str">
            <v>SAV-023</v>
          </cell>
          <cell r="D759" t="str">
            <v>SAVANES</v>
          </cell>
          <cell r="E759" t="str">
            <v>DAPAONG 1</v>
          </cell>
          <cell r="F759" t="str">
            <v>FH</v>
          </cell>
          <cell r="G759" t="str">
            <v>DG-Solar-Batt.</v>
          </cell>
          <cell r="H759" t="str">
            <v>OK</v>
          </cell>
          <cell r="I759" t="str">
            <v>NO</v>
          </cell>
          <cell r="J759" t="str">
            <v>YES</v>
          </cell>
          <cell r="K759" t="str">
            <v>BRONZE</v>
          </cell>
          <cell r="L759" t="str">
            <v>rural</v>
          </cell>
          <cell r="M759" t="str">
            <v>70996996</v>
          </cell>
          <cell r="N759" t="str">
            <v>DAPAONG</v>
          </cell>
        </row>
        <row r="760">
          <cell r="A760" t="str">
            <v>MALFAKASSA</v>
          </cell>
          <cell r="B760"/>
          <cell r="C760" t="str">
            <v>KAR-082</v>
          </cell>
          <cell r="D760" t="str">
            <v>CENTRALE</v>
          </cell>
          <cell r="E760" t="str">
            <v>SOKODE</v>
          </cell>
          <cell r="F760" t="str">
            <v>FH</v>
          </cell>
          <cell r="G760" t="str">
            <v>DG-Solar-Batt.</v>
          </cell>
          <cell r="H760" t="str">
            <v>OK</v>
          </cell>
          <cell r="I760" t="str">
            <v>NO</v>
          </cell>
          <cell r="J760" t="str">
            <v>NO</v>
          </cell>
          <cell r="K760" t="str">
            <v>BRONZE</v>
          </cell>
          <cell r="L760" t="str">
            <v>rural</v>
          </cell>
          <cell r="M760" t="str">
            <v>70996997</v>
          </cell>
          <cell r="N760" t="str">
            <v>SOKODE</v>
          </cell>
        </row>
        <row r="761">
          <cell r="A761" t="str">
            <v>MALGBONGOU</v>
          </cell>
          <cell r="B761">
            <v>44633</v>
          </cell>
          <cell r="C761" t="str">
            <v>SAV-092</v>
          </cell>
          <cell r="D761" t="str">
            <v>SAVANES</v>
          </cell>
          <cell r="E761" t="str">
            <v>DAPAONG 1</v>
          </cell>
          <cell r="F761" t="str">
            <v>FH</v>
          </cell>
          <cell r="G761" t="str">
            <v>DG-Solar-Batt.</v>
          </cell>
          <cell r="H761" t="str">
            <v>OK</v>
          </cell>
          <cell r="I761" t="str">
            <v>NO</v>
          </cell>
          <cell r="J761" t="str">
            <v>YES</v>
          </cell>
          <cell r="K761" t="str">
            <v>BRONZE</v>
          </cell>
          <cell r="L761" t="str">
            <v>rural</v>
          </cell>
          <cell r="M761" t="str">
            <v>70996482</v>
          </cell>
          <cell r="N761" t="str">
            <v>DAPAONG</v>
          </cell>
        </row>
        <row r="762">
          <cell r="A762" t="str">
            <v>MANDOURI</v>
          </cell>
          <cell r="B762"/>
          <cell r="C762" t="str">
            <v>SAV-043</v>
          </cell>
          <cell r="D762" t="str">
            <v>SAVANES</v>
          </cell>
          <cell r="E762" t="str">
            <v>DAPAONG 1</v>
          </cell>
          <cell r="F762" t="str">
            <v>FH</v>
          </cell>
          <cell r="G762" t="str">
            <v>Grid-DG-Solar-Batt.</v>
          </cell>
          <cell r="H762" t="str">
            <v>NOK</v>
          </cell>
          <cell r="I762" t="str">
            <v>NO</v>
          </cell>
          <cell r="J762" t="str">
            <v>YES</v>
          </cell>
          <cell r="K762" t="str">
            <v>SILVER</v>
          </cell>
          <cell r="L762" t="str">
            <v>SubUrbain</v>
          </cell>
          <cell r="M762" t="str">
            <v>70996998</v>
          </cell>
          <cell r="N762" t="str">
            <v>DAPAONG</v>
          </cell>
        </row>
        <row r="763">
          <cell r="A763" t="str">
            <v>MANDOURI2</v>
          </cell>
          <cell r="B763">
            <v>43918</v>
          </cell>
          <cell r="C763" t="str">
            <v>SAV-080</v>
          </cell>
          <cell r="D763" t="str">
            <v>SAVANES</v>
          </cell>
          <cell r="E763" t="str">
            <v>DAPAONG 1</v>
          </cell>
          <cell r="F763" t="str">
            <v>FH</v>
          </cell>
          <cell r="G763" t="str">
            <v>Grid-DG-Solar-Batt.</v>
          </cell>
          <cell r="H763" t="str">
            <v>OK</v>
          </cell>
          <cell r="I763" t="str">
            <v>NO</v>
          </cell>
          <cell r="J763" t="str">
            <v>YES</v>
          </cell>
          <cell r="K763" t="str">
            <v>BRONZE</v>
          </cell>
          <cell r="L763" t="str">
            <v>SubUrbain</v>
          </cell>
          <cell r="M763" t="str">
            <v>70996999</v>
          </cell>
          <cell r="N763" t="str">
            <v>DAPAONG</v>
          </cell>
        </row>
        <row r="764">
          <cell r="A764" t="str">
            <v>MANGA</v>
          </cell>
          <cell r="B764"/>
          <cell r="C764" t="str">
            <v>KAR-066</v>
          </cell>
          <cell r="D764" t="str">
            <v>KARA</v>
          </cell>
          <cell r="E764" t="str">
            <v>KABOU</v>
          </cell>
          <cell r="F764" t="str">
            <v>FH</v>
          </cell>
          <cell r="G764" t="str">
            <v>Grid-DG-Solar-Batt.</v>
          </cell>
          <cell r="H764" t="str">
            <v>OK</v>
          </cell>
          <cell r="I764" t="str">
            <v>NO</v>
          </cell>
          <cell r="J764" t="str">
            <v>NO</v>
          </cell>
          <cell r="K764" t="str">
            <v>BRONZE</v>
          </cell>
          <cell r="L764" t="str">
            <v>rural</v>
          </cell>
          <cell r="M764" t="str">
            <v>70997000</v>
          </cell>
          <cell r="N764" t="str">
            <v>KABOU</v>
          </cell>
        </row>
        <row r="765">
          <cell r="A765" t="str">
            <v>MANGO</v>
          </cell>
          <cell r="B765" t="str">
            <v>NA</v>
          </cell>
          <cell r="C765" t="str">
            <v>SAV-045</v>
          </cell>
          <cell r="D765" t="str">
            <v>SAVANES</v>
          </cell>
          <cell r="E765" t="str">
            <v>MANGO</v>
          </cell>
          <cell r="F765" t="str">
            <v>FO</v>
          </cell>
          <cell r="G765" t="str">
            <v>Grid-DG-Batt.</v>
          </cell>
          <cell r="H765" t="str">
            <v>NOK</v>
          </cell>
          <cell r="I765" t="str">
            <v>NO</v>
          </cell>
          <cell r="J765" t="str">
            <v>NO</v>
          </cell>
          <cell r="K765" t="str">
            <v>PLATINUM</v>
          </cell>
          <cell r="L765" t="str">
            <v>Urbain</v>
          </cell>
          <cell r="M765" t="str">
            <v>70997001</v>
          </cell>
          <cell r="N765" t="str">
            <v>MANGO</v>
          </cell>
        </row>
        <row r="766">
          <cell r="A766" t="str">
            <v>MANGOASSE-MOOV</v>
          </cell>
          <cell r="B766"/>
          <cell r="C766" t="str">
            <v>PLA-119</v>
          </cell>
          <cell r="D766" t="str">
            <v>PLATEAUX</v>
          </cell>
          <cell r="E766" t="str">
            <v>BADOU</v>
          </cell>
          <cell r="F766" t="str">
            <v>FH</v>
          </cell>
          <cell r="G766" t="str">
            <v>DG-Solar-Batt.</v>
          </cell>
          <cell r="H766" t="str">
            <v>NOK</v>
          </cell>
          <cell r="I766" t="str">
            <v>NO</v>
          </cell>
          <cell r="J766" t="str">
            <v>YES</v>
          </cell>
          <cell r="K766" t="str">
            <v>BRONZE</v>
          </cell>
          <cell r="L766" t="str">
            <v>Urbain</v>
          </cell>
          <cell r="M766">
            <v>70997002</v>
          </cell>
          <cell r="N766" t="str">
            <v>BADOU</v>
          </cell>
        </row>
        <row r="767">
          <cell r="A767" t="str">
            <v>MANGO-DOUANE</v>
          </cell>
          <cell r="B767"/>
          <cell r="C767" t="str">
            <v>SAV-046</v>
          </cell>
          <cell r="D767" t="str">
            <v>SAVANES</v>
          </cell>
          <cell r="E767" t="str">
            <v>MANGO</v>
          </cell>
          <cell r="F767" t="str">
            <v>FH</v>
          </cell>
          <cell r="G767" t="str">
            <v>Grid-DG-Batt.</v>
          </cell>
          <cell r="H767" t="str">
            <v>OK</v>
          </cell>
          <cell r="I767" t="str">
            <v>NO</v>
          </cell>
          <cell r="J767" t="str">
            <v>NO</v>
          </cell>
          <cell r="K767" t="str">
            <v>GOLD</v>
          </cell>
          <cell r="L767" t="str">
            <v>Urbain</v>
          </cell>
          <cell r="M767" t="str">
            <v>70997003</v>
          </cell>
          <cell r="N767" t="str">
            <v>MANGO</v>
          </cell>
        </row>
        <row r="768">
          <cell r="A768" t="str">
            <v>MANGO-MOOV</v>
          </cell>
          <cell r="B768">
            <v>44795</v>
          </cell>
          <cell r="C768" t="str">
            <v>SAV-089</v>
          </cell>
          <cell r="D768" t="str">
            <v>SAVANES</v>
          </cell>
          <cell r="E768" t="str">
            <v>MANGO</v>
          </cell>
          <cell r="F768" t="str">
            <v>FH</v>
          </cell>
          <cell r="G768" t="str">
            <v>Grid-DG-Batt.</v>
          </cell>
          <cell r="H768" t="str">
            <v>OK</v>
          </cell>
          <cell r="I768" t="str">
            <v>NO</v>
          </cell>
          <cell r="J768" t="str">
            <v>YES</v>
          </cell>
          <cell r="K768" t="str">
            <v>GOLD</v>
          </cell>
          <cell r="L768" t="str">
            <v>Urbain</v>
          </cell>
          <cell r="M768">
            <v>0</v>
          </cell>
          <cell r="N768" t="str">
            <v>MANGO</v>
          </cell>
        </row>
        <row r="769">
          <cell r="A769" t="str">
            <v>MANGO-PRO</v>
          </cell>
          <cell r="B769">
            <v>45107</v>
          </cell>
          <cell r="C769" t="str">
            <v>SAV-104</v>
          </cell>
          <cell r="D769" t="str">
            <v>SAVANES</v>
          </cell>
          <cell r="E769" t="str">
            <v>MANGO</v>
          </cell>
          <cell r="F769" t="str">
            <v>FH</v>
          </cell>
          <cell r="G769" t="str">
            <v>Grid-DG-Batt.</v>
          </cell>
          <cell r="H769" t="str">
            <v>NOK</v>
          </cell>
          <cell r="I769" t="str">
            <v>NO</v>
          </cell>
          <cell r="J769" t="str">
            <v>NO</v>
          </cell>
          <cell r="K769" t="str">
            <v>GOLD</v>
          </cell>
          <cell r="L769" t="str">
            <v>Urbain</v>
          </cell>
          <cell r="M769">
            <v>70997372</v>
          </cell>
          <cell r="N769" t="str">
            <v>MANGO</v>
          </cell>
        </row>
        <row r="770">
          <cell r="A770" t="str">
            <v>MASSEDA</v>
          </cell>
          <cell r="B770"/>
          <cell r="C770" t="str">
            <v>MAR-038</v>
          </cell>
          <cell r="D770" t="str">
            <v>MARITIME</v>
          </cell>
          <cell r="E770" t="str">
            <v>ANEHO</v>
          </cell>
          <cell r="F770" t="str">
            <v>FH</v>
          </cell>
          <cell r="G770" t="str">
            <v>Grid-DG-Batt.</v>
          </cell>
          <cell r="H770" t="str">
            <v>NOK</v>
          </cell>
          <cell r="I770" t="str">
            <v>NO</v>
          </cell>
          <cell r="J770" t="str">
            <v>NO</v>
          </cell>
          <cell r="K770" t="str">
            <v>BRONZE</v>
          </cell>
          <cell r="L770" t="str">
            <v>rural</v>
          </cell>
          <cell r="M770" t="str">
            <v>70997004</v>
          </cell>
          <cell r="N770" t="str">
            <v>ANEHO</v>
          </cell>
        </row>
        <row r="771">
          <cell r="A771" t="str">
            <v>MASSEDENA</v>
          </cell>
          <cell r="B771"/>
          <cell r="C771" t="str">
            <v>KAR-042</v>
          </cell>
          <cell r="D771" t="str">
            <v>KARA</v>
          </cell>
          <cell r="E771" t="str">
            <v>KARA-EST</v>
          </cell>
          <cell r="F771" t="str">
            <v>FH</v>
          </cell>
          <cell r="G771" t="str">
            <v>DG-Solar-Batt.</v>
          </cell>
          <cell r="H771" t="str">
            <v>OK</v>
          </cell>
          <cell r="I771" t="str">
            <v>NO</v>
          </cell>
          <cell r="J771" t="str">
            <v>NO</v>
          </cell>
          <cell r="K771" t="str">
            <v>BRONZE</v>
          </cell>
          <cell r="L771" t="str">
            <v>rural</v>
          </cell>
          <cell r="M771" t="str">
            <v>70997005</v>
          </cell>
          <cell r="N771" t="str">
            <v>KARA EST</v>
          </cell>
        </row>
        <row r="772">
          <cell r="A772" t="str">
            <v>MATEKPE-ABADJENE</v>
          </cell>
          <cell r="B772">
            <v>43899</v>
          </cell>
          <cell r="C772" t="str">
            <v>PLA-157</v>
          </cell>
          <cell r="D772" t="str">
            <v>PLATEAUX</v>
          </cell>
          <cell r="E772" t="str">
            <v>ATAKPAME-OUEST</v>
          </cell>
          <cell r="F772" t="str">
            <v>FH</v>
          </cell>
          <cell r="G772" t="str">
            <v>DG-Solar-Batt.</v>
          </cell>
          <cell r="H772" t="str">
            <v>OK</v>
          </cell>
          <cell r="I772" t="str">
            <v>NO</v>
          </cell>
          <cell r="J772" t="str">
            <v>YES</v>
          </cell>
          <cell r="K772" t="str">
            <v>BRONZE</v>
          </cell>
          <cell r="L772" t="str">
            <v>rural</v>
          </cell>
          <cell r="M772" t="str">
            <v>70997006</v>
          </cell>
          <cell r="N772" t="str">
            <v>ELAVAGNON</v>
          </cell>
        </row>
        <row r="773">
          <cell r="A773" t="str">
            <v>MATERIEL</v>
          </cell>
          <cell r="B773"/>
          <cell r="C773" t="str">
            <v>LOM-156</v>
          </cell>
          <cell r="D773" t="str">
            <v>LOME</v>
          </cell>
          <cell r="E773" t="str">
            <v>LOME-SUD</v>
          </cell>
          <cell r="F773" t="str">
            <v>FH</v>
          </cell>
          <cell r="G773" t="str">
            <v>Grid-Batt.</v>
          </cell>
          <cell r="H773" t="str">
            <v>N/A</v>
          </cell>
          <cell r="I773" t="str">
            <v>YES</v>
          </cell>
          <cell r="J773" t="str">
            <v>YES</v>
          </cell>
          <cell r="K773" t="str">
            <v>PLATINUM</v>
          </cell>
          <cell r="L773" t="str">
            <v>Urbain</v>
          </cell>
          <cell r="M773">
            <v>0</v>
          </cell>
          <cell r="N773" t="str">
            <v>LOME SUD</v>
          </cell>
        </row>
        <row r="774">
          <cell r="A774" t="str">
            <v>MBALADO</v>
          </cell>
          <cell r="B774">
            <v>44674</v>
          </cell>
          <cell r="C774" t="str">
            <v>KAR-133</v>
          </cell>
          <cell r="D774" t="str">
            <v>KARA</v>
          </cell>
          <cell r="E774" t="str">
            <v>KABOU</v>
          </cell>
          <cell r="F774" t="str">
            <v>FH</v>
          </cell>
          <cell r="G774" t="str">
            <v>DG-Solar-Batt.</v>
          </cell>
          <cell r="H774" t="str">
            <v>OK</v>
          </cell>
          <cell r="I774" t="str">
            <v>NO</v>
          </cell>
          <cell r="J774" t="str">
            <v>YES</v>
          </cell>
          <cell r="K774" t="str">
            <v>BRONZE</v>
          </cell>
          <cell r="L774" t="str">
            <v>rural</v>
          </cell>
          <cell r="M774" t="str">
            <v>70996483</v>
          </cell>
          <cell r="N774" t="str">
            <v>KABOU</v>
          </cell>
        </row>
        <row r="775">
          <cell r="A775" t="str">
            <v>MEDINA</v>
          </cell>
          <cell r="B775"/>
          <cell r="C775" t="str">
            <v>CEN-022</v>
          </cell>
          <cell r="D775" t="str">
            <v>CENTRALE</v>
          </cell>
          <cell r="E775" t="str">
            <v>TCHAMBA</v>
          </cell>
          <cell r="F775" t="str">
            <v>FH</v>
          </cell>
          <cell r="G775" t="str">
            <v>Grid-DG-Batt.</v>
          </cell>
          <cell r="H775" t="str">
            <v>NOK</v>
          </cell>
          <cell r="I775" t="str">
            <v>NO</v>
          </cell>
          <cell r="J775" t="str">
            <v>NO</v>
          </cell>
          <cell r="K775" t="str">
            <v>SILVER</v>
          </cell>
          <cell r="L775" t="str">
            <v>Urbain</v>
          </cell>
          <cell r="M775" t="str">
            <v>70997007</v>
          </cell>
          <cell r="N775" t="str">
            <v>TCHAMBA</v>
          </cell>
        </row>
        <row r="776">
          <cell r="A776" t="str">
            <v>MELAMBOUA</v>
          </cell>
          <cell r="B776"/>
          <cell r="C776" t="str">
            <v>CEN-042</v>
          </cell>
          <cell r="D776" t="str">
            <v>CENTRALE</v>
          </cell>
          <cell r="E776" t="str">
            <v>SOKODE</v>
          </cell>
          <cell r="F776" t="str">
            <v>FH</v>
          </cell>
          <cell r="G776" t="str">
            <v>DG-Solar-Batt.</v>
          </cell>
          <cell r="H776" t="str">
            <v>OK</v>
          </cell>
          <cell r="I776" t="str">
            <v>NO</v>
          </cell>
          <cell r="J776" t="str">
            <v>NO</v>
          </cell>
          <cell r="K776" t="str">
            <v>BRONZE</v>
          </cell>
          <cell r="L776" t="str">
            <v>rural</v>
          </cell>
          <cell r="M776" t="str">
            <v>70997008</v>
          </cell>
          <cell r="N776" t="str">
            <v>SOKODE</v>
          </cell>
        </row>
        <row r="777">
          <cell r="A777" t="str">
            <v>MEWEDE</v>
          </cell>
          <cell r="B777">
            <v>44560</v>
          </cell>
          <cell r="C777" t="str">
            <v>CEN-097</v>
          </cell>
          <cell r="D777" t="str">
            <v>CENTRALE</v>
          </cell>
          <cell r="E777" t="str">
            <v>BLITTA</v>
          </cell>
          <cell r="F777" t="str">
            <v>FH</v>
          </cell>
          <cell r="G777" t="str">
            <v>DG-Solar-Batt.</v>
          </cell>
          <cell r="H777" t="str">
            <v>NOK</v>
          </cell>
          <cell r="I777" t="str">
            <v>NO</v>
          </cell>
          <cell r="J777" t="str">
            <v>YES</v>
          </cell>
          <cell r="K777" t="str">
            <v>BRONZE</v>
          </cell>
          <cell r="L777" t="str">
            <v>rural</v>
          </cell>
          <cell r="M777" t="str">
            <v>70996415</v>
          </cell>
          <cell r="N777" t="str">
            <v>BLITTA</v>
          </cell>
        </row>
        <row r="778">
          <cell r="A778" t="str">
            <v>MINAMADOU</v>
          </cell>
          <cell r="B778"/>
          <cell r="C778" t="str">
            <v>LOM-041</v>
          </cell>
          <cell r="D778" t="str">
            <v>LOME</v>
          </cell>
          <cell r="E778" t="str">
            <v>LOME-NORD</v>
          </cell>
          <cell r="F778" t="str">
            <v>FO</v>
          </cell>
          <cell r="G778" t="str">
            <v>Grid-DG-Batt.</v>
          </cell>
          <cell r="H778" t="str">
            <v>OK</v>
          </cell>
          <cell r="I778" t="str">
            <v>YES</v>
          </cell>
          <cell r="J778" t="str">
            <v>NO</v>
          </cell>
          <cell r="K778" t="str">
            <v>GOLD</v>
          </cell>
          <cell r="L778" t="str">
            <v>Urbain</v>
          </cell>
          <cell r="M778" t="str">
            <v>70997009</v>
          </cell>
          <cell r="N778" t="str">
            <v>LOME NORD</v>
          </cell>
        </row>
        <row r="779">
          <cell r="A779" t="str">
            <v>MINAMADOU2</v>
          </cell>
          <cell r="B779">
            <v>43265</v>
          </cell>
          <cell r="C779" t="str">
            <v>LOM-216</v>
          </cell>
          <cell r="D779" t="str">
            <v>LOME</v>
          </cell>
          <cell r="E779" t="str">
            <v>LOME-OUEST 1</v>
          </cell>
          <cell r="F779" t="str">
            <v>FH</v>
          </cell>
          <cell r="G779" t="str">
            <v>Grid-Batt.</v>
          </cell>
          <cell r="H779" t="str">
            <v>N/A</v>
          </cell>
          <cell r="I779" t="str">
            <v>YES</v>
          </cell>
          <cell r="J779" t="str">
            <v>NO</v>
          </cell>
          <cell r="K779" t="str">
            <v>BRONZE</v>
          </cell>
          <cell r="L779" t="str">
            <v>Urbain</v>
          </cell>
          <cell r="M779">
            <v>0</v>
          </cell>
          <cell r="N779" t="str">
            <v>LOME OUEST1</v>
          </cell>
        </row>
        <row r="780">
          <cell r="A780" t="str">
            <v>MINISTERE</v>
          </cell>
          <cell r="B780"/>
          <cell r="C780" t="str">
            <v>LOM-157</v>
          </cell>
          <cell r="D780" t="str">
            <v>LOME</v>
          </cell>
          <cell r="E780" t="str">
            <v>LOME-SUD</v>
          </cell>
          <cell r="F780" t="str">
            <v>FO</v>
          </cell>
          <cell r="G780" t="str">
            <v>Grid-Batt.</v>
          </cell>
          <cell r="H780" t="str">
            <v>N/A</v>
          </cell>
          <cell r="I780" t="str">
            <v>YES</v>
          </cell>
          <cell r="J780" t="str">
            <v>YES</v>
          </cell>
          <cell r="K780" t="str">
            <v>PLATINUM</v>
          </cell>
          <cell r="L780" t="str">
            <v>Urbain</v>
          </cell>
          <cell r="M780">
            <v>0</v>
          </cell>
          <cell r="N780" t="str">
            <v>LOME SUD</v>
          </cell>
        </row>
        <row r="781">
          <cell r="A781" t="str">
            <v>MISSION-TOVE</v>
          </cell>
          <cell r="B781"/>
          <cell r="C781" t="str">
            <v>MAR-002</v>
          </cell>
          <cell r="D781" t="str">
            <v>LOME</v>
          </cell>
          <cell r="E781" t="str">
            <v>LOME-OUEST 1</v>
          </cell>
          <cell r="F781" t="str">
            <v>FH</v>
          </cell>
          <cell r="G781" t="str">
            <v>Grid-DG-Batt.</v>
          </cell>
          <cell r="H781" t="str">
            <v>OK</v>
          </cell>
          <cell r="I781" t="str">
            <v>NO</v>
          </cell>
          <cell r="J781" t="str">
            <v>NO</v>
          </cell>
          <cell r="K781" t="str">
            <v>GOLD</v>
          </cell>
          <cell r="L781" t="str">
            <v>rural</v>
          </cell>
          <cell r="M781" t="str">
            <v>70997010</v>
          </cell>
          <cell r="N781" t="str">
            <v>LOME OUEST1</v>
          </cell>
        </row>
        <row r="782">
          <cell r="A782" t="str">
            <v>MISSION-TOVE2</v>
          </cell>
          <cell r="B782">
            <v>44836</v>
          </cell>
          <cell r="C782" t="str">
            <v>LOM-348</v>
          </cell>
          <cell r="D782" t="str">
            <v>LOME</v>
          </cell>
          <cell r="E782" t="str">
            <v>LOME-OUEST 1</v>
          </cell>
          <cell r="F782" t="str">
            <v>FH</v>
          </cell>
          <cell r="G782" t="str">
            <v>Grid-DG-Batt.</v>
          </cell>
          <cell r="H782" t="str">
            <v>OK</v>
          </cell>
          <cell r="I782" t="str">
            <v>NO</v>
          </cell>
          <cell r="J782" t="str">
            <v>YES</v>
          </cell>
          <cell r="K782" t="str">
            <v>GOLD</v>
          </cell>
          <cell r="L782" t="str">
            <v>SubUrbain</v>
          </cell>
          <cell r="M782" t="str">
            <v>70996505</v>
          </cell>
          <cell r="N782" t="str">
            <v>LOME OUEST1</v>
          </cell>
        </row>
        <row r="783">
          <cell r="A783" t="str">
            <v>MISSION-TOVE4</v>
          </cell>
          <cell r="B783">
            <v>44750</v>
          </cell>
          <cell r="C783" t="str">
            <v>MAR-094</v>
          </cell>
          <cell r="D783" t="str">
            <v>LOME</v>
          </cell>
          <cell r="E783" t="str">
            <v>LOME-OUEST 1</v>
          </cell>
          <cell r="F783" t="str">
            <v>FH</v>
          </cell>
          <cell r="G783" t="str">
            <v>Grid-DG-Batt.</v>
          </cell>
          <cell r="H783" t="str">
            <v>OK</v>
          </cell>
          <cell r="I783" t="str">
            <v>NO</v>
          </cell>
          <cell r="J783" t="str">
            <v>YES</v>
          </cell>
          <cell r="K783" t="str">
            <v>BRONZE</v>
          </cell>
          <cell r="L783" t="str">
            <v>SubUrbain</v>
          </cell>
          <cell r="M783">
            <v>0</v>
          </cell>
          <cell r="N783" t="str">
            <v>LOME OUEST1</v>
          </cell>
        </row>
        <row r="784">
          <cell r="A784" t="str">
            <v>MOBILE-AFAGNAN</v>
          </cell>
          <cell r="B784"/>
          <cell r="C784" t="str">
            <v>MOB-3</v>
          </cell>
          <cell r="D784" t="str">
            <v>MARITIME</v>
          </cell>
          <cell r="E784" t="str">
            <v>ANEHO</v>
          </cell>
          <cell r="F784" t="str">
            <v>FH</v>
          </cell>
          <cell r="G784" t="e">
            <v>#N/A</v>
          </cell>
          <cell r="H784" t="str">
            <v>N/A</v>
          </cell>
          <cell r="I784" t="str">
            <v>NO</v>
          </cell>
          <cell r="J784" t="e">
            <v>#N/A</v>
          </cell>
          <cell r="K784" t="str">
            <v>BRONZE</v>
          </cell>
          <cell r="L784" t="str">
            <v>Urbain</v>
          </cell>
          <cell r="M784" t="e">
            <v>#N/A</v>
          </cell>
          <cell r="N784" t="e">
            <v>#N/A</v>
          </cell>
        </row>
        <row r="785">
          <cell r="A785" t="str">
            <v>MOGOU</v>
          </cell>
          <cell r="B785"/>
          <cell r="C785" t="str">
            <v>SAV-047</v>
          </cell>
          <cell r="D785" t="str">
            <v>SAVANES</v>
          </cell>
          <cell r="E785" t="str">
            <v>MANGO</v>
          </cell>
          <cell r="F785" t="str">
            <v>FH</v>
          </cell>
          <cell r="G785" t="str">
            <v>Grid-DG-Solar-Batt.</v>
          </cell>
          <cell r="H785" t="str">
            <v>OK</v>
          </cell>
          <cell r="I785" t="str">
            <v>NO</v>
          </cell>
          <cell r="J785" t="str">
            <v>NO</v>
          </cell>
          <cell r="K785" t="str">
            <v>BRONZE</v>
          </cell>
          <cell r="L785" t="str">
            <v>rural</v>
          </cell>
          <cell r="M785" t="str">
            <v>70997011</v>
          </cell>
          <cell r="N785" t="str">
            <v>MANGO</v>
          </cell>
        </row>
        <row r="786">
          <cell r="A786" t="str">
            <v>MONO</v>
          </cell>
          <cell r="B786">
            <v>44623</v>
          </cell>
          <cell r="C786" t="str">
            <v>CEN-105</v>
          </cell>
          <cell r="D786" t="str">
            <v>CENTRALE</v>
          </cell>
          <cell r="E786" t="str">
            <v>BLITTA</v>
          </cell>
          <cell r="F786" t="str">
            <v>FH</v>
          </cell>
          <cell r="G786" t="str">
            <v>DG-Solar-Batt.</v>
          </cell>
          <cell r="H786" t="str">
            <v>OK</v>
          </cell>
          <cell r="I786" t="str">
            <v>NO</v>
          </cell>
          <cell r="J786" t="str">
            <v>YES</v>
          </cell>
          <cell r="K786" t="str">
            <v>BRONZE</v>
          </cell>
          <cell r="L786" t="str">
            <v>rural</v>
          </cell>
          <cell r="M786" t="str">
            <v>70996484</v>
          </cell>
          <cell r="N786" t="str">
            <v>BLITTA</v>
          </cell>
        </row>
        <row r="787">
          <cell r="A787" t="str">
            <v>MORETAN</v>
          </cell>
          <cell r="B787"/>
          <cell r="C787" t="str">
            <v>PLA-031</v>
          </cell>
          <cell r="D787" t="str">
            <v>CENTRALE</v>
          </cell>
          <cell r="E787" t="str">
            <v>BLITTA</v>
          </cell>
          <cell r="F787" t="str">
            <v>FH</v>
          </cell>
          <cell r="G787" t="str">
            <v>Grid-DG-Solar-Batt.</v>
          </cell>
          <cell r="H787" t="str">
            <v>NOK</v>
          </cell>
          <cell r="I787" t="str">
            <v>NO</v>
          </cell>
          <cell r="J787" t="str">
            <v>NO</v>
          </cell>
          <cell r="K787" t="str">
            <v>GOLD</v>
          </cell>
          <cell r="L787" t="str">
            <v>rural</v>
          </cell>
          <cell r="M787" t="str">
            <v>70997012</v>
          </cell>
          <cell r="N787" t="str">
            <v>ELAVAGNON</v>
          </cell>
        </row>
        <row r="788">
          <cell r="A788" t="str">
            <v>MOSQUEE</v>
          </cell>
          <cell r="B788"/>
          <cell r="C788" t="str">
            <v>CEN-013</v>
          </cell>
          <cell r="D788" t="str">
            <v>CENTRALE</v>
          </cell>
          <cell r="E788" t="str">
            <v>SOKODE</v>
          </cell>
          <cell r="F788" t="str">
            <v>FO</v>
          </cell>
          <cell r="G788" t="str">
            <v>Grid-DG-Batt.</v>
          </cell>
          <cell r="H788" t="str">
            <v>OK</v>
          </cell>
          <cell r="I788" t="str">
            <v>NO</v>
          </cell>
          <cell r="J788" t="str">
            <v>NO</v>
          </cell>
          <cell r="K788" t="str">
            <v>SILVER</v>
          </cell>
          <cell r="L788" t="str">
            <v>Urbain</v>
          </cell>
          <cell r="M788">
            <v>0</v>
          </cell>
          <cell r="N788" t="str">
            <v>SOKODE</v>
          </cell>
        </row>
        <row r="789">
          <cell r="A789" t="str">
            <v>MOTOCROSS</v>
          </cell>
          <cell r="B789"/>
          <cell r="C789" t="str">
            <v>LOM-020</v>
          </cell>
          <cell r="D789" t="str">
            <v>LOME</v>
          </cell>
          <cell r="E789" t="str">
            <v>LOME-NORD</v>
          </cell>
          <cell r="F789" t="str">
            <v>FO</v>
          </cell>
          <cell r="G789" t="str">
            <v>Grid-DG-Batt.</v>
          </cell>
          <cell r="H789" t="str">
            <v>OK</v>
          </cell>
          <cell r="I789" t="str">
            <v>NO</v>
          </cell>
          <cell r="J789" t="str">
            <v>YES</v>
          </cell>
          <cell r="K789" t="str">
            <v>GOLD</v>
          </cell>
          <cell r="L789" t="str">
            <v>Urbain</v>
          </cell>
          <cell r="M789" t="str">
            <v>70997013</v>
          </cell>
          <cell r="N789" t="str">
            <v>LOME NORD</v>
          </cell>
        </row>
        <row r="790">
          <cell r="A790" t="str">
            <v>MPOTI</v>
          </cell>
          <cell r="B790">
            <v>44755</v>
          </cell>
          <cell r="C790" t="str">
            <v>CEN-098</v>
          </cell>
          <cell r="D790" t="str">
            <v>CENTRALE</v>
          </cell>
          <cell r="E790" t="str">
            <v>BLITTA</v>
          </cell>
          <cell r="F790" t="str">
            <v>FH</v>
          </cell>
          <cell r="G790" t="str">
            <v>Grid-DG-Batt.</v>
          </cell>
          <cell r="H790" t="str">
            <v>OK</v>
          </cell>
          <cell r="I790" t="str">
            <v>NO</v>
          </cell>
          <cell r="J790" t="str">
            <v>YES</v>
          </cell>
          <cell r="K790" t="str">
            <v>BRONZE</v>
          </cell>
          <cell r="L790" t="str">
            <v>rural</v>
          </cell>
          <cell r="M790" t="str">
            <v>70996485</v>
          </cell>
          <cell r="N790" t="str">
            <v>BLITTA</v>
          </cell>
        </row>
        <row r="791">
          <cell r="A791" t="str">
            <v>NABOULGOU</v>
          </cell>
          <cell r="B791"/>
          <cell r="C791" t="str">
            <v>KAR-050</v>
          </cell>
          <cell r="D791" t="str">
            <v>KARA</v>
          </cell>
          <cell r="E791" t="str">
            <v>KANTE</v>
          </cell>
          <cell r="F791" t="str">
            <v>FH</v>
          </cell>
          <cell r="G791" t="str">
            <v>DG-Solar-Batt.</v>
          </cell>
          <cell r="H791" t="str">
            <v>OK</v>
          </cell>
          <cell r="I791" t="str">
            <v>NO</v>
          </cell>
          <cell r="J791" t="str">
            <v>NO</v>
          </cell>
          <cell r="K791" t="str">
            <v>SILVER</v>
          </cell>
          <cell r="L791" t="str">
            <v>rural</v>
          </cell>
          <cell r="M791" t="str">
            <v>70997014</v>
          </cell>
          <cell r="N791" t="str">
            <v>KANTE</v>
          </cell>
        </row>
        <row r="792">
          <cell r="A792" t="str">
            <v>NADJOUNDJI</v>
          </cell>
          <cell r="B792"/>
          <cell r="C792" t="str">
            <v>SAV-017</v>
          </cell>
          <cell r="D792" t="str">
            <v>SAVANES</v>
          </cell>
          <cell r="E792" t="str">
            <v>DAPAONG 1</v>
          </cell>
          <cell r="F792" t="str">
            <v>FH</v>
          </cell>
          <cell r="G792" t="str">
            <v>Grid-DG-Solar-Batt.</v>
          </cell>
          <cell r="H792" t="str">
            <v>OK</v>
          </cell>
          <cell r="I792" t="str">
            <v>NO</v>
          </cell>
          <cell r="J792" t="str">
            <v>NO</v>
          </cell>
          <cell r="K792" t="str">
            <v>SILVER</v>
          </cell>
          <cell r="L792" t="str">
            <v>rural</v>
          </cell>
          <cell r="M792" t="str">
            <v>70997015</v>
          </cell>
          <cell r="N792" t="str">
            <v>DAPAONG</v>
          </cell>
        </row>
        <row r="793">
          <cell r="A793" t="str">
            <v>NADOBA</v>
          </cell>
          <cell r="B793"/>
          <cell r="C793" t="str">
            <v>KAR-043</v>
          </cell>
          <cell r="D793" t="str">
            <v>KARA</v>
          </cell>
          <cell r="E793" t="str">
            <v>KANTE</v>
          </cell>
          <cell r="F793" t="str">
            <v>FH</v>
          </cell>
          <cell r="G793" t="str">
            <v>Grid-DG-Batt.</v>
          </cell>
          <cell r="H793" t="str">
            <v>OK</v>
          </cell>
          <cell r="I793" t="str">
            <v>NO</v>
          </cell>
          <cell r="J793" t="str">
            <v>NO</v>
          </cell>
          <cell r="K793" t="str">
            <v>BRONZE</v>
          </cell>
          <cell r="L793" t="str">
            <v>rural</v>
          </cell>
          <cell r="M793" t="str">
            <v>70997016</v>
          </cell>
          <cell r="N793" t="str">
            <v>KANTE</v>
          </cell>
        </row>
        <row r="794">
          <cell r="A794" t="str">
            <v>NADOTI</v>
          </cell>
          <cell r="B794">
            <v>43750</v>
          </cell>
          <cell r="C794" t="str">
            <v>SAV-065</v>
          </cell>
          <cell r="D794" t="str">
            <v>SAVANES</v>
          </cell>
          <cell r="E794" t="str">
            <v>MANGO</v>
          </cell>
          <cell r="F794" t="str">
            <v>FH</v>
          </cell>
          <cell r="G794" t="str">
            <v>DG-Solar-Batt.</v>
          </cell>
          <cell r="H794" t="str">
            <v>OK</v>
          </cell>
          <cell r="I794" t="str">
            <v>NO</v>
          </cell>
          <cell r="J794" t="str">
            <v>NO</v>
          </cell>
          <cell r="K794" t="str">
            <v>BRONZE</v>
          </cell>
          <cell r="L794" t="str">
            <v>rural</v>
          </cell>
          <cell r="M794" t="str">
            <v>70997017</v>
          </cell>
          <cell r="N794" t="str">
            <v>MANGO</v>
          </cell>
        </row>
        <row r="795">
          <cell r="A795" t="str">
            <v>NAGOUNI</v>
          </cell>
          <cell r="B795">
            <v>44073</v>
          </cell>
          <cell r="C795" t="str">
            <v>SAV-086</v>
          </cell>
          <cell r="D795" t="str">
            <v>SAVANES</v>
          </cell>
          <cell r="E795" t="str">
            <v>MANGO</v>
          </cell>
          <cell r="F795" t="str">
            <v>FH</v>
          </cell>
          <cell r="G795" t="str">
            <v>DG-Solar-Batt.</v>
          </cell>
          <cell r="H795" t="str">
            <v>OK</v>
          </cell>
          <cell r="I795" t="str">
            <v>NO</v>
          </cell>
          <cell r="J795" t="str">
            <v>YES</v>
          </cell>
          <cell r="K795" t="str">
            <v>BRONZE</v>
          </cell>
          <cell r="L795" t="str">
            <v>rural</v>
          </cell>
          <cell r="M795" t="str">
            <v>70997018</v>
          </cell>
          <cell r="N795" t="str">
            <v>MANGO</v>
          </cell>
        </row>
        <row r="796">
          <cell r="A796" t="str">
            <v>NAKI-EST</v>
          </cell>
          <cell r="B796"/>
          <cell r="C796" t="str">
            <v>SAV-036</v>
          </cell>
          <cell r="D796" t="str">
            <v>SAVANES</v>
          </cell>
          <cell r="E796" t="str">
            <v>DAPAONG 1</v>
          </cell>
          <cell r="F796" t="str">
            <v>FH</v>
          </cell>
          <cell r="G796" t="str">
            <v>Grid-DG-Solar-Batt.</v>
          </cell>
          <cell r="H796" t="str">
            <v>OK</v>
          </cell>
          <cell r="I796" t="str">
            <v>NO</v>
          </cell>
          <cell r="J796" t="str">
            <v>YES</v>
          </cell>
          <cell r="K796" t="str">
            <v>SILVER</v>
          </cell>
          <cell r="L796" t="str">
            <v>rural</v>
          </cell>
          <cell r="M796" t="str">
            <v>70997019</v>
          </cell>
          <cell r="N796" t="str">
            <v>DAPAONG</v>
          </cell>
        </row>
        <row r="797">
          <cell r="A797" t="str">
            <v>NAKI-OUEST</v>
          </cell>
          <cell r="B797"/>
          <cell r="C797" t="str">
            <v>SAV-018</v>
          </cell>
          <cell r="D797" t="str">
            <v>SAVANES</v>
          </cell>
          <cell r="E797" t="str">
            <v>DAPAONG 1</v>
          </cell>
          <cell r="F797" t="str">
            <v>FH</v>
          </cell>
          <cell r="G797" t="str">
            <v>Grid-DG-Batt.</v>
          </cell>
          <cell r="H797" t="str">
            <v>OK</v>
          </cell>
          <cell r="I797" t="str">
            <v>NO</v>
          </cell>
          <cell r="J797" t="str">
            <v>YES</v>
          </cell>
          <cell r="K797" t="str">
            <v>BRONZE</v>
          </cell>
          <cell r="L797" t="str">
            <v>rural</v>
          </cell>
          <cell r="M797" t="str">
            <v>70997020</v>
          </cell>
          <cell r="N797" t="str">
            <v>DAPAONG</v>
          </cell>
        </row>
        <row r="798">
          <cell r="A798" t="str">
            <v>NAKORKOU</v>
          </cell>
          <cell r="B798">
            <v>45162</v>
          </cell>
          <cell r="C798" t="str">
            <v>SAV-118</v>
          </cell>
          <cell r="D798" t="str">
            <v>SAVANES</v>
          </cell>
          <cell r="E798" t="str">
            <v>MANGO</v>
          </cell>
          <cell r="F798" t="str">
            <v>FH</v>
          </cell>
          <cell r="G798" t="str">
            <v>DG-Solar-Batt.</v>
          </cell>
          <cell r="H798" t="str">
            <v>NOK</v>
          </cell>
          <cell r="I798" t="str">
            <v>NO</v>
          </cell>
          <cell r="J798" t="str">
            <v>NO</v>
          </cell>
          <cell r="K798" t="str">
            <v>BRONZE</v>
          </cell>
          <cell r="L798" t="str">
            <v>rural</v>
          </cell>
          <cell r="M798">
            <v>0</v>
          </cell>
          <cell r="N798" t="str">
            <v>MANGO</v>
          </cell>
        </row>
        <row r="799">
          <cell r="A799" t="str">
            <v>NALI</v>
          </cell>
          <cell r="B799"/>
          <cell r="C799" t="str">
            <v>SAV-057</v>
          </cell>
          <cell r="D799" t="str">
            <v>SAVANES</v>
          </cell>
          <cell r="E799" t="str">
            <v>MANGO</v>
          </cell>
          <cell r="F799" t="str">
            <v>FH</v>
          </cell>
          <cell r="G799" t="str">
            <v>DG-Solar-Batt.</v>
          </cell>
          <cell r="H799" t="str">
            <v>OK</v>
          </cell>
          <cell r="I799" t="str">
            <v>NO</v>
          </cell>
          <cell r="J799" t="str">
            <v>NO</v>
          </cell>
          <cell r="K799" t="str">
            <v>BRONZE</v>
          </cell>
          <cell r="L799" t="str">
            <v>rural</v>
          </cell>
          <cell r="M799" t="str">
            <v>70997021</v>
          </cell>
          <cell r="N799" t="str">
            <v>MANGO</v>
          </cell>
        </row>
        <row r="800">
          <cell r="A800" t="str">
            <v>NAMBA-MOOV</v>
          </cell>
          <cell r="B800"/>
          <cell r="C800" t="str">
            <v>CEN-060</v>
          </cell>
          <cell r="D800" t="str">
            <v>CENTRALE</v>
          </cell>
          <cell r="E800" t="str">
            <v>TCHAMBA</v>
          </cell>
          <cell r="F800" t="str">
            <v>FH</v>
          </cell>
          <cell r="G800" t="str">
            <v>DG-Solar-Batt.</v>
          </cell>
          <cell r="H800" t="str">
            <v>NOK</v>
          </cell>
          <cell r="I800" t="str">
            <v>NO</v>
          </cell>
          <cell r="J800" t="str">
            <v>YES</v>
          </cell>
          <cell r="K800" t="str">
            <v>BRONZE</v>
          </cell>
          <cell r="L800" t="str">
            <v>rural</v>
          </cell>
          <cell r="M800">
            <v>70997022</v>
          </cell>
          <cell r="N800" t="str">
            <v>TCHAMBA</v>
          </cell>
        </row>
        <row r="801">
          <cell r="A801" t="str">
            <v>NAMON</v>
          </cell>
          <cell r="B801"/>
          <cell r="C801" t="str">
            <v>KAR-059</v>
          </cell>
          <cell r="D801" t="str">
            <v>KARA</v>
          </cell>
          <cell r="E801" t="str">
            <v>KARA-OUEST</v>
          </cell>
          <cell r="F801" t="str">
            <v>FH</v>
          </cell>
          <cell r="G801" t="str">
            <v>DG-Solar-Batt.</v>
          </cell>
          <cell r="H801" t="str">
            <v>OK</v>
          </cell>
          <cell r="I801" t="str">
            <v>NO</v>
          </cell>
          <cell r="J801" t="str">
            <v>NO</v>
          </cell>
          <cell r="K801" t="str">
            <v>BRONZE</v>
          </cell>
          <cell r="L801" t="str">
            <v>rural</v>
          </cell>
          <cell r="M801" t="str">
            <v>70997023</v>
          </cell>
          <cell r="N801" t="str">
            <v>KARA OUEST</v>
          </cell>
        </row>
        <row r="802">
          <cell r="A802" t="str">
            <v>NAMOUDJOGA</v>
          </cell>
          <cell r="B802"/>
          <cell r="C802" t="str">
            <v>SAV-028</v>
          </cell>
          <cell r="D802" t="str">
            <v>SAVANES</v>
          </cell>
          <cell r="E802" t="str">
            <v>DAPAONG 1</v>
          </cell>
          <cell r="F802" t="str">
            <v>FH</v>
          </cell>
          <cell r="G802" t="str">
            <v>DG-Solar-Batt.</v>
          </cell>
          <cell r="H802" t="str">
            <v>NOK</v>
          </cell>
          <cell r="I802" t="str">
            <v>NO</v>
          </cell>
          <cell r="J802" t="str">
            <v>NO</v>
          </cell>
          <cell r="K802" t="str">
            <v>SILVER</v>
          </cell>
          <cell r="L802" t="str">
            <v>rural</v>
          </cell>
          <cell r="M802" t="str">
            <v>70997024</v>
          </cell>
          <cell r="N802" t="str">
            <v>DAPAONG</v>
          </cell>
        </row>
        <row r="803">
          <cell r="A803" t="str">
            <v>NAMPOCH</v>
          </cell>
          <cell r="B803">
            <v>43927</v>
          </cell>
          <cell r="C803" t="str">
            <v>KAR-125</v>
          </cell>
          <cell r="D803" t="str">
            <v>KARA</v>
          </cell>
          <cell r="E803" t="str">
            <v>KABOU</v>
          </cell>
          <cell r="F803" t="str">
            <v>FH</v>
          </cell>
          <cell r="G803" t="str">
            <v>DG-Solar-Batt.</v>
          </cell>
          <cell r="H803" t="str">
            <v>OK</v>
          </cell>
          <cell r="I803" t="str">
            <v>NO</v>
          </cell>
          <cell r="J803" t="str">
            <v>NO</v>
          </cell>
          <cell r="K803" t="str">
            <v>BRONZE</v>
          </cell>
          <cell r="L803" t="str">
            <v>rural</v>
          </cell>
          <cell r="M803" t="str">
            <v>70997025</v>
          </cell>
          <cell r="N803" t="str">
            <v>KABOU</v>
          </cell>
        </row>
        <row r="804">
          <cell r="A804" t="str">
            <v>NANDJOUTA</v>
          </cell>
          <cell r="B804"/>
          <cell r="C804" t="str">
            <v>KAR-067</v>
          </cell>
          <cell r="D804" t="str">
            <v>KARA</v>
          </cell>
          <cell r="E804" t="str">
            <v>KABOU</v>
          </cell>
          <cell r="F804" t="str">
            <v>FH</v>
          </cell>
          <cell r="G804" t="str">
            <v>DG-Solar-Batt.</v>
          </cell>
          <cell r="H804" t="str">
            <v>OK</v>
          </cell>
          <cell r="I804" t="str">
            <v>NO</v>
          </cell>
          <cell r="J804" t="str">
            <v>NO</v>
          </cell>
          <cell r="K804" t="str">
            <v>BRONZE</v>
          </cell>
          <cell r="L804" t="str">
            <v>rural</v>
          </cell>
          <cell r="M804" t="str">
            <v>70997026</v>
          </cell>
          <cell r="N804" t="str">
            <v>KABOU</v>
          </cell>
        </row>
        <row r="805">
          <cell r="A805" t="str">
            <v>NANEGBE</v>
          </cell>
          <cell r="B805">
            <v>44532</v>
          </cell>
          <cell r="C805" t="str">
            <v>LOM-313</v>
          </cell>
          <cell r="D805" t="str">
            <v>LOME</v>
          </cell>
          <cell r="E805" t="str">
            <v>LOME-OUEST 1</v>
          </cell>
          <cell r="F805" t="str">
            <v>FH</v>
          </cell>
          <cell r="G805" t="str">
            <v>Grid-DG-Batt.</v>
          </cell>
          <cell r="H805" t="str">
            <v>OK</v>
          </cell>
          <cell r="I805" t="str">
            <v>NO</v>
          </cell>
          <cell r="J805" t="str">
            <v>YES</v>
          </cell>
          <cell r="K805" t="str">
            <v>SILVER</v>
          </cell>
          <cell r="L805" t="str">
            <v>SubUrbain</v>
          </cell>
          <cell r="M805" t="str">
            <v>70997027</v>
          </cell>
          <cell r="N805" t="str">
            <v>LOME OUEST1</v>
          </cell>
        </row>
        <row r="806">
          <cell r="A806" t="str">
            <v>NANERGOU</v>
          </cell>
          <cell r="B806">
            <v>43600</v>
          </cell>
          <cell r="C806" t="str">
            <v>SAV-059</v>
          </cell>
          <cell r="D806" t="str">
            <v>SAVANES</v>
          </cell>
          <cell r="E806" t="str">
            <v>DAPAONG 1</v>
          </cell>
          <cell r="F806" t="str">
            <v>FH</v>
          </cell>
          <cell r="G806" t="str">
            <v>Grid-DG-Solar-Batt.</v>
          </cell>
          <cell r="H806" t="str">
            <v>NOK</v>
          </cell>
          <cell r="I806" t="str">
            <v>NO</v>
          </cell>
          <cell r="J806" t="str">
            <v>NO</v>
          </cell>
          <cell r="K806" t="str">
            <v>SILVER</v>
          </cell>
          <cell r="L806" t="str">
            <v>rural</v>
          </cell>
          <cell r="M806" t="str">
            <v>70997028</v>
          </cell>
          <cell r="N806" t="str">
            <v>DAPAONG</v>
          </cell>
        </row>
        <row r="807">
          <cell r="A807" t="str">
            <v>NANGBENI</v>
          </cell>
          <cell r="B807"/>
          <cell r="C807" t="str">
            <v>SAV-037</v>
          </cell>
          <cell r="D807" t="str">
            <v>SAVANES</v>
          </cell>
          <cell r="E807" t="str">
            <v>MANGO</v>
          </cell>
          <cell r="F807" t="str">
            <v>FH</v>
          </cell>
          <cell r="G807" t="str">
            <v>Grid-DG-Batt.</v>
          </cell>
          <cell r="H807" t="str">
            <v>OK</v>
          </cell>
          <cell r="I807" t="str">
            <v>NO</v>
          </cell>
          <cell r="J807" t="str">
            <v>YES</v>
          </cell>
          <cell r="K807" t="str">
            <v>SILVER</v>
          </cell>
          <cell r="L807" t="str">
            <v>rural</v>
          </cell>
          <cell r="M807" t="str">
            <v>70997029</v>
          </cell>
          <cell r="N807" t="str">
            <v>MANGO</v>
          </cell>
        </row>
        <row r="808">
          <cell r="A808" t="str">
            <v>NANGBETO</v>
          </cell>
          <cell r="B808"/>
          <cell r="C808" t="str">
            <v>PLA-138</v>
          </cell>
          <cell r="D808" t="str">
            <v>PLATEAUX</v>
          </cell>
          <cell r="E808" t="str">
            <v>ATAKPAME-EST</v>
          </cell>
          <cell r="F808" t="str">
            <v>FH</v>
          </cell>
          <cell r="G808" t="str">
            <v>Grid-DG-Batt.</v>
          </cell>
          <cell r="H808" t="str">
            <v>OK</v>
          </cell>
          <cell r="I808" t="str">
            <v>NO</v>
          </cell>
          <cell r="J808" t="str">
            <v>NO</v>
          </cell>
          <cell r="K808" t="str">
            <v>BRONZE</v>
          </cell>
          <cell r="L808" t="str">
            <v>rural</v>
          </cell>
          <cell r="M808" t="str">
            <v>70997030</v>
          </cell>
          <cell r="N808" t="str">
            <v>ATAKPAME</v>
          </cell>
        </row>
        <row r="809">
          <cell r="A809" t="str">
            <v>NANO</v>
          </cell>
          <cell r="B809"/>
          <cell r="C809" t="str">
            <v>SAV-024</v>
          </cell>
          <cell r="D809" t="str">
            <v>SAVANES</v>
          </cell>
          <cell r="E809" t="str">
            <v>DAPAONG 1</v>
          </cell>
          <cell r="F809" t="str">
            <v>FH</v>
          </cell>
          <cell r="G809" t="str">
            <v>Grid-DG-Batt.</v>
          </cell>
          <cell r="H809" t="str">
            <v>OK</v>
          </cell>
          <cell r="I809" t="str">
            <v>NO</v>
          </cell>
          <cell r="J809" t="str">
            <v>YES</v>
          </cell>
          <cell r="K809" t="str">
            <v>GOLD</v>
          </cell>
          <cell r="L809" t="str">
            <v>rural</v>
          </cell>
          <cell r="M809" t="str">
            <v>70997031</v>
          </cell>
          <cell r="N809" t="str">
            <v>DAPAONG</v>
          </cell>
        </row>
        <row r="810">
          <cell r="A810" t="str">
            <v>NAOUTIERI</v>
          </cell>
          <cell r="B810">
            <v>45016</v>
          </cell>
          <cell r="C810" t="str">
            <v>SAV-105</v>
          </cell>
          <cell r="D810" t="str">
            <v>SAVANES</v>
          </cell>
          <cell r="E810" t="str">
            <v>MANGO</v>
          </cell>
          <cell r="F810" t="str">
            <v>FH</v>
          </cell>
          <cell r="G810" t="str">
            <v>DG-Solar-Batt.</v>
          </cell>
          <cell r="H810" t="str">
            <v>OK</v>
          </cell>
          <cell r="I810" t="str">
            <v>NO</v>
          </cell>
          <cell r="J810" t="str">
            <v>YES</v>
          </cell>
          <cell r="K810" t="str">
            <v>BRONZE</v>
          </cell>
          <cell r="L810" t="str">
            <v>rural</v>
          </cell>
          <cell r="M810">
            <v>70997266</v>
          </cell>
          <cell r="N810" t="str">
            <v>MANGO</v>
          </cell>
        </row>
        <row r="811">
          <cell r="A811" t="str">
            <v>NASSABLE</v>
          </cell>
          <cell r="B811"/>
          <cell r="C811" t="str">
            <v>SAV-007</v>
          </cell>
          <cell r="D811" t="str">
            <v>SAVANES</v>
          </cell>
          <cell r="E811" t="str">
            <v>DAPAONG 1</v>
          </cell>
          <cell r="F811" t="str">
            <v>FH</v>
          </cell>
          <cell r="G811" t="str">
            <v>Grid-DG-Batt.</v>
          </cell>
          <cell r="H811" t="str">
            <v>OK</v>
          </cell>
          <cell r="I811" t="str">
            <v>YES</v>
          </cell>
          <cell r="J811" t="str">
            <v>YES</v>
          </cell>
          <cell r="K811" t="str">
            <v>GOLD</v>
          </cell>
          <cell r="L811" t="str">
            <v>SubUrbain</v>
          </cell>
          <cell r="M811">
            <v>0</v>
          </cell>
          <cell r="N811" t="str">
            <v>DAPAONG</v>
          </cell>
        </row>
        <row r="812">
          <cell r="A812" t="str">
            <v>NASSIKOU</v>
          </cell>
          <cell r="B812">
            <v>43885</v>
          </cell>
          <cell r="C812" t="str">
            <v>KAR-112</v>
          </cell>
          <cell r="D812" t="str">
            <v>KARA</v>
          </cell>
          <cell r="E812" t="str">
            <v>KANTE</v>
          </cell>
          <cell r="F812" t="str">
            <v>FH</v>
          </cell>
          <cell r="G812" t="str">
            <v>DG-Solar-Batt.</v>
          </cell>
          <cell r="H812" t="str">
            <v>OK</v>
          </cell>
          <cell r="I812" t="str">
            <v>NO</v>
          </cell>
          <cell r="J812" t="str">
            <v>NO</v>
          </cell>
          <cell r="K812" t="str">
            <v>BRONZE</v>
          </cell>
          <cell r="L812" t="str">
            <v>rural</v>
          </cell>
          <cell r="M812" t="str">
            <v>70997032</v>
          </cell>
          <cell r="N812" t="str">
            <v>KANTE</v>
          </cell>
        </row>
        <row r="813">
          <cell r="A813" t="str">
            <v>NATARE</v>
          </cell>
          <cell r="B813">
            <v>43878</v>
          </cell>
          <cell r="C813" t="str">
            <v>SAV-075</v>
          </cell>
          <cell r="D813" t="str">
            <v>SAVANES</v>
          </cell>
          <cell r="E813" t="str">
            <v>DAPAONG 1</v>
          </cell>
          <cell r="F813" t="str">
            <v>FH</v>
          </cell>
          <cell r="G813" t="str">
            <v>Grid-DG-Batt.</v>
          </cell>
          <cell r="H813" t="str">
            <v>OK</v>
          </cell>
          <cell r="I813" t="str">
            <v>NO</v>
          </cell>
          <cell r="J813" t="str">
            <v>NO</v>
          </cell>
          <cell r="K813" t="str">
            <v>BRONZE</v>
          </cell>
          <cell r="L813" t="str">
            <v>rural</v>
          </cell>
          <cell r="M813" t="str">
            <v>70997033</v>
          </cell>
          <cell r="N813" t="str">
            <v>DAPAONG</v>
          </cell>
        </row>
        <row r="814">
          <cell r="A814" t="str">
            <v>NATCHAMBA</v>
          </cell>
          <cell r="B814">
            <v>43595</v>
          </cell>
          <cell r="C814" t="str">
            <v>KAR-091</v>
          </cell>
          <cell r="D814" t="str">
            <v>KARA</v>
          </cell>
          <cell r="E814" t="str">
            <v>KABOU</v>
          </cell>
          <cell r="F814" t="str">
            <v>FH</v>
          </cell>
          <cell r="G814" t="str">
            <v>DG-Solar-Batt.</v>
          </cell>
          <cell r="H814" t="str">
            <v>NOK</v>
          </cell>
          <cell r="I814" t="str">
            <v>NO</v>
          </cell>
          <cell r="J814" t="str">
            <v>NO</v>
          </cell>
          <cell r="K814" t="str">
            <v>BRONZE</v>
          </cell>
          <cell r="L814" t="str">
            <v>rural</v>
          </cell>
          <cell r="M814" t="str">
            <v>70997034</v>
          </cell>
          <cell r="N814" t="str">
            <v>KABOU</v>
          </cell>
        </row>
        <row r="815">
          <cell r="A815" t="str">
            <v>NATCHANGOU</v>
          </cell>
          <cell r="B815"/>
          <cell r="C815" t="str">
            <v>KAR-044</v>
          </cell>
          <cell r="D815" t="str">
            <v>KARA</v>
          </cell>
          <cell r="E815" t="str">
            <v>KANTE</v>
          </cell>
          <cell r="F815" t="str">
            <v>FH</v>
          </cell>
          <cell r="G815" t="str">
            <v>DG-Solar-Batt.</v>
          </cell>
          <cell r="H815" t="str">
            <v>OK</v>
          </cell>
          <cell r="I815" t="str">
            <v>NO</v>
          </cell>
          <cell r="J815" t="str">
            <v>NO</v>
          </cell>
          <cell r="K815" t="str">
            <v>BRONZE</v>
          </cell>
          <cell r="L815" t="str">
            <v>rural</v>
          </cell>
          <cell r="M815" t="str">
            <v>70997035</v>
          </cell>
          <cell r="N815" t="str">
            <v>KANTE</v>
          </cell>
        </row>
        <row r="816">
          <cell r="A816" t="str">
            <v>NATCHIBORE</v>
          </cell>
          <cell r="B816">
            <v>43588</v>
          </cell>
          <cell r="C816" t="str">
            <v>KAR-060</v>
          </cell>
          <cell r="D816" t="str">
            <v>KARA</v>
          </cell>
          <cell r="E816" t="str">
            <v>KARA-OUEST</v>
          </cell>
          <cell r="F816" t="str">
            <v>FH</v>
          </cell>
          <cell r="G816" t="str">
            <v>DG-Solar-Batt.</v>
          </cell>
          <cell r="H816" t="str">
            <v>OK</v>
          </cell>
          <cell r="I816" t="str">
            <v>NO</v>
          </cell>
          <cell r="J816" t="str">
            <v>NO</v>
          </cell>
          <cell r="K816" t="str">
            <v>BRONZE</v>
          </cell>
          <cell r="L816" t="str">
            <v>rural</v>
          </cell>
          <cell r="M816" t="str">
            <v>70997036</v>
          </cell>
          <cell r="N816" t="str">
            <v>KARA OUEST</v>
          </cell>
        </row>
        <row r="817">
          <cell r="A817" t="str">
            <v>NATCHITIKPI</v>
          </cell>
          <cell r="B817"/>
          <cell r="C817" t="str">
            <v>KAR-061</v>
          </cell>
          <cell r="D817" t="str">
            <v>KARA</v>
          </cell>
          <cell r="E817" t="str">
            <v>KARA-OUEST</v>
          </cell>
          <cell r="F817" t="str">
            <v>FH</v>
          </cell>
          <cell r="G817" t="str">
            <v>Grid-DG-Solar-Batt.</v>
          </cell>
          <cell r="H817" t="str">
            <v>OK</v>
          </cell>
          <cell r="I817" t="str">
            <v>NO</v>
          </cell>
          <cell r="J817" t="str">
            <v>NO</v>
          </cell>
          <cell r="K817" t="str">
            <v>BRONZE</v>
          </cell>
          <cell r="L817" t="str">
            <v>rural</v>
          </cell>
          <cell r="M817" t="str">
            <v>70997037</v>
          </cell>
          <cell r="N817" t="str">
            <v>KARA OUEST</v>
          </cell>
        </row>
        <row r="818">
          <cell r="A818" t="str">
            <v>NATCHO</v>
          </cell>
          <cell r="B818">
            <v>45014</v>
          </cell>
          <cell r="C818" t="str">
            <v>SAV-106</v>
          </cell>
          <cell r="D818" t="str">
            <v>SAVANES</v>
          </cell>
          <cell r="E818" t="str">
            <v>MANGO</v>
          </cell>
          <cell r="F818" t="str">
            <v>FH</v>
          </cell>
          <cell r="G818" t="str">
            <v>DG-Solar-Batt.</v>
          </cell>
          <cell r="H818" t="str">
            <v>OK</v>
          </cell>
          <cell r="I818" t="str">
            <v>NO</v>
          </cell>
          <cell r="J818" t="str">
            <v>YES</v>
          </cell>
          <cell r="K818" t="str">
            <v>BRONZE</v>
          </cell>
          <cell r="L818" t="str">
            <v>rural</v>
          </cell>
          <cell r="M818">
            <v>0</v>
          </cell>
          <cell r="N818" t="str">
            <v>MANGO</v>
          </cell>
        </row>
        <row r="819">
          <cell r="A819" t="str">
            <v>NATIGOU</v>
          </cell>
          <cell r="B819">
            <v>43890</v>
          </cell>
          <cell r="C819" t="str">
            <v>SAV-078</v>
          </cell>
          <cell r="D819" t="str">
            <v>SAVANES</v>
          </cell>
          <cell r="E819" t="str">
            <v>DAPAONG 1</v>
          </cell>
          <cell r="F819" t="str">
            <v>FH</v>
          </cell>
          <cell r="G819" t="str">
            <v>DG-Solar-Batt.</v>
          </cell>
          <cell r="H819" t="str">
            <v>NOK</v>
          </cell>
          <cell r="I819" t="str">
            <v>NO</v>
          </cell>
          <cell r="J819" t="str">
            <v>NO</v>
          </cell>
          <cell r="K819" t="str">
            <v>SILVER</v>
          </cell>
          <cell r="L819" t="str">
            <v>rural</v>
          </cell>
          <cell r="M819" t="str">
            <v>70997038</v>
          </cell>
          <cell r="N819" t="str">
            <v>DAPAONG</v>
          </cell>
        </row>
        <row r="820">
          <cell r="A820" t="str">
            <v>NATIPONI</v>
          </cell>
          <cell r="B820">
            <v>43946</v>
          </cell>
          <cell r="C820" t="str">
            <v>SAV-083</v>
          </cell>
          <cell r="D820" t="str">
            <v>KARA</v>
          </cell>
          <cell r="E820" t="str">
            <v>KANTE</v>
          </cell>
          <cell r="F820" t="str">
            <v>FH</v>
          </cell>
          <cell r="G820" t="str">
            <v>DG-Solar-Batt.</v>
          </cell>
          <cell r="H820" t="str">
            <v>OK</v>
          </cell>
          <cell r="I820" t="str">
            <v>NO</v>
          </cell>
          <cell r="J820" t="str">
            <v>NO</v>
          </cell>
          <cell r="K820" t="str">
            <v>BRONZE</v>
          </cell>
          <cell r="L820" t="str">
            <v>rural</v>
          </cell>
          <cell r="M820" t="str">
            <v>70997039</v>
          </cell>
          <cell r="N820" t="str">
            <v>KANTE</v>
          </cell>
        </row>
        <row r="821">
          <cell r="A821" t="str">
            <v>NAWAKOU</v>
          </cell>
          <cell r="B821">
            <v>45029</v>
          </cell>
          <cell r="C821" t="str">
            <v>KAR-154</v>
          </cell>
          <cell r="D821" t="str">
            <v>KARA</v>
          </cell>
          <cell r="E821" t="str">
            <v>KABOU</v>
          </cell>
          <cell r="F821" t="str">
            <v>FH</v>
          </cell>
          <cell r="G821" t="str">
            <v>DG-Solar-Batt.</v>
          </cell>
          <cell r="H821" t="str">
            <v>OK</v>
          </cell>
          <cell r="I821" t="str">
            <v>NO</v>
          </cell>
          <cell r="J821" t="str">
            <v>YES</v>
          </cell>
          <cell r="K821" t="str">
            <v>BRONZE</v>
          </cell>
          <cell r="L821" t="str">
            <v>rural</v>
          </cell>
          <cell r="M821">
            <v>70997270</v>
          </cell>
          <cell r="N821" t="str">
            <v>MANGO</v>
          </cell>
        </row>
        <row r="822">
          <cell r="A822" t="str">
            <v>NAWARE</v>
          </cell>
          <cell r="B822">
            <v>43589</v>
          </cell>
          <cell r="C822" t="str">
            <v>KAR-068</v>
          </cell>
          <cell r="D822" t="str">
            <v>KARA</v>
          </cell>
          <cell r="E822" t="str">
            <v>KABOU</v>
          </cell>
          <cell r="F822" t="str">
            <v>FH</v>
          </cell>
          <cell r="G822" t="str">
            <v>DG-Solar-Batt.</v>
          </cell>
          <cell r="H822" t="str">
            <v>OK</v>
          </cell>
          <cell r="I822" t="str">
            <v>NO</v>
          </cell>
          <cell r="J822" t="str">
            <v>NO</v>
          </cell>
          <cell r="K822" t="str">
            <v>BRONZE</v>
          </cell>
          <cell r="L822" t="str">
            <v>rural</v>
          </cell>
          <cell r="M822" t="str">
            <v>70997040</v>
          </cell>
          <cell r="N822" t="str">
            <v>KABOU</v>
          </cell>
        </row>
        <row r="823">
          <cell r="A823" t="str">
            <v>NDIGBE</v>
          </cell>
          <cell r="B823"/>
          <cell r="C823" t="str">
            <v>PLA-064</v>
          </cell>
          <cell r="D823" t="str">
            <v>MARITIME</v>
          </cell>
          <cell r="E823" t="str">
            <v>KPALIME</v>
          </cell>
          <cell r="F823" t="str">
            <v>FH</v>
          </cell>
          <cell r="G823" t="str">
            <v>Grid-DG-Batt.</v>
          </cell>
          <cell r="H823" t="str">
            <v>OK</v>
          </cell>
          <cell r="I823" t="str">
            <v>NO</v>
          </cell>
          <cell r="J823" t="str">
            <v>NO</v>
          </cell>
          <cell r="K823" t="str">
            <v>BRONZE</v>
          </cell>
          <cell r="L823" t="str">
            <v>rural</v>
          </cell>
          <cell r="M823" t="str">
            <v>70997041</v>
          </cell>
          <cell r="N823" t="str">
            <v>KPALIME</v>
          </cell>
        </row>
        <row r="824">
          <cell r="A824" t="str">
            <v>NETIME-MOOV</v>
          </cell>
          <cell r="B824"/>
          <cell r="C824" t="str">
            <v>LOM-167</v>
          </cell>
          <cell r="D824" t="str">
            <v>LOME</v>
          </cell>
          <cell r="E824" t="str">
            <v>LOME-SUD</v>
          </cell>
          <cell r="F824" t="str">
            <v>FH</v>
          </cell>
          <cell r="G824" t="str">
            <v>Grid-DG-Batt.</v>
          </cell>
          <cell r="H824" t="str">
            <v>OK</v>
          </cell>
          <cell r="I824" t="str">
            <v>NO</v>
          </cell>
          <cell r="J824" t="str">
            <v>NO</v>
          </cell>
          <cell r="K824" t="str">
            <v>SILVER</v>
          </cell>
          <cell r="L824" t="str">
            <v>Urbain</v>
          </cell>
          <cell r="M824">
            <v>0</v>
          </cell>
          <cell r="N824" t="str">
            <v>LOME SUD</v>
          </cell>
        </row>
        <row r="825">
          <cell r="A825" t="str">
            <v>NGAMBI</v>
          </cell>
          <cell r="B825">
            <v>43884</v>
          </cell>
          <cell r="C825" t="str">
            <v>KAR-111</v>
          </cell>
          <cell r="D825" t="str">
            <v>KARA</v>
          </cell>
          <cell r="E825" t="str">
            <v>KANTE</v>
          </cell>
          <cell r="F825" t="str">
            <v>FH</v>
          </cell>
          <cell r="G825" t="str">
            <v>DG-Solar-Batt.</v>
          </cell>
          <cell r="H825" t="str">
            <v>OK</v>
          </cell>
          <cell r="I825" t="str">
            <v>NO</v>
          </cell>
          <cell r="J825" t="str">
            <v>YES</v>
          </cell>
          <cell r="K825" t="str">
            <v>BRONZE</v>
          </cell>
          <cell r="L825" t="str">
            <v>rural</v>
          </cell>
          <cell r="M825" t="str">
            <v>70997042</v>
          </cell>
          <cell r="N825" t="str">
            <v>KANTE</v>
          </cell>
        </row>
        <row r="826">
          <cell r="A826" t="str">
            <v>NIAMTOUGOU</v>
          </cell>
          <cell r="B826" t="str">
            <v>NA</v>
          </cell>
          <cell r="C826" t="str">
            <v>KAR-030</v>
          </cell>
          <cell r="D826" t="str">
            <v>KARA</v>
          </cell>
          <cell r="E826" t="str">
            <v>KARA-EST</v>
          </cell>
          <cell r="F826" t="str">
            <v>FO</v>
          </cell>
          <cell r="G826" t="str">
            <v>Grid-DG-Batt.</v>
          </cell>
          <cell r="H826" t="str">
            <v>OK</v>
          </cell>
          <cell r="I826" t="str">
            <v>YES</v>
          </cell>
          <cell r="J826" t="str">
            <v>YES</v>
          </cell>
          <cell r="K826" t="str">
            <v>GOLD</v>
          </cell>
          <cell r="L826" t="str">
            <v>Urbain</v>
          </cell>
          <cell r="M826" t="str">
            <v>70997043</v>
          </cell>
          <cell r="N826" t="str">
            <v>KARA EST</v>
          </cell>
        </row>
        <row r="827">
          <cell r="A827" t="str">
            <v>NIAMTOUGOU-KANTAMBOLI</v>
          </cell>
          <cell r="B827">
            <v>43871</v>
          </cell>
          <cell r="C827" t="str">
            <v>KAR-107</v>
          </cell>
          <cell r="D827" t="str">
            <v>KARA</v>
          </cell>
          <cell r="E827" t="str">
            <v>KARA-EST</v>
          </cell>
          <cell r="F827" t="str">
            <v>FH</v>
          </cell>
          <cell r="G827" t="str">
            <v>Grid-DG-Batt.</v>
          </cell>
          <cell r="H827" t="str">
            <v>OK</v>
          </cell>
          <cell r="I827" t="str">
            <v>NO</v>
          </cell>
          <cell r="J827" t="str">
            <v>NO</v>
          </cell>
          <cell r="K827" t="str">
            <v>BRONZE</v>
          </cell>
          <cell r="L827" t="str">
            <v>SubUrbain</v>
          </cell>
          <cell r="M827" t="str">
            <v>70997044</v>
          </cell>
          <cell r="N827" t="str">
            <v>KARA EST</v>
          </cell>
        </row>
        <row r="828">
          <cell r="A828" t="str">
            <v>NIAMTOUGOU-KOPE</v>
          </cell>
          <cell r="B828"/>
          <cell r="C828" t="str">
            <v>PLA-089</v>
          </cell>
          <cell r="D828" t="str">
            <v>PLATEAUX</v>
          </cell>
          <cell r="E828" t="str">
            <v>ATAKPAME-EST</v>
          </cell>
          <cell r="F828" t="str">
            <v>FO</v>
          </cell>
          <cell r="G828" t="str">
            <v>DG-Solar-Batt.</v>
          </cell>
          <cell r="H828" t="str">
            <v>OK</v>
          </cell>
          <cell r="I828" t="str">
            <v>NO</v>
          </cell>
          <cell r="J828" t="str">
            <v>NO</v>
          </cell>
          <cell r="K828" t="str">
            <v>SILVER</v>
          </cell>
          <cell r="L828" t="str">
            <v>rural</v>
          </cell>
          <cell r="M828" t="str">
            <v>70997045</v>
          </cell>
          <cell r="N828" t="str">
            <v>ELAVAGNON</v>
          </cell>
        </row>
        <row r="829">
          <cell r="A829" t="str">
            <v>NIAMTOUGOU-MOOV</v>
          </cell>
          <cell r="B829">
            <v>44855</v>
          </cell>
          <cell r="C829" t="str">
            <v>KAR-147</v>
          </cell>
          <cell r="D829" t="str">
            <v>KARA</v>
          </cell>
          <cell r="E829" t="str">
            <v>KARA-EST</v>
          </cell>
          <cell r="F829" t="str">
            <v>FH</v>
          </cell>
          <cell r="G829" t="str">
            <v>Grid-DG-Batt.</v>
          </cell>
          <cell r="H829" t="str">
            <v>OK</v>
          </cell>
          <cell r="I829" t="str">
            <v>NO</v>
          </cell>
          <cell r="J829" t="str">
            <v>YES</v>
          </cell>
          <cell r="K829" t="str">
            <v>BRONZE</v>
          </cell>
          <cell r="L829" t="str">
            <v>Urbain</v>
          </cell>
          <cell r="M829">
            <v>0</v>
          </cell>
          <cell r="N829" t="str">
            <v>KARA EST</v>
          </cell>
        </row>
        <row r="830">
          <cell r="A830" t="str">
            <v>NIOUPOURMA</v>
          </cell>
          <cell r="B830"/>
          <cell r="C830" t="str">
            <v>SAV-008</v>
          </cell>
          <cell r="D830" t="str">
            <v>SAVANES</v>
          </cell>
          <cell r="E830" t="str">
            <v>DAPAONG 1</v>
          </cell>
          <cell r="F830" t="str">
            <v>FH</v>
          </cell>
          <cell r="G830" t="str">
            <v>DG-Solar-Batt.</v>
          </cell>
          <cell r="H830" t="str">
            <v>OK</v>
          </cell>
          <cell r="I830" t="str">
            <v>NO</v>
          </cell>
          <cell r="J830" t="str">
            <v>YES</v>
          </cell>
          <cell r="K830" t="str">
            <v>SILVER</v>
          </cell>
          <cell r="L830" t="str">
            <v>rural</v>
          </cell>
          <cell r="M830" t="str">
            <v>70997046</v>
          </cell>
          <cell r="N830" t="str">
            <v>DAPAONG</v>
          </cell>
        </row>
        <row r="831">
          <cell r="A831" t="str">
            <v>NKENGBE</v>
          </cell>
          <cell r="B831"/>
          <cell r="C831" t="str">
            <v>CEN-073</v>
          </cell>
          <cell r="D831" t="str">
            <v>CENTRALE</v>
          </cell>
          <cell r="E831" t="str">
            <v>BLITTA</v>
          </cell>
          <cell r="F831" t="str">
            <v>FH</v>
          </cell>
          <cell r="G831" t="str">
            <v>DG-Solar-Batt.</v>
          </cell>
          <cell r="H831" t="str">
            <v>OK</v>
          </cell>
          <cell r="I831" t="str">
            <v>NO</v>
          </cell>
          <cell r="J831" t="str">
            <v>NO</v>
          </cell>
          <cell r="K831" t="str">
            <v>BRONZE</v>
          </cell>
          <cell r="L831" t="str">
            <v>rural</v>
          </cell>
          <cell r="M831" t="str">
            <v>70997047</v>
          </cell>
          <cell r="N831" t="str">
            <v>BLITTA</v>
          </cell>
        </row>
        <row r="832">
          <cell r="A832" t="str">
            <v>NOEPE</v>
          </cell>
          <cell r="B832"/>
          <cell r="C832" t="str">
            <v>LOM-001</v>
          </cell>
          <cell r="D832" t="str">
            <v>LOME</v>
          </cell>
          <cell r="E832" t="str">
            <v>LOME-OUEST 1</v>
          </cell>
          <cell r="F832" t="str">
            <v>FH</v>
          </cell>
          <cell r="G832" t="str">
            <v>Grid-DG-Batt.</v>
          </cell>
          <cell r="H832" t="str">
            <v>OK</v>
          </cell>
          <cell r="I832" t="str">
            <v>NO</v>
          </cell>
          <cell r="J832" t="str">
            <v>NO</v>
          </cell>
          <cell r="K832" t="str">
            <v>BRONZE</v>
          </cell>
          <cell r="L832" t="str">
            <v>SubUrbain</v>
          </cell>
          <cell r="M832" t="str">
            <v>70997048</v>
          </cell>
          <cell r="N832" t="str">
            <v>LOME OUEST1</v>
          </cell>
        </row>
        <row r="833">
          <cell r="A833" t="str">
            <v>NOEPE-MOOV</v>
          </cell>
          <cell r="B833">
            <v>45215</v>
          </cell>
          <cell r="C833" t="str">
            <v>MAR-167</v>
          </cell>
          <cell r="D833" t="str">
            <v>LOME</v>
          </cell>
          <cell r="E833" t="str">
            <v>LOME-OUEST 1</v>
          </cell>
          <cell r="F833" t="str">
            <v>FH</v>
          </cell>
          <cell r="G833" t="str">
            <v>Grid-DG-Batt.</v>
          </cell>
          <cell r="H833" t="str">
            <v>OK</v>
          </cell>
          <cell r="I833" t="str">
            <v>NO</v>
          </cell>
          <cell r="J833" t="str">
            <v>NO</v>
          </cell>
          <cell r="K833" t="str">
            <v>GOLD</v>
          </cell>
          <cell r="L833" t="str">
            <v>SUBURBAN</v>
          </cell>
          <cell r="M833" t="e">
            <v>#N/A</v>
          </cell>
          <cell r="N833" t="str">
            <v>LOME OUEST1</v>
          </cell>
        </row>
        <row r="834">
          <cell r="A834" t="str">
            <v>NOTSE</v>
          </cell>
          <cell r="B834"/>
          <cell r="C834" t="str">
            <v>PLA-051</v>
          </cell>
          <cell r="D834" t="str">
            <v>PLATEAUX</v>
          </cell>
          <cell r="E834" t="str">
            <v>NOTSE</v>
          </cell>
          <cell r="F834" t="str">
            <v>FH</v>
          </cell>
          <cell r="G834" t="str">
            <v>Grid-DG-Batt.</v>
          </cell>
          <cell r="H834" t="str">
            <v>NOK</v>
          </cell>
          <cell r="I834" t="str">
            <v>NO</v>
          </cell>
          <cell r="J834" t="str">
            <v>YES</v>
          </cell>
          <cell r="K834" t="str">
            <v>SILVER</v>
          </cell>
          <cell r="L834" t="str">
            <v>Urbain</v>
          </cell>
          <cell r="M834" t="str">
            <v>70997049</v>
          </cell>
          <cell r="N834" t="str">
            <v>NOTSE</v>
          </cell>
        </row>
        <row r="835">
          <cell r="A835" t="str">
            <v>NOTSE-ADIME</v>
          </cell>
          <cell r="B835">
            <v>45248</v>
          </cell>
          <cell r="C835" t="str">
            <v>PLA-240</v>
          </cell>
          <cell r="D835" t="str">
            <v>PLATEAUX</v>
          </cell>
          <cell r="E835" t="str">
            <v>NOTSE</v>
          </cell>
          <cell r="F835" t="str">
            <v>FH</v>
          </cell>
          <cell r="G835" t="str">
            <v>Grid-DG-Batt.</v>
          </cell>
          <cell r="H835" t="str">
            <v>OK</v>
          </cell>
          <cell r="I835" t="str">
            <v>NO</v>
          </cell>
          <cell r="J835" t="str">
            <v>NO</v>
          </cell>
          <cell r="K835" t="str">
            <v>BRONZE</v>
          </cell>
          <cell r="L835" t="str">
            <v>URBAN</v>
          </cell>
          <cell r="M835">
            <v>0</v>
          </cell>
          <cell r="N835" t="str">
            <v>NOTSE</v>
          </cell>
        </row>
        <row r="836">
          <cell r="A836" t="str">
            <v>NOTSE-BERCEAU</v>
          </cell>
          <cell r="B836"/>
          <cell r="C836" t="str">
            <v>PLA-052</v>
          </cell>
          <cell r="D836" t="str">
            <v>PLATEAUX</v>
          </cell>
          <cell r="E836" t="str">
            <v>NOTSE</v>
          </cell>
          <cell r="F836" t="str">
            <v>FH</v>
          </cell>
          <cell r="G836" t="str">
            <v>Grid-DG-Solar-Batt.</v>
          </cell>
          <cell r="H836" t="str">
            <v>NOK</v>
          </cell>
          <cell r="I836" t="str">
            <v>NO</v>
          </cell>
          <cell r="J836" t="str">
            <v>NO</v>
          </cell>
          <cell r="K836" t="str">
            <v>BRONZE</v>
          </cell>
          <cell r="L836" t="str">
            <v>Urbain</v>
          </cell>
          <cell r="M836" t="str">
            <v>70997050</v>
          </cell>
          <cell r="N836" t="str">
            <v>NOTSE</v>
          </cell>
        </row>
        <row r="837">
          <cell r="A837" t="str">
            <v>NOTSE-CEG</v>
          </cell>
          <cell r="B837">
            <v>44852</v>
          </cell>
          <cell r="C837" t="str">
            <v>PLA-232</v>
          </cell>
          <cell r="D837" t="str">
            <v>PLATEAUX</v>
          </cell>
          <cell r="E837" t="str">
            <v>NOTSE</v>
          </cell>
          <cell r="F837" t="str">
            <v>FH</v>
          </cell>
          <cell r="G837" t="str">
            <v>Grid-DG-Batt.</v>
          </cell>
          <cell r="H837" t="str">
            <v>OK</v>
          </cell>
          <cell r="I837" t="str">
            <v>NO</v>
          </cell>
          <cell r="J837" t="str">
            <v>YES</v>
          </cell>
          <cell r="K837" t="str">
            <v>BRONZE</v>
          </cell>
          <cell r="L837" t="str">
            <v>Urbain</v>
          </cell>
          <cell r="M837" t="str">
            <v>70996509</v>
          </cell>
          <cell r="N837" t="str">
            <v>NOTSE</v>
          </cell>
        </row>
        <row r="838">
          <cell r="A838" t="str">
            <v>NOTSE-GAPEDJI</v>
          </cell>
          <cell r="B838"/>
          <cell r="C838" t="str">
            <v>PLA-053</v>
          </cell>
          <cell r="D838" t="str">
            <v>PLATEAUX</v>
          </cell>
          <cell r="E838" t="str">
            <v>NOTSE</v>
          </cell>
          <cell r="F838" t="str">
            <v>FO</v>
          </cell>
          <cell r="G838" t="str">
            <v>Grid-2DG-Batt.</v>
          </cell>
          <cell r="H838" t="str">
            <v>OK</v>
          </cell>
          <cell r="I838" t="str">
            <v>NO</v>
          </cell>
          <cell r="J838" t="str">
            <v>NO</v>
          </cell>
          <cell r="K838" t="str">
            <v>PLATINUM</v>
          </cell>
          <cell r="L838" t="str">
            <v>Urbain</v>
          </cell>
          <cell r="M838" t="str">
            <v>70997051</v>
          </cell>
          <cell r="N838" t="str">
            <v>NOTSE</v>
          </cell>
        </row>
        <row r="839">
          <cell r="A839" t="str">
            <v>NOTSE-KPEDOME</v>
          </cell>
          <cell r="B839">
            <v>43564</v>
          </cell>
          <cell r="C839" t="str">
            <v>PLA-029</v>
          </cell>
          <cell r="D839" t="str">
            <v>PLATEAUX</v>
          </cell>
          <cell r="E839" t="str">
            <v>NOTSE</v>
          </cell>
          <cell r="F839" t="str">
            <v>FH</v>
          </cell>
          <cell r="G839" t="str">
            <v>Grid-DG-Batt.</v>
          </cell>
          <cell r="H839" t="str">
            <v>OK</v>
          </cell>
          <cell r="I839" t="str">
            <v>YES</v>
          </cell>
          <cell r="J839" t="str">
            <v>NO</v>
          </cell>
          <cell r="K839" t="str">
            <v>SILVER</v>
          </cell>
          <cell r="L839" t="str">
            <v>Urbain</v>
          </cell>
          <cell r="M839" t="str">
            <v>70997052</v>
          </cell>
          <cell r="N839" t="str">
            <v>NOTSE</v>
          </cell>
        </row>
        <row r="840">
          <cell r="A840" t="str">
            <v>NOTSE-MOOV</v>
          </cell>
          <cell r="B840"/>
          <cell r="C840" t="str">
            <v>PLA-175</v>
          </cell>
          <cell r="D840" t="str">
            <v>PLATEAUX</v>
          </cell>
          <cell r="E840" t="str">
            <v>NOTSE</v>
          </cell>
          <cell r="F840" t="str">
            <v>FH</v>
          </cell>
          <cell r="G840" t="str">
            <v>Grid-DG-Batt.</v>
          </cell>
          <cell r="H840" t="str">
            <v>OK</v>
          </cell>
          <cell r="I840" t="str">
            <v>NO</v>
          </cell>
          <cell r="J840" t="str">
            <v>NO</v>
          </cell>
          <cell r="K840" t="str">
            <v>SILVER</v>
          </cell>
          <cell r="L840" t="str">
            <v>Urbain</v>
          </cell>
          <cell r="M840">
            <v>0</v>
          </cell>
          <cell r="N840" t="str">
            <v>NOTSE</v>
          </cell>
        </row>
        <row r="841">
          <cell r="A841" t="str">
            <v>NOTSE-NAOLO</v>
          </cell>
          <cell r="B841">
            <v>43879</v>
          </cell>
          <cell r="C841" t="str">
            <v>PLA-147</v>
          </cell>
          <cell r="D841" t="str">
            <v>PLATEAUX</v>
          </cell>
          <cell r="E841" t="str">
            <v>NOTSE</v>
          </cell>
          <cell r="F841" t="str">
            <v>FH</v>
          </cell>
          <cell r="G841" t="str">
            <v>Grid-DG-Batt.</v>
          </cell>
          <cell r="H841" t="str">
            <v>OK</v>
          </cell>
          <cell r="I841" t="str">
            <v>NO</v>
          </cell>
          <cell r="J841" t="str">
            <v>YES</v>
          </cell>
          <cell r="K841" t="str">
            <v>BRONZE</v>
          </cell>
          <cell r="L841" t="str">
            <v>Urbain</v>
          </cell>
          <cell r="M841" t="str">
            <v>70997053</v>
          </cell>
          <cell r="N841" t="str">
            <v>NOTSE</v>
          </cell>
        </row>
        <row r="842">
          <cell r="A842" t="str">
            <v>NTCHOUROU</v>
          </cell>
          <cell r="B842"/>
          <cell r="C842" t="str">
            <v>CEN-054</v>
          </cell>
          <cell r="D842" t="str">
            <v>CENTRALE</v>
          </cell>
          <cell r="E842" t="str">
            <v>TCHAMBA</v>
          </cell>
          <cell r="F842" t="str">
            <v>FH</v>
          </cell>
          <cell r="G842" t="str">
            <v>DG-Solar-Batt.</v>
          </cell>
          <cell r="H842" t="str">
            <v>OK</v>
          </cell>
          <cell r="I842" t="str">
            <v>NO</v>
          </cell>
          <cell r="J842" t="str">
            <v>YES</v>
          </cell>
          <cell r="K842" t="str">
            <v>BRONZE</v>
          </cell>
          <cell r="L842" t="str">
            <v>rural</v>
          </cell>
          <cell r="M842" t="str">
            <v>70997054</v>
          </cell>
          <cell r="N842" t="str">
            <v>TCHAMBA</v>
          </cell>
        </row>
        <row r="843">
          <cell r="A843" t="str">
            <v>NUKAFU</v>
          </cell>
          <cell r="B843"/>
          <cell r="C843" t="str">
            <v>LOM-134</v>
          </cell>
          <cell r="D843" t="str">
            <v>LOME</v>
          </cell>
          <cell r="E843" t="str">
            <v>LOME-CENTRE</v>
          </cell>
          <cell r="F843" t="str">
            <v>FO</v>
          </cell>
          <cell r="G843" t="str">
            <v>Grid-DG-Batt.</v>
          </cell>
          <cell r="H843" t="str">
            <v>OK</v>
          </cell>
          <cell r="I843" t="str">
            <v>NO</v>
          </cell>
          <cell r="J843" t="str">
            <v>NO</v>
          </cell>
          <cell r="K843" t="str">
            <v>GOLD</v>
          </cell>
          <cell r="L843" t="str">
            <v>Urbain</v>
          </cell>
          <cell r="M843" t="str">
            <v>70997055</v>
          </cell>
          <cell r="N843" t="str">
            <v>LOME CENTRE</v>
          </cell>
        </row>
        <row r="844">
          <cell r="A844" t="str">
            <v>NUKAFU2</v>
          </cell>
          <cell r="B844"/>
          <cell r="C844" t="str">
            <v>LOM-115</v>
          </cell>
          <cell r="D844" t="str">
            <v>LOME</v>
          </cell>
          <cell r="E844" t="str">
            <v>LOME-CENTRE</v>
          </cell>
          <cell r="F844" t="str">
            <v>FO</v>
          </cell>
          <cell r="G844" t="str">
            <v>Grid-DG-Batt.</v>
          </cell>
          <cell r="H844" t="str">
            <v>OK</v>
          </cell>
          <cell r="I844" t="str">
            <v>NO</v>
          </cell>
          <cell r="J844" t="str">
            <v>NO</v>
          </cell>
          <cell r="K844" t="str">
            <v>GOLD</v>
          </cell>
          <cell r="L844" t="str">
            <v>Urbain</v>
          </cell>
          <cell r="M844" t="str">
            <v>70997056</v>
          </cell>
          <cell r="N844" t="str">
            <v>LOME CENTRE</v>
          </cell>
        </row>
        <row r="845">
          <cell r="A845" t="str">
            <v>NYEKONAKPOE1</v>
          </cell>
          <cell r="B845"/>
          <cell r="C845" t="str">
            <v>LOM-140</v>
          </cell>
          <cell r="D845" t="str">
            <v>LOME</v>
          </cell>
          <cell r="E845" t="str">
            <v>LOME-SUD</v>
          </cell>
          <cell r="F845" t="str">
            <v>FO</v>
          </cell>
          <cell r="G845" t="str">
            <v>Grid-DG-Batt.</v>
          </cell>
          <cell r="H845" t="str">
            <v>OK</v>
          </cell>
          <cell r="I845" t="str">
            <v>NO</v>
          </cell>
          <cell r="J845" t="str">
            <v>NO</v>
          </cell>
          <cell r="K845" t="str">
            <v>SILVER</v>
          </cell>
          <cell r="L845" t="str">
            <v>Urbain</v>
          </cell>
          <cell r="M845" t="str">
            <v>70997057</v>
          </cell>
          <cell r="N845" t="str">
            <v>LOME SUD</v>
          </cell>
        </row>
        <row r="846">
          <cell r="A846" t="str">
            <v>NYEKONAKPOE2</v>
          </cell>
          <cell r="B846"/>
          <cell r="C846" t="str">
            <v>LOM-141</v>
          </cell>
          <cell r="D846" t="str">
            <v>LOME</v>
          </cell>
          <cell r="E846" t="str">
            <v>LOME-SUD</v>
          </cell>
          <cell r="F846" t="str">
            <v>FO</v>
          </cell>
          <cell r="G846" t="str">
            <v>Grid-DG-Batt.</v>
          </cell>
          <cell r="H846" t="str">
            <v>OK</v>
          </cell>
          <cell r="I846" t="str">
            <v>NO</v>
          </cell>
          <cell r="J846" t="str">
            <v>NO</v>
          </cell>
          <cell r="K846" t="str">
            <v>SILVER</v>
          </cell>
          <cell r="L846" t="str">
            <v>Urbain</v>
          </cell>
          <cell r="M846" t="str">
            <v>70997058</v>
          </cell>
          <cell r="N846" t="str">
            <v>LOME SUD</v>
          </cell>
        </row>
        <row r="847">
          <cell r="A847" t="str">
            <v>NYILE</v>
          </cell>
          <cell r="B847"/>
          <cell r="C847" t="str">
            <v>PLA-127</v>
          </cell>
          <cell r="D847" t="str">
            <v>MARITIME</v>
          </cell>
          <cell r="E847" t="str">
            <v>KPALIME</v>
          </cell>
          <cell r="F847" t="str">
            <v>FH</v>
          </cell>
          <cell r="G847" t="str">
            <v>DG-Solar-Batt.</v>
          </cell>
          <cell r="H847" t="str">
            <v>OK</v>
          </cell>
          <cell r="I847" t="str">
            <v>NO</v>
          </cell>
          <cell r="J847" t="str">
            <v>NO</v>
          </cell>
          <cell r="K847" t="str">
            <v>BRONZE</v>
          </cell>
          <cell r="L847" t="str">
            <v>rural</v>
          </cell>
          <cell r="M847" t="str">
            <v>70997059</v>
          </cell>
          <cell r="N847" t="str">
            <v>KPALIME</v>
          </cell>
        </row>
        <row r="848">
          <cell r="A848" t="str">
            <v>NYITA</v>
          </cell>
          <cell r="B848">
            <v>44560</v>
          </cell>
          <cell r="C848" t="str">
            <v>MAR-096</v>
          </cell>
          <cell r="D848" t="str">
            <v>MARITIME</v>
          </cell>
          <cell r="E848" t="str">
            <v>ANEHO</v>
          </cell>
          <cell r="F848" t="str">
            <v>FH</v>
          </cell>
          <cell r="G848" t="str">
            <v>Grid-DG-Batt.</v>
          </cell>
          <cell r="H848" t="str">
            <v>NOK</v>
          </cell>
          <cell r="I848" t="str">
            <v>NO</v>
          </cell>
          <cell r="J848" t="str">
            <v>YES</v>
          </cell>
          <cell r="K848" t="str">
            <v>BRONZE</v>
          </cell>
          <cell r="L848" t="str">
            <v>rural</v>
          </cell>
          <cell r="M848" t="str">
            <v>70996486</v>
          </cell>
          <cell r="N848" t="str">
            <v>ANEHO</v>
          </cell>
        </row>
        <row r="849">
          <cell r="A849" t="str">
            <v>NYIVE-MOOV</v>
          </cell>
          <cell r="B849">
            <v>45282</v>
          </cell>
          <cell r="C849" t="str">
            <v>PLA-217</v>
          </cell>
          <cell r="D849" t="str">
            <v>MARITIME</v>
          </cell>
          <cell r="E849" t="str">
            <v>KPALIME</v>
          </cell>
          <cell r="F849" t="str">
            <v>FH</v>
          </cell>
          <cell r="G849" t="str">
            <v>Grid-DG-Batt.</v>
          </cell>
          <cell r="H849" t="str">
            <v>OK</v>
          </cell>
          <cell r="I849" t="str">
            <v>NO</v>
          </cell>
          <cell r="J849" t="str">
            <v>NO</v>
          </cell>
          <cell r="K849" t="str">
            <v>BRONZE</v>
          </cell>
          <cell r="L849" t="str">
            <v>Rural</v>
          </cell>
          <cell r="M849">
            <v>70997367</v>
          </cell>
          <cell r="N849" t="str">
            <v>KPALIME</v>
          </cell>
        </row>
        <row r="850">
          <cell r="A850" t="str">
            <v>OFE</v>
          </cell>
          <cell r="B850"/>
          <cell r="C850" t="str">
            <v>PLA-045</v>
          </cell>
          <cell r="D850" t="str">
            <v>PLATEAUX</v>
          </cell>
          <cell r="E850" t="str">
            <v>ATAKPAME-EST</v>
          </cell>
          <cell r="F850" t="str">
            <v>FH</v>
          </cell>
          <cell r="G850" t="str">
            <v>DG-Solar-Batt.</v>
          </cell>
          <cell r="H850" t="str">
            <v>NOK</v>
          </cell>
          <cell r="I850" t="str">
            <v>NO</v>
          </cell>
          <cell r="J850" t="str">
            <v>NO</v>
          </cell>
          <cell r="K850" t="str">
            <v>BRONZE</v>
          </cell>
          <cell r="L850" t="str">
            <v>rural</v>
          </cell>
          <cell r="M850" t="str">
            <v>70997060</v>
          </cell>
          <cell r="N850" t="str">
            <v>ELAVAGNON</v>
          </cell>
        </row>
        <row r="851">
          <cell r="A851" t="str">
            <v>OFOUNAGBO</v>
          </cell>
          <cell r="B851" t="str">
            <v>22/05/2020</v>
          </cell>
          <cell r="C851" t="str">
            <v>PLA-177</v>
          </cell>
          <cell r="D851" t="str">
            <v>MARITIME</v>
          </cell>
          <cell r="E851" t="str">
            <v>KPALIME</v>
          </cell>
          <cell r="F851" t="str">
            <v>FH</v>
          </cell>
          <cell r="G851" t="str">
            <v>DG-Solar-Batt.</v>
          </cell>
          <cell r="H851" t="str">
            <v>OK</v>
          </cell>
          <cell r="I851" t="str">
            <v>NO</v>
          </cell>
          <cell r="J851" t="str">
            <v>YES</v>
          </cell>
          <cell r="K851" t="str">
            <v>BRONZE</v>
          </cell>
          <cell r="L851" t="str">
            <v>rural</v>
          </cell>
          <cell r="M851" t="str">
            <v>70997061</v>
          </cell>
          <cell r="N851" t="str">
            <v>KPALIME</v>
          </cell>
        </row>
        <row r="852">
          <cell r="A852" t="str">
            <v>OGARO</v>
          </cell>
          <cell r="B852">
            <v>43868</v>
          </cell>
          <cell r="C852" t="str">
            <v>SAV-072</v>
          </cell>
          <cell r="D852" t="str">
            <v>SAVANES</v>
          </cell>
          <cell r="E852" t="str">
            <v>DAPAONG 1</v>
          </cell>
          <cell r="F852" t="str">
            <v>FH</v>
          </cell>
          <cell r="G852" t="str">
            <v>Grid-DG-Batt.</v>
          </cell>
          <cell r="H852" t="str">
            <v>OK</v>
          </cell>
          <cell r="I852" t="str">
            <v>NO</v>
          </cell>
          <cell r="J852" t="str">
            <v>YES</v>
          </cell>
          <cell r="K852" t="str">
            <v>BRONZE</v>
          </cell>
          <cell r="L852" t="str">
            <v>rural</v>
          </cell>
          <cell r="M852" t="str">
            <v>70997062</v>
          </cell>
          <cell r="N852" t="str">
            <v>DAPAONG</v>
          </cell>
        </row>
        <row r="853">
          <cell r="A853" t="str">
            <v>OGOU-AKODESSEWA</v>
          </cell>
          <cell r="B853">
            <v>43881</v>
          </cell>
          <cell r="C853" t="str">
            <v>PLA-150</v>
          </cell>
          <cell r="D853" t="str">
            <v>PLATEAUX</v>
          </cell>
          <cell r="E853" t="str">
            <v>ATAKPAME-EST</v>
          </cell>
          <cell r="F853" t="str">
            <v>FH</v>
          </cell>
          <cell r="G853" t="str">
            <v>DG-Solar-Batt.</v>
          </cell>
          <cell r="H853" t="str">
            <v>OK</v>
          </cell>
          <cell r="I853" t="str">
            <v>NO</v>
          </cell>
          <cell r="J853" t="str">
            <v>NO</v>
          </cell>
          <cell r="K853" t="str">
            <v>BRONZE</v>
          </cell>
          <cell r="L853" t="str">
            <v>rural</v>
          </cell>
          <cell r="M853" t="str">
            <v>70997063</v>
          </cell>
          <cell r="N853" t="str">
            <v>ATAKPAME</v>
          </cell>
        </row>
        <row r="854">
          <cell r="A854" t="str">
            <v>OGOUKOLIDE-MOOV</v>
          </cell>
          <cell r="B854">
            <v>44860</v>
          </cell>
          <cell r="C854" t="str">
            <v>PLA-235</v>
          </cell>
          <cell r="D854" t="str">
            <v>PLATEAUX</v>
          </cell>
          <cell r="E854" t="str">
            <v>ATAKPAME-OUEST</v>
          </cell>
          <cell r="F854" t="str">
            <v>FH</v>
          </cell>
          <cell r="G854" t="str">
            <v>DG-Batt.</v>
          </cell>
          <cell r="H854" t="str">
            <v>OK</v>
          </cell>
          <cell r="I854" t="str">
            <v>NO</v>
          </cell>
          <cell r="J854" t="str">
            <v>YES</v>
          </cell>
          <cell r="K854" t="str">
            <v>BRONZE</v>
          </cell>
          <cell r="L854" t="str">
            <v>rural</v>
          </cell>
          <cell r="M854">
            <v>0</v>
          </cell>
          <cell r="N854" t="str">
            <v>ELAVAGNON</v>
          </cell>
        </row>
        <row r="855">
          <cell r="A855" t="str">
            <v>OKE</v>
          </cell>
          <cell r="B855"/>
          <cell r="C855" t="str">
            <v>PLA-082</v>
          </cell>
          <cell r="D855" t="str">
            <v>PLATEAUX</v>
          </cell>
          <cell r="E855" t="str">
            <v>ATAKPAME-OUEST</v>
          </cell>
          <cell r="F855" t="str">
            <v>FH</v>
          </cell>
          <cell r="G855" t="str">
            <v>DG-Solar-Batt.</v>
          </cell>
          <cell r="H855" t="str">
            <v>OK</v>
          </cell>
          <cell r="I855" t="str">
            <v>NO</v>
          </cell>
          <cell r="J855" t="str">
            <v>NO</v>
          </cell>
          <cell r="K855" t="str">
            <v>BRONZE</v>
          </cell>
          <cell r="L855" t="str">
            <v>rural</v>
          </cell>
          <cell r="M855" t="str">
            <v>70997064</v>
          </cell>
          <cell r="N855" t="str">
            <v>ELAVAGNON</v>
          </cell>
        </row>
        <row r="856">
          <cell r="A856" t="str">
            <v>OKOU</v>
          </cell>
          <cell r="B856"/>
          <cell r="C856" t="str">
            <v>PLA-107</v>
          </cell>
          <cell r="D856" t="str">
            <v>PLATEAUX</v>
          </cell>
          <cell r="E856" t="str">
            <v>BADOU</v>
          </cell>
          <cell r="F856" t="str">
            <v>FH</v>
          </cell>
          <cell r="G856" t="str">
            <v>DG-Solar-Batt.</v>
          </cell>
          <cell r="H856" t="str">
            <v>NOK</v>
          </cell>
          <cell r="I856" t="str">
            <v>NO</v>
          </cell>
          <cell r="J856" t="str">
            <v>YES</v>
          </cell>
          <cell r="K856" t="str">
            <v>BRONZE</v>
          </cell>
          <cell r="L856" t="str">
            <v>rural</v>
          </cell>
          <cell r="M856" t="str">
            <v>70997065</v>
          </cell>
          <cell r="N856" t="str">
            <v>BADOU</v>
          </cell>
        </row>
        <row r="857">
          <cell r="A857" t="str">
            <v>OKPAHOE</v>
          </cell>
          <cell r="B857">
            <v>44788</v>
          </cell>
          <cell r="C857" t="str">
            <v>PLA-197</v>
          </cell>
          <cell r="D857" t="str">
            <v>PLATEAUX</v>
          </cell>
          <cell r="E857" t="str">
            <v>BADOU</v>
          </cell>
          <cell r="F857" t="str">
            <v>FH</v>
          </cell>
          <cell r="G857" t="str">
            <v>DG-Solar-Batt.</v>
          </cell>
          <cell r="H857" t="str">
            <v>OK</v>
          </cell>
          <cell r="I857" t="str">
            <v>NO</v>
          </cell>
          <cell r="J857" t="str">
            <v>NO</v>
          </cell>
          <cell r="K857" t="str">
            <v>BRONZE</v>
          </cell>
          <cell r="L857" t="str">
            <v>rural</v>
          </cell>
          <cell r="M857" t="str">
            <v>70996487</v>
          </cell>
          <cell r="N857" t="str">
            <v>BADOU</v>
          </cell>
        </row>
        <row r="858">
          <cell r="A858" t="str">
            <v>OLD-PRESIDENCE</v>
          </cell>
          <cell r="B858"/>
          <cell r="C858" t="str">
            <v>LOM-142</v>
          </cell>
          <cell r="D858" t="str">
            <v>LOME</v>
          </cell>
          <cell r="E858" t="str">
            <v>LOME-SUD</v>
          </cell>
          <cell r="F858" t="str">
            <v>FO</v>
          </cell>
          <cell r="G858" t="str">
            <v>Grid-Batt.</v>
          </cell>
          <cell r="H858" t="str">
            <v>N/A</v>
          </cell>
          <cell r="I858" t="str">
            <v>YES</v>
          </cell>
          <cell r="J858" t="str">
            <v>YES</v>
          </cell>
          <cell r="K858" t="str">
            <v>PLATINUM</v>
          </cell>
          <cell r="L858" t="str">
            <v>Urbain</v>
          </cell>
          <cell r="M858" t="str">
            <v>70997066</v>
          </cell>
          <cell r="N858" t="str">
            <v>LOME SUD</v>
          </cell>
        </row>
        <row r="859">
          <cell r="A859" t="str">
            <v>OLIGO</v>
          </cell>
          <cell r="B859">
            <v>43899</v>
          </cell>
          <cell r="C859" t="str">
            <v>PLA-158</v>
          </cell>
          <cell r="D859" t="str">
            <v>PLATEAUX</v>
          </cell>
          <cell r="E859" t="str">
            <v>ATAKPAME-EST</v>
          </cell>
          <cell r="F859" t="str">
            <v>FH</v>
          </cell>
          <cell r="G859" t="str">
            <v>DG-Batt.</v>
          </cell>
          <cell r="H859" t="str">
            <v>OK</v>
          </cell>
          <cell r="I859" t="str">
            <v>YES</v>
          </cell>
          <cell r="J859" t="str">
            <v>NO</v>
          </cell>
          <cell r="K859" t="str">
            <v>BRONZE</v>
          </cell>
          <cell r="L859" t="str">
            <v>rural</v>
          </cell>
          <cell r="M859" t="str">
            <v>70997067</v>
          </cell>
          <cell r="N859" t="str">
            <v>ELAVAGNON</v>
          </cell>
        </row>
        <row r="860">
          <cell r="A860" t="str">
            <v>OLOUTOKOU</v>
          </cell>
          <cell r="B860">
            <v>43925</v>
          </cell>
          <cell r="C860" t="str">
            <v>PLA-167</v>
          </cell>
          <cell r="D860" t="str">
            <v>MARITIME</v>
          </cell>
          <cell r="E860" t="str">
            <v>KPALIME</v>
          </cell>
          <cell r="F860" t="str">
            <v>FH</v>
          </cell>
          <cell r="G860" t="str">
            <v>DG-Solar-Batt.</v>
          </cell>
          <cell r="H860" t="str">
            <v>OK</v>
          </cell>
          <cell r="I860" t="str">
            <v>NO</v>
          </cell>
          <cell r="J860" t="str">
            <v>NO</v>
          </cell>
          <cell r="K860" t="str">
            <v>BRONZE</v>
          </cell>
          <cell r="L860" t="str">
            <v>rural</v>
          </cell>
          <cell r="M860" t="str">
            <v>70997068</v>
          </cell>
          <cell r="N860" t="str">
            <v>KPALIME</v>
          </cell>
        </row>
        <row r="861">
          <cell r="A861" t="str">
            <v>OSSACRE</v>
          </cell>
          <cell r="B861"/>
          <cell r="C861" t="str">
            <v>KAR-051</v>
          </cell>
          <cell r="D861" t="str">
            <v>KARA</v>
          </cell>
          <cell r="E861" t="str">
            <v>KANTE</v>
          </cell>
          <cell r="F861" t="str">
            <v>FH</v>
          </cell>
          <cell r="G861" t="str">
            <v>DG-Solar-Batt.</v>
          </cell>
          <cell r="H861" t="str">
            <v>OK</v>
          </cell>
          <cell r="I861" t="str">
            <v>NO</v>
          </cell>
          <cell r="J861" t="str">
            <v>NO</v>
          </cell>
          <cell r="K861" t="str">
            <v>BRONZE</v>
          </cell>
          <cell r="L861" t="str">
            <v>rural</v>
          </cell>
          <cell r="M861" t="str">
            <v>70997069</v>
          </cell>
          <cell r="N861" t="str">
            <v>KANTE</v>
          </cell>
        </row>
        <row r="862">
          <cell r="A862" t="str">
            <v>OTADI</v>
          </cell>
          <cell r="B862"/>
          <cell r="C862" t="str">
            <v>PLA-108</v>
          </cell>
          <cell r="D862" t="str">
            <v>PLATEAUX</v>
          </cell>
          <cell r="E862" t="str">
            <v>ATAKPAME-EST</v>
          </cell>
          <cell r="F862" t="str">
            <v>FH</v>
          </cell>
          <cell r="G862" t="str">
            <v>DG-Solar-Batt.</v>
          </cell>
          <cell r="H862" t="str">
            <v>OK</v>
          </cell>
          <cell r="I862" t="str">
            <v>NO</v>
          </cell>
          <cell r="J862" t="str">
            <v>YES</v>
          </cell>
          <cell r="K862" t="str">
            <v>BRONZE</v>
          </cell>
          <cell r="L862" t="str">
            <v>rural</v>
          </cell>
          <cell r="M862" t="str">
            <v>70997070</v>
          </cell>
          <cell r="N862" t="str">
            <v>ATAKPAME</v>
          </cell>
        </row>
        <row r="863">
          <cell r="A863" t="str">
            <v>OUA</v>
          </cell>
          <cell r="B863">
            <v>44279</v>
          </cell>
          <cell r="C863" t="str">
            <v>LOM-260</v>
          </cell>
          <cell r="D863" t="str">
            <v>LOME</v>
          </cell>
          <cell r="E863" t="str">
            <v>LOME-CENTRE</v>
          </cell>
          <cell r="F863" t="str">
            <v>FH</v>
          </cell>
          <cell r="G863" t="str">
            <v>Grid-Batt.</v>
          </cell>
          <cell r="H863" t="str">
            <v>N/A</v>
          </cell>
          <cell r="I863" t="str">
            <v>NO</v>
          </cell>
          <cell r="J863" t="e">
            <v>#N/A</v>
          </cell>
          <cell r="K863" t="str">
            <v>PLATINUM</v>
          </cell>
          <cell r="L863" t="str">
            <v>Urbain</v>
          </cell>
          <cell r="M863" t="e">
            <v>#N/A</v>
          </cell>
          <cell r="N863" t="str">
            <v>LOME-CENTRE</v>
          </cell>
        </row>
        <row r="864">
          <cell r="A864" t="str">
            <v>OUNABE</v>
          </cell>
          <cell r="B864"/>
          <cell r="C864" t="str">
            <v>PLA-012</v>
          </cell>
          <cell r="D864" t="str">
            <v>PLATEAUX</v>
          </cell>
          <cell r="E864" t="str">
            <v>ATAKPAME-OUEST</v>
          </cell>
          <cell r="F864" t="str">
            <v>FH</v>
          </cell>
          <cell r="G864" t="str">
            <v>DG-Solar-Batt.</v>
          </cell>
          <cell r="H864" t="str">
            <v>OK</v>
          </cell>
          <cell r="I864" t="str">
            <v>NO</v>
          </cell>
          <cell r="J864" t="str">
            <v>NO</v>
          </cell>
          <cell r="K864" t="str">
            <v>BRONZE</v>
          </cell>
          <cell r="L864" t="str">
            <v>rural</v>
          </cell>
          <cell r="M864" t="str">
            <v>70997071</v>
          </cell>
          <cell r="N864" t="str">
            <v>ATAKPAME</v>
          </cell>
        </row>
        <row r="865">
          <cell r="A865" t="str">
            <v>OUNTIVOU</v>
          </cell>
          <cell r="B865"/>
          <cell r="C865" t="str">
            <v>PLA-139</v>
          </cell>
          <cell r="D865" t="str">
            <v>PLATEAUX</v>
          </cell>
          <cell r="E865" t="str">
            <v>ATAKPAME-EST</v>
          </cell>
          <cell r="F865" t="str">
            <v>FH</v>
          </cell>
          <cell r="G865" t="str">
            <v>Grid-DG-Solar-Batt.</v>
          </cell>
          <cell r="H865" t="str">
            <v>OK</v>
          </cell>
          <cell r="I865" t="str">
            <v>NO</v>
          </cell>
          <cell r="J865" t="str">
            <v>NO</v>
          </cell>
          <cell r="K865" t="str">
            <v>BRONZE</v>
          </cell>
          <cell r="L865" t="str">
            <v>rural</v>
          </cell>
          <cell r="M865" t="str">
            <v>70997072</v>
          </cell>
          <cell r="N865" t="str">
            <v>ATAKPAME</v>
          </cell>
        </row>
        <row r="866">
          <cell r="A866" t="str">
            <v>OUSSOMBO</v>
          </cell>
          <cell r="B866"/>
          <cell r="C866" t="str">
            <v>KAR-134</v>
          </cell>
          <cell r="D866" t="str">
            <v>KARA</v>
          </cell>
          <cell r="E866" t="str">
            <v>KABOU</v>
          </cell>
          <cell r="F866" t="str">
            <v>FH</v>
          </cell>
          <cell r="G866" t="str">
            <v>DG-Solar-Batt.</v>
          </cell>
          <cell r="H866" t="str">
            <v>OK</v>
          </cell>
          <cell r="I866" t="str">
            <v>NO</v>
          </cell>
          <cell r="J866" t="str">
            <v>YES</v>
          </cell>
          <cell r="K866" t="str">
            <v>BRONZE</v>
          </cell>
          <cell r="L866" t="str">
            <v>SubUrbain</v>
          </cell>
          <cell r="M866" t="str">
            <v>70996488</v>
          </cell>
          <cell r="N866" t="str">
            <v>KABOU</v>
          </cell>
        </row>
        <row r="867">
          <cell r="A867" t="str">
            <v>PAGALAGARE</v>
          </cell>
          <cell r="B867"/>
          <cell r="C867" t="str">
            <v>CEN-063</v>
          </cell>
          <cell r="D867" t="str">
            <v>CENTRALE</v>
          </cell>
          <cell r="E867" t="str">
            <v>BLITTA</v>
          </cell>
          <cell r="F867" t="str">
            <v>FH</v>
          </cell>
          <cell r="G867" t="str">
            <v>Grid-DG-Solar-Batt.</v>
          </cell>
          <cell r="H867" t="str">
            <v>NOK</v>
          </cell>
          <cell r="I867" t="str">
            <v>NO</v>
          </cell>
          <cell r="J867" t="str">
            <v>NO</v>
          </cell>
          <cell r="K867" t="str">
            <v>GOLD</v>
          </cell>
          <cell r="L867" t="str">
            <v>SubUrbain</v>
          </cell>
          <cell r="M867" t="str">
            <v>70997073</v>
          </cell>
          <cell r="N867" t="str">
            <v>BLITTA</v>
          </cell>
        </row>
        <row r="868">
          <cell r="A868" t="str">
            <v>PAGALAMINE</v>
          </cell>
          <cell r="B868"/>
          <cell r="C868" t="str">
            <v>CEN-074</v>
          </cell>
          <cell r="D868" t="str">
            <v>CENTRALE</v>
          </cell>
          <cell r="E868" t="str">
            <v>BLITTA</v>
          </cell>
          <cell r="F868" t="str">
            <v>FH</v>
          </cell>
          <cell r="G868" t="str">
            <v>DG-Batt.</v>
          </cell>
          <cell r="H868" t="str">
            <v>OK</v>
          </cell>
          <cell r="I868" t="str">
            <v>YES</v>
          </cell>
          <cell r="J868" t="str">
            <v>YES</v>
          </cell>
          <cell r="K868" t="str">
            <v>BRONZE</v>
          </cell>
          <cell r="L868" t="str">
            <v>rural</v>
          </cell>
          <cell r="M868" t="str">
            <v>70997074</v>
          </cell>
          <cell r="N868" t="str">
            <v>BLITTA</v>
          </cell>
        </row>
        <row r="869">
          <cell r="A869" t="str">
            <v>PAGALA-VILLAGE</v>
          </cell>
          <cell r="B869">
            <v>43880</v>
          </cell>
          <cell r="C869" t="str">
            <v>CEN-084</v>
          </cell>
          <cell r="D869" t="str">
            <v>CENTRALE</v>
          </cell>
          <cell r="E869" t="str">
            <v>BLITTA</v>
          </cell>
          <cell r="F869" t="str">
            <v>FH</v>
          </cell>
          <cell r="G869" t="str">
            <v>Grid-DG-Batt.</v>
          </cell>
          <cell r="H869" t="str">
            <v>NOK</v>
          </cell>
          <cell r="I869" t="str">
            <v>NO</v>
          </cell>
          <cell r="J869" t="str">
            <v>NO</v>
          </cell>
          <cell r="K869" t="str">
            <v>BRONZE</v>
          </cell>
          <cell r="L869" t="str">
            <v>rural</v>
          </cell>
          <cell r="M869" t="str">
            <v>70997075</v>
          </cell>
          <cell r="N869" t="str">
            <v>BLITTA</v>
          </cell>
        </row>
        <row r="870">
          <cell r="A870" t="str">
            <v>PAGOUDA</v>
          </cell>
          <cell r="B870"/>
          <cell r="C870" t="str">
            <v>KAR-033</v>
          </cell>
          <cell r="D870" t="str">
            <v>KARA</v>
          </cell>
          <cell r="E870" t="str">
            <v>KARA-EST</v>
          </cell>
          <cell r="F870" t="str">
            <v>FH</v>
          </cell>
          <cell r="G870" t="str">
            <v>Grid-DG-Batt.</v>
          </cell>
          <cell r="H870" t="str">
            <v>OK</v>
          </cell>
          <cell r="I870" t="str">
            <v>NO</v>
          </cell>
          <cell r="J870" t="str">
            <v>NO</v>
          </cell>
          <cell r="K870" t="str">
            <v>SILVER</v>
          </cell>
          <cell r="L870" t="str">
            <v>SubUrbain</v>
          </cell>
          <cell r="M870" t="str">
            <v>70997076</v>
          </cell>
          <cell r="N870" t="str">
            <v>KARA EST</v>
          </cell>
        </row>
        <row r="871">
          <cell r="A871" t="str">
            <v>PAGOUDA-KAGNISSI</v>
          </cell>
          <cell r="B871">
            <v>43871</v>
          </cell>
          <cell r="C871" t="str">
            <v>KAR-108</v>
          </cell>
          <cell r="D871" t="str">
            <v>KARA</v>
          </cell>
          <cell r="E871" t="str">
            <v>KARA-EST</v>
          </cell>
          <cell r="F871" t="str">
            <v>FH</v>
          </cell>
          <cell r="G871" t="str">
            <v>Grid-DG-Batt.</v>
          </cell>
          <cell r="H871" t="str">
            <v>NOK</v>
          </cell>
          <cell r="I871" t="str">
            <v>NO</v>
          </cell>
          <cell r="J871" t="str">
            <v>NO</v>
          </cell>
          <cell r="K871" t="str">
            <v>BRONZE</v>
          </cell>
          <cell r="L871" t="str">
            <v>rural</v>
          </cell>
          <cell r="M871" t="str">
            <v>70997077</v>
          </cell>
          <cell r="N871" t="str">
            <v>KARA EST</v>
          </cell>
        </row>
        <row r="872">
          <cell r="A872" t="str">
            <v>PAL</v>
          </cell>
          <cell r="B872"/>
          <cell r="C872" t="str">
            <v>LOM-193</v>
          </cell>
          <cell r="D872" t="str">
            <v>LOME</v>
          </cell>
          <cell r="E872" t="str">
            <v>LOME-EST</v>
          </cell>
          <cell r="F872" t="str">
            <v>FO</v>
          </cell>
          <cell r="G872" t="str">
            <v>Grid-DG-Batt.</v>
          </cell>
          <cell r="H872" t="str">
            <v>OK</v>
          </cell>
          <cell r="I872" t="str">
            <v>NO</v>
          </cell>
          <cell r="J872" t="str">
            <v>NO</v>
          </cell>
          <cell r="K872" t="str">
            <v>PLATINUM</v>
          </cell>
          <cell r="L872" t="str">
            <v>Urbain</v>
          </cell>
          <cell r="M872" t="str">
            <v>70997078</v>
          </cell>
          <cell r="N872" t="str">
            <v>LOME EST</v>
          </cell>
        </row>
        <row r="873">
          <cell r="A873" t="str">
            <v>PALAIS-CONGRES</v>
          </cell>
          <cell r="B873"/>
          <cell r="C873" t="str">
            <v>LOM-158</v>
          </cell>
          <cell r="D873" t="str">
            <v>LOME</v>
          </cell>
          <cell r="E873" t="str">
            <v>LOME-SUD</v>
          </cell>
          <cell r="F873" t="str">
            <v>FH</v>
          </cell>
          <cell r="G873" t="str">
            <v>Grid-DG-Batt.</v>
          </cell>
          <cell r="H873" t="str">
            <v>OK</v>
          </cell>
          <cell r="I873" t="str">
            <v>NO</v>
          </cell>
          <cell r="J873" t="str">
            <v>NO</v>
          </cell>
          <cell r="K873" t="str">
            <v>PLATINUM</v>
          </cell>
          <cell r="L873" t="str">
            <v>Urbain</v>
          </cell>
          <cell r="M873" t="str">
            <v>70997079</v>
          </cell>
          <cell r="N873" t="str">
            <v>LOME SUD</v>
          </cell>
        </row>
        <row r="874">
          <cell r="A874" t="str">
            <v>PALAKOKO</v>
          </cell>
          <cell r="B874"/>
          <cell r="C874" t="str">
            <v>PLA-094</v>
          </cell>
          <cell r="D874" t="str">
            <v>PLATEAUX</v>
          </cell>
          <cell r="E874" t="str">
            <v>ATAKPAME-EST</v>
          </cell>
          <cell r="F874" t="str">
            <v>FH</v>
          </cell>
          <cell r="G874" t="str">
            <v>DG-Solar-Batt.</v>
          </cell>
          <cell r="H874" t="str">
            <v>OK</v>
          </cell>
          <cell r="I874" t="str">
            <v>NO</v>
          </cell>
          <cell r="J874" t="str">
            <v>NO</v>
          </cell>
          <cell r="K874" t="str">
            <v>BRONZE</v>
          </cell>
          <cell r="L874" t="str">
            <v>rural</v>
          </cell>
          <cell r="M874" t="str">
            <v>70997080</v>
          </cell>
          <cell r="N874" t="str">
            <v>ELAVAGNON</v>
          </cell>
        </row>
        <row r="875">
          <cell r="A875" t="str">
            <v>PANA</v>
          </cell>
          <cell r="B875"/>
          <cell r="C875" t="str">
            <v>SAV-029</v>
          </cell>
          <cell r="D875" t="str">
            <v>SAVANES</v>
          </cell>
          <cell r="E875" t="str">
            <v>DAPAONG 1</v>
          </cell>
          <cell r="F875" t="str">
            <v>FH</v>
          </cell>
          <cell r="G875" t="str">
            <v>DG-Solar-Batt.</v>
          </cell>
          <cell r="H875" t="str">
            <v>OK</v>
          </cell>
          <cell r="I875" t="str">
            <v>NO</v>
          </cell>
          <cell r="J875" t="str">
            <v>NO</v>
          </cell>
          <cell r="K875" t="str">
            <v>SILVER</v>
          </cell>
          <cell r="L875" t="str">
            <v>rural</v>
          </cell>
          <cell r="M875" t="str">
            <v>70997081</v>
          </cell>
          <cell r="N875" t="str">
            <v>DAPAONG</v>
          </cell>
        </row>
        <row r="876">
          <cell r="A876" t="str">
            <v>PANGOUDA</v>
          </cell>
          <cell r="B876">
            <v>43790</v>
          </cell>
          <cell r="C876" t="str">
            <v>KAR-102</v>
          </cell>
          <cell r="D876" t="str">
            <v>KARA</v>
          </cell>
          <cell r="E876" t="str">
            <v>KANTE</v>
          </cell>
          <cell r="F876" t="str">
            <v>FH</v>
          </cell>
          <cell r="G876" t="str">
            <v>DG-Solar-Batt.</v>
          </cell>
          <cell r="H876" t="str">
            <v>OK</v>
          </cell>
          <cell r="I876" t="str">
            <v>NO</v>
          </cell>
          <cell r="J876" t="str">
            <v>NO</v>
          </cell>
          <cell r="K876" t="str">
            <v>BRONZE</v>
          </cell>
          <cell r="L876" t="str">
            <v>rural</v>
          </cell>
          <cell r="M876" t="str">
            <v>70997082</v>
          </cell>
          <cell r="N876" t="str">
            <v>KANTE</v>
          </cell>
        </row>
        <row r="877">
          <cell r="A877" t="str">
            <v>PANSIERI</v>
          </cell>
          <cell r="B877">
            <v>43628</v>
          </cell>
          <cell r="C877" t="str">
            <v>SAV-060</v>
          </cell>
          <cell r="D877" t="str">
            <v>SAVANES</v>
          </cell>
          <cell r="E877" t="str">
            <v>DAPAONG 1</v>
          </cell>
          <cell r="F877" t="str">
            <v>FH</v>
          </cell>
          <cell r="G877" t="str">
            <v>DG-Solar-Batt.</v>
          </cell>
          <cell r="H877" t="str">
            <v>NOK</v>
          </cell>
          <cell r="I877" t="str">
            <v>NO</v>
          </cell>
          <cell r="J877" t="str">
            <v>NO</v>
          </cell>
          <cell r="K877" t="str">
            <v>BRONZE</v>
          </cell>
          <cell r="L877" t="str">
            <v>rural</v>
          </cell>
          <cell r="M877" t="str">
            <v>70997083</v>
          </cell>
          <cell r="N877" t="str">
            <v>DAPAONG</v>
          </cell>
        </row>
        <row r="878">
          <cell r="A878" t="str">
            <v>PAPRI</v>
          </cell>
          <cell r="B878"/>
          <cell r="C878" t="str">
            <v>SAV-030</v>
          </cell>
          <cell r="D878" t="str">
            <v>SAVANES</v>
          </cell>
          <cell r="E878" t="str">
            <v>DAPAONG 1</v>
          </cell>
          <cell r="F878" t="str">
            <v>FH</v>
          </cell>
          <cell r="G878" t="str">
            <v>Grid-DG-Solar-Batt.</v>
          </cell>
          <cell r="H878" t="str">
            <v>NOK</v>
          </cell>
          <cell r="I878" t="str">
            <v>NO</v>
          </cell>
          <cell r="J878" t="str">
            <v>YES</v>
          </cell>
          <cell r="K878" t="str">
            <v>SILVER</v>
          </cell>
          <cell r="L878" t="str">
            <v>rural</v>
          </cell>
          <cell r="M878" t="str">
            <v>70997084</v>
          </cell>
          <cell r="N878" t="str">
            <v>DAPAONG</v>
          </cell>
        </row>
        <row r="879">
          <cell r="A879" t="str">
            <v>PATATOUKOU</v>
          </cell>
          <cell r="B879"/>
          <cell r="C879" t="str">
            <v>PLA-120</v>
          </cell>
          <cell r="D879" t="str">
            <v>MARITIME</v>
          </cell>
          <cell r="E879" t="str">
            <v>KPALIME</v>
          </cell>
          <cell r="F879" t="str">
            <v>FH</v>
          </cell>
          <cell r="G879" t="str">
            <v>Grid-DG-Batt.</v>
          </cell>
          <cell r="H879" t="str">
            <v>OK</v>
          </cell>
          <cell r="I879" t="str">
            <v>NO</v>
          </cell>
          <cell r="J879" t="str">
            <v>NO</v>
          </cell>
          <cell r="K879" t="str">
            <v>BRONZE</v>
          </cell>
          <cell r="L879" t="str">
            <v>rural</v>
          </cell>
          <cell r="M879" t="str">
            <v>70997085</v>
          </cell>
          <cell r="N879" t="str">
            <v>KPALIME</v>
          </cell>
        </row>
        <row r="880">
          <cell r="A880" t="str">
            <v>PAYOKA</v>
          </cell>
          <cell r="B880">
            <v>43869</v>
          </cell>
          <cell r="C880" t="str">
            <v>SAV-074</v>
          </cell>
          <cell r="D880" t="str">
            <v>SAVANES</v>
          </cell>
          <cell r="E880" t="str">
            <v>MANGO</v>
          </cell>
          <cell r="F880" t="str">
            <v>FH</v>
          </cell>
          <cell r="G880" t="str">
            <v>Grid-DG-Solar-Batt.</v>
          </cell>
          <cell r="H880" t="str">
            <v>OK</v>
          </cell>
          <cell r="I880" t="str">
            <v>NO</v>
          </cell>
          <cell r="J880" t="str">
            <v>NO</v>
          </cell>
          <cell r="K880" t="str">
            <v>BRONZE</v>
          </cell>
          <cell r="L880" t="str">
            <v>rural</v>
          </cell>
          <cell r="M880" t="str">
            <v>70997086</v>
          </cell>
          <cell r="N880" t="str">
            <v>MANGO</v>
          </cell>
        </row>
        <row r="881">
          <cell r="A881" t="str">
            <v>PELEGRIN</v>
          </cell>
          <cell r="B881">
            <v>44857</v>
          </cell>
          <cell r="C881" t="str">
            <v>LOM-365</v>
          </cell>
          <cell r="D881" t="str">
            <v>LOME</v>
          </cell>
          <cell r="E881" t="str">
            <v>LOME-NORD</v>
          </cell>
          <cell r="F881" t="str">
            <v>FH</v>
          </cell>
          <cell r="G881" t="str">
            <v>Grid-DG-Batt.</v>
          </cell>
          <cell r="H881" t="str">
            <v>OK</v>
          </cell>
          <cell r="I881" t="str">
            <v>NO</v>
          </cell>
          <cell r="J881" t="str">
            <v>YES</v>
          </cell>
          <cell r="K881" t="str">
            <v>SILVER</v>
          </cell>
          <cell r="L881" t="str">
            <v>Urbain</v>
          </cell>
          <cell r="M881">
            <v>70997255</v>
          </cell>
          <cell r="N881" t="str">
            <v>LOME NORD</v>
          </cell>
        </row>
        <row r="882">
          <cell r="A882" t="str">
            <v>PESSARE</v>
          </cell>
          <cell r="B882">
            <v>43750</v>
          </cell>
          <cell r="C882" t="str">
            <v>KAR-099</v>
          </cell>
          <cell r="D882" t="str">
            <v>KARA</v>
          </cell>
          <cell r="E882" t="str">
            <v>KARA-EST</v>
          </cell>
          <cell r="F882" t="str">
            <v>FH</v>
          </cell>
          <cell r="G882" t="str">
            <v>DG-Solar-Batt.</v>
          </cell>
          <cell r="H882" t="str">
            <v>NOK</v>
          </cell>
          <cell r="I882" t="str">
            <v>NO</v>
          </cell>
          <cell r="J882" t="str">
            <v>NO</v>
          </cell>
          <cell r="K882" t="str">
            <v>BRONZE</v>
          </cell>
          <cell r="L882" t="str">
            <v>rural</v>
          </cell>
          <cell r="M882" t="str">
            <v>70997087</v>
          </cell>
          <cell r="N882" t="str">
            <v>KARA EST</v>
          </cell>
        </row>
        <row r="883">
          <cell r="A883" t="str">
            <v>PIA</v>
          </cell>
          <cell r="B883">
            <v>44349</v>
          </cell>
          <cell r="C883" t="str">
            <v>LOM-289</v>
          </cell>
          <cell r="D883" t="str">
            <v>LOME</v>
          </cell>
          <cell r="E883" t="str">
            <v>LOME-NORD</v>
          </cell>
          <cell r="F883" t="str">
            <v>FH/FO</v>
          </cell>
          <cell r="G883" t="str">
            <v>Grid-DG-Batt.</v>
          </cell>
          <cell r="H883" t="str">
            <v>OK</v>
          </cell>
          <cell r="I883" t="str">
            <v>NO</v>
          </cell>
          <cell r="J883" t="str">
            <v>NO</v>
          </cell>
          <cell r="K883" t="str">
            <v>PLATINUM</v>
          </cell>
          <cell r="L883" t="str">
            <v>SubUrbain</v>
          </cell>
          <cell r="M883">
            <v>0</v>
          </cell>
          <cell r="N883" t="str">
            <v>LOME NORD</v>
          </cell>
        </row>
        <row r="884">
          <cell r="A884" t="str">
            <v>PIA2</v>
          </cell>
          <cell r="B884">
            <v>44544</v>
          </cell>
          <cell r="C884" t="str">
            <v>LOM-277</v>
          </cell>
          <cell r="D884" t="str">
            <v>LOME</v>
          </cell>
          <cell r="E884" t="str">
            <v>LOME-NORD</v>
          </cell>
          <cell r="F884" t="str">
            <v>FH</v>
          </cell>
          <cell r="G884" t="str">
            <v>Grid-DG-Batt.</v>
          </cell>
          <cell r="H884" t="str">
            <v>OK</v>
          </cell>
          <cell r="I884" t="str">
            <v>NO</v>
          </cell>
          <cell r="J884" t="str">
            <v>YES</v>
          </cell>
          <cell r="K884" t="str">
            <v>PLATINUM</v>
          </cell>
          <cell r="L884" t="str">
            <v>SubUrbain</v>
          </cell>
          <cell r="M884">
            <v>0</v>
          </cell>
          <cell r="N884" t="str">
            <v>LOME NORD</v>
          </cell>
        </row>
        <row r="885">
          <cell r="A885" t="str">
            <v>PONIO</v>
          </cell>
          <cell r="B885"/>
          <cell r="C885" t="str">
            <v>SAV-031</v>
          </cell>
          <cell r="D885" t="str">
            <v>SAVANES</v>
          </cell>
          <cell r="E885" t="str">
            <v>DAPAONG 1</v>
          </cell>
          <cell r="F885" t="str">
            <v>FH</v>
          </cell>
          <cell r="G885" t="str">
            <v>Grid-DG-Solar-Batt.</v>
          </cell>
          <cell r="H885" t="str">
            <v>NOK</v>
          </cell>
          <cell r="I885" t="str">
            <v>NO</v>
          </cell>
          <cell r="J885" t="str">
            <v>NO</v>
          </cell>
          <cell r="K885" t="str">
            <v>SILVER</v>
          </cell>
          <cell r="L885" t="str">
            <v>rural</v>
          </cell>
          <cell r="M885" t="str">
            <v>70997088</v>
          </cell>
          <cell r="N885" t="str">
            <v>DAPAONG</v>
          </cell>
        </row>
        <row r="886">
          <cell r="A886" t="str">
            <v>PORT</v>
          </cell>
          <cell r="B886"/>
          <cell r="C886" t="str">
            <v>LOM-194</v>
          </cell>
          <cell r="D886" t="str">
            <v>LOME</v>
          </cell>
          <cell r="E886" t="str">
            <v>LOME-EST</v>
          </cell>
          <cell r="F886" t="str">
            <v>FO</v>
          </cell>
          <cell r="G886" t="str">
            <v>Grid-DG-Batt.</v>
          </cell>
          <cell r="H886" t="str">
            <v>OK</v>
          </cell>
          <cell r="I886" t="str">
            <v>NO</v>
          </cell>
          <cell r="J886" t="str">
            <v>NO</v>
          </cell>
          <cell r="K886" t="str">
            <v>PLATINUM</v>
          </cell>
          <cell r="L886" t="str">
            <v>Urbain</v>
          </cell>
          <cell r="M886" t="str">
            <v>70997089</v>
          </cell>
          <cell r="N886" t="str">
            <v>LOME EST</v>
          </cell>
        </row>
        <row r="887">
          <cell r="A887" t="str">
            <v>PORT3</v>
          </cell>
          <cell r="B887"/>
          <cell r="C887" t="str">
            <v>LOM-195</v>
          </cell>
          <cell r="D887" t="str">
            <v>LOME</v>
          </cell>
          <cell r="E887" t="str">
            <v>LOME-EST</v>
          </cell>
          <cell r="F887" t="str">
            <v>FH</v>
          </cell>
          <cell r="G887" t="str">
            <v>Grid-Batt.</v>
          </cell>
          <cell r="H887" t="str">
            <v>N/A</v>
          </cell>
          <cell r="I887" t="str">
            <v>YES</v>
          </cell>
          <cell r="J887" t="str">
            <v>NO</v>
          </cell>
          <cell r="K887" t="str">
            <v>PLATINUM</v>
          </cell>
          <cell r="L887" t="str">
            <v>Urbain</v>
          </cell>
          <cell r="M887">
            <v>70997089</v>
          </cell>
          <cell r="N887" t="str">
            <v>LOME EST</v>
          </cell>
        </row>
        <row r="888">
          <cell r="A888" t="str">
            <v>PORT-MOOV</v>
          </cell>
          <cell r="B888"/>
          <cell r="C888" t="str">
            <v>LOM-196</v>
          </cell>
          <cell r="D888" t="str">
            <v>LOME</v>
          </cell>
          <cell r="E888" t="str">
            <v>LOME-EST</v>
          </cell>
          <cell r="F888" t="str">
            <v>FH</v>
          </cell>
          <cell r="G888" t="str">
            <v>Grid-DG-Batt.</v>
          </cell>
          <cell r="H888" t="str">
            <v>OK</v>
          </cell>
          <cell r="I888" t="str">
            <v>YES</v>
          </cell>
          <cell r="J888" t="str">
            <v>NO</v>
          </cell>
          <cell r="K888" t="str">
            <v>PLATINUM</v>
          </cell>
          <cell r="L888" t="str">
            <v>Urbain</v>
          </cell>
          <cell r="M888">
            <v>0</v>
          </cell>
          <cell r="N888" t="str">
            <v>LOME EST</v>
          </cell>
        </row>
        <row r="889">
          <cell r="A889" t="str">
            <v>PORT-TP3</v>
          </cell>
          <cell r="B889">
            <v>44730</v>
          </cell>
          <cell r="C889" t="str">
            <v>LOM-314</v>
          </cell>
          <cell r="D889" t="str">
            <v>LOME</v>
          </cell>
          <cell r="E889" t="str">
            <v>LOME-EST</v>
          </cell>
          <cell r="F889" t="str">
            <v>FTTM</v>
          </cell>
          <cell r="G889" t="str">
            <v>Grid-DG-Batt.</v>
          </cell>
          <cell r="H889" t="str">
            <v>OK</v>
          </cell>
          <cell r="I889" t="str">
            <v>NO</v>
          </cell>
          <cell r="J889" t="str">
            <v>YES</v>
          </cell>
          <cell r="K889" t="str">
            <v>PLATINUM</v>
          </cell>
          <cell r="L889" t="str">
            <v>Urbain</v>
          </cell>
          <cell r="M889">
            <v>0</v>
          </cell>
          <cell r="N889" t="str">
            <v>LOME EST</v>
          </cell>
        </row>
        <row r="890">
          <cell r="A890" t="str">
            <v>PORT-ZORRO-BAR</v>
          </cell>
          <cell r="B890">
            <v>45281</v>
          </cell>
          <cell r="C890" t="str">
            <v>LOM-389</v>
          </cell>
          <cell r="D890" t="str">
            <v>LOME</v>
          </cell>
          <cell r="E890" t="str">
            <v>LOME-EST</v>
          </cell>
          <cell r="F890" t="str">
            <v>FH</v>
          </cell>
          <cell r="G890" t="str">
            <v>Grid-DG-Batt.</v>
          </cell>
          <cell r="H890" t="str">
            <v>NOK</v>
          </cell>
          <cell r="I890" t="str">
            <v>NO</v>
          </cell>
          <cell r="J890" t="str">
            <v>NO</v>
          </cell>
          <cell r="K890" t="str">
            <v>PLATINUM</v>
          </cell>
          <cell r="L890" t="str">
            <v>Urban</v>
          </cell>
          <cell r="M890">
            <v>0</v>
          </cell>
          <cell r="N890" t="str">
            <v>LOME EST</v>
          </cell>
        </row>
        <row r="891">
          <cell r="A891" t="str">
            <v>POUDA</v>
          </cell>
          <cell r="B891">
            <v>43813</v>
          </cell>
          <cell r="C891" t="str">
            <v>KAR-106</v>
          </cell>
          <cell r="D891" t="str">
            <v>KARA</v>
          </cell>
          <cell r="E891" t="str">
            <v>KARA-EST</v>
          </cell>
          <cell r="F891" t="str">
            <v>FH</v>
          </cell>
          <cell r="G891" t="str">
            <v>DG-Solar-Batt.</v>
          </cell>
          <cell r="H891" t="str">
            <v>NOK</v>
          </cell>
          <cell r="I891" t="str">
            <v>NO</v>
          </cell>
          <cell r="J891" t="str">
            <v>NO</v>
          </cell>
          <cell r="K891" t="str">
            <v>BRONZE</v>
          </cell>
          <cell r="L891" t="str">
            <v>rural</v>
          </cell>
          <cell r="M891" t="str">
            <v>70997090</v>
          </cell>
          <cell r="N891" t="str">
            <v>KARA EST</v>
          </cell>
        </row>
        <row r="892">
          <cell r="A892" t="str">
            <v>PRESIDENCE</v>
          </cell>
          <cell r="B892"/>
          <cell r="C892" t="str">
            <v>LOM-109</v>
          </cell>
          <cell r="D892" t="str">
            <v>LOME</v>
          </cell>
          <cell r="E892" t="str">
            <v>LOME-CENTRE</v>
          </cell>
          <cell r="F892" t="str">
            <v>FO</v>
          </cell>
          <cell r="G892" t="str">
            <v>Grid-DG-Batt.</v>
          </cell>
          <cell r="H892" t="str">
            <v>OK</v>
          </cell>
          <cell r="I892" t="str">
            <v>NO</v>
          </cell>
          <cell r="J892" t="str">
            <v>YES</v>
          </cell>
          <cell r="K892" t="str">
            <v>PLATINUM</v>
          </cell>
          <cell r="L892" t="str">
            <v>Urbain</v>
          </cell>
          <cell r="M892">
            <v>0</v>
          </cell>
          <cell r="N892" t="str">
            <v>LOME CENTRE</v>
          </cell>
        </row>
        <row r="893">
          <cell r="A893" t="str">
            <v>PYABAS</v>
          </cell>
          <cell r="B893" t="str">
            <v>NA</v>
          </cell>
          <cell r="C893" t="str">
            <v>KAR-021</v>
          </cell>
          <cell r="D893" t="str">
            <v>KARA</v>
          </cell>
          <cell r="E893" t="str">
            <v>KARA-EST</v>
          </cell>
          <cell r="F893" t="str">
            <v>FO</v>
          </cell>
          <cell r="G893" t="str">
            <v>Grid-DG-Batt.</v>
          </cell>
          <cell r="H893" t="str">
            <v>OK</v>
          </cell>
          <cell r="I893" t="str">
            <v>YES</v>
          </cell>
          <cell r="J893" t="str">
            <v>NO</v>
          </cell>
          <cell r="K893" t="str">
            <v>PLATINUM</v>
          </cell>
          <cell r="L893" t="str">
            <v>SubUrbain</v>
          </cell>
          <cell r="M893" t="str">
            <v>70997091</v>
          </cell>
          <cell r="N893" t="str">
            <v>KARA EST</v>
          </cell>
        </row>
        <row r="894">
          <cell r="A894" t="str">
            <v>PYAKADJIKA</v>
          </cell>
          <cell r="B894"/>
          <cell r="C894" t="str">
            <v>KAR-022</v>
          </cell>
          <cell r="D894" t="str">
            <v>KARA</v>
          </cell>
          <cell r="E894" t="str">
            <v>KARA-EST</v>
          </cell>
          <cell r="F894" t="str">
            <v>FH</v>
          </cell>
          <cell r="G894" t="str">
            <v>Grid-DG-Batt.</v>
          </cell>
          <cell r="H894" t="str">
            <v>NOK</v>
          </cell>
          <cell r="I894" t="str">
            <v>YES</v>
          </cell>
          <cell r="J894" t="str">
            <v>YES</v>
          </cell>
          <cell r="K894" t="str">
            <v>GOLD</v>
          </cell>
          <cell r="L894" t="str">
            <v>SubUrbain</v>
          </cell>
          <cell r="M894" t="str">
            <v>70997092</v>
          </cell>
          <cell r="N894" t="str">
            <v>KARA EST</v>
          </cell>
        </row>
        <row r="895">
          <cell r="A895" t="str">
            <v>PYA-LAO</v>
          </cell>
          <cell r="B895">
            <v>45029</v>
          </cell>
          <cell r="C895" t="str">
            <v>KAR-149</v>
          </cell>
          <cell r="D895" t="str">
            <v>KARA</v>
          </cell>
          <cell r="E895" t="str">
            <v>KARA-EST</v>
          </cell>
          <cell r="F895" t="str">
            <v>FH</v>
          </cell>
          <cell r="G895" t="str">
            <v>DG-Solar-Batt.</v>
          </cell>
          <cell r="H895" t="str">
            <v>OK</v>
          </cell>
          <cell r="I895" t="str">
            <v>NO</v>
          </cell>
          <cell r="J895" t="str">
            <v>YES</v>
          </cell>
          <cell r="K895" t="str">
            <v>BRONZE</v>
          </cell>
          <cell r="L895" t="str">
            <v>rural</v>
          </cell>
          <cell r="M895">
            <v>70997273</v>
          </cell>
          <cell r="N895" t="str">
            <v>KARA EST</v>
          </cell>
        </row>
        <row r="896">
          <cell r="A896" t="str">
            <v>RAFFINERIE</v>
          </cell>
          <cell r="B896">
            <v>43375</v>
          </cell>
          <cell r="C896" t="str">
            <v>LOM-219</v>
          </cell>
          <cell r="D896" t="str">
            <v>LOME</v>
          </cell>
          <cell r="E896" t="str">
            <v>LOME-EST</v>
          </cell>
          <cell r="F896" t="str">
            <v>FH</v>
          </cell>
          <cell r="G896" t="str">
            <v>Grid-DG-Batt.</v>
          </cell>
          <cell r="H896" t="str">
            <v>OK</v>
          </cell>
          <cell r="I896" t="str">
            <v>YES</v>
          </cell>
          <cell r="J896" t="str">
            <v>NO</v>
          </cell>
          <cell r="K896" t="str">
            <v>PLATINUM</v>
          </cell>
          <cell r="L896" t="str">
            <v>Urbain</v>
          </cell>
          <cell r="M896">
            <v>0</v>
          </cell>
          <cell r="N896" t="str">
            <v>LOME EST</v>
          </cell>
        </row>
        <row r="897">
          <cell r="A897" t="str">
            <v>SABIEBOU</v>
          </cell>
          <cell r="B897"/>
          <cell r="C897" t="str">
            <v>SAV-053</v>
          </cell>
          <cell r="D897" t="str">
            <v>SAVANES</v>
          </cell>
          <cell r="E897" t="str">
            <v>MANGO</v>
          </cell>
          <cell r="F897" t="str">
            <v>FH</v>
          </cell>
          <cell r="G897" t="str">
            <v>Grid-DG-Solar-Batt.</v>
          </cell>
          <cell r="H897" t="str">
            <v>OK</v>
          </cell>
          <cell r="I897" t="str">
            <v>NO</v>
          </cell>
          <cell r="J897" t="str">
            <v>NO</v>
          </cell>
          <cell r="K897" t="str">
            <v>SILVER</v>
          </cell>
          <cell r="L897" t="str">
            <v>rural</v>
          </cell>
          <cell r="M897" t="str">
            <v>70997093</v>
          </cell>
          <cell r="N897" t="str">
            <v>MANGO</v>
          </cell>
        </row>
        <row r="898">
          <cell r="A898" t="str">
            <v>SADA</v>
          </cell>
          <cell r="B898"/>
          <cell r="C898" t="str">
            <v>CEN-043</v>
          </cell>
          <cell r="D898" t="str">
            <v>CENTRALE</v>
          </cell>
          <cell r="E898" t="str">
            <v>SOKODE</v>
          </cell>
          <cell r="F898" t="str">
            <v>FH</v>
          </cell>
          <cell r="G898" t="str">
            <v>DG-Solar-Batt.</v>
          </cell>
          <cell r="H898" t="str">
            <v>OK</v>
          </cell>
          <cell r="I898" t="str">
            <v>NO</v>
          </cell>
          <cell r="J898" t="str">
            <v>NO</v>
          </cell>
          <cell r="K898" t="str">
            <v>BRONZE</v>
          </cell>
          <cell r="L898" t="str">
            <v>rural</v>
          </cell>
          <cell r="M898" t="str">
            <v>70997094</v>
          </cell>
          <cell r="N898" t="str">
            <v>SOKODE</v>
          </cell>
        </row>
        <row r="899">
          <cell r="A899" t="str">
            <v>SADORI</v>
          </cell>
          <cell r="B899">
            <v>43573</v>
          </cell>
          <cell r="C899" t="str">
            <v>SAV-054</v>
          </cell>
          <cell r="D899" t="str">
            <v>SAVANES</v>
          </cell>
          <cell r="E899" t="str">
            <v>MANGO</v>
          </cell>
          <cell r="F899" t="str">
            <v>FH</v>
          </cell>
          <cell r="G899" t="str">
            <v>Grid-DG-Batt.</v>
          </cell>
          <cell r="H899" t="str">
            <v>OK</v>
          </cell>
          <cell r="I899" t="str">
            <v>NO</v>
          </cell>
          <cell r="J899" t="str">
            <v>NO</v>
          </cell>
          <cell r="K899" t="str">
            <v>BRONZE</v>
          </cell>
          <cell r="L899" t="str">
            <v>rural</v>
          </cell>
          <cell r="M899" t="str">
            <v>70997095</v>
          </cell>
          <cell r="N899" t="str">
            <v>MANGO</v>
          </cell>
        </row>
        <row r="900">
          <cell r="A900" t="str">
            <v>SAGBADAI</v>
          </cell>
          <cell r="B900"/>
          <cell r="C900" t="str">
            <v>CEN-006</v>
          </cell>
          <cell r="D900" t="str">
            <v>CENTRALE</v>
          </cell>
          <cell r="E900" t="str">
            <v>SOKODE</v>
          </cell>
          <cell r="F900" t="str">
            <v>FO</v>
          </cell>
          <cell r="G900" t="str">
            <v>DG-Solar-Batt.</v>
          </cell>
          <cell r="H900" t="str">
            <v>OK</v>
          </cell>
          <cell r="I900" t="str">
            <v>NO</v>
          </cell>
          <cell r="J900" t="str">
            <v>NO</v>
          </cell>
          <cell r="K900" t="str">
            <v>SILVER</v>
          </cell>
          <cell r="L900" t="str">
            <v>rural</v>
          </cell>
          <cell r="M900" t="str">
            <v>70997096</v>
          </cell>
          <cell r="N900" t="str">
            <v>SOKODE</v>
          </cell>
        </row>
        <row r="901">
          <cell r="A901" t="str">
            <v>SAGBADO</v>
          </cell>
          <cell r="B901"/>
          <cell r="C901" t="str">
            <v>LOM-064</v>
          </cell>
          <cell r="D901" t="str">
            <v>LOME</v>
          </cell>
          <cell r="E901" t="str">
            <v>LOME-OUEST 2</v>
          </cell>
          <cell r="F901" t="str">
            <v>FO</v>
          </cell>
          <cell r="G901" t="str">
            <v>Grid-DG-Batt.</v>
          </cell>
          <cell r="H901" t="str">
            <v>OK</v>
          </cell>
          <cell r="I901" t="str">
            <v>YES</v>
          </cell>
          <cell r="J901" t="str">
            <v>NO</v>
          </cell>
          <cell r="K901" t="str">
            <v>GOLD</v>
          </cell>
          <cell r="L901" t="str">
            <v>Urbain</v>
          </cell>
          <cell r="M901" t="str">
            <v>70997097</v>
          </cell>
          <cell r="N901" t="str">
            <v>LOME OUEST2</v>
          </cell>
        </row>
        <row r="902">
          <cell r="A902" t="str">
            <v>SAGBADO2</v>
          </cell>
          <cell r="B902"/>
          <cell r="C902" t="str">
            <v>LOM-065</v>
          </cell>
          <cell r="D902" t="str">
            <v>LOME</v>
          </cell>
          <cell r="E902" t="str">
            <v>LOME-OUEST 2</v>
          </cell>
          <cell r="F902" t="str">
            <v>FO</v>
          </cell>
          <cell r="G902" t="str">
            <v>Grid-DG-Batt.</v>
          </cell>
          <cell r="H902" t="str">
            <v>OK</v>
          </cell>
          <cell r="I902" t="str">
            <v>NO</v>
          </cell>
          <cell r="J902" t="str">
            <v>NO</v>
          </cell>
          <cell r="K902" t="str">
            <v>GOLD</v>
          </cell>
          <cell r="L902" t="str">
            <v>Urbain</v>
          </cell>
          <cell r="M902" t="str">
            <v>70997098</v>
          </cell>
          <cell r="N902" t="str">
            <v>LOME OUEST2</v>
          </cell>
        </row>
        <row r="903">
          <cell r="A903" t="str">
            <v>SAGBADO3-MOOV</v>
          </cell>
          <cell r="B903">
            <v>43164</v>
          </cell>
          <cell r="C903" t="str">
            <v>LOM-066</v>
          </cell>
          <cell r="D903" t="str">
            <v>LOME</v>
          </cell>
          <cell r="E903" t="str">
            <v>LOME-OUEST 2</v>
          </cell>
          <cell r="F903" t="str">
            <v>FH</v>
          </cell>
          <cell r="G903" t="str">
            <v>Grid-DG-Batt.</v>
          </cell>
          <cell r="H903" t="str">
            <v>OK</v>
          </cell>
          <cell r="I903" t="str">
            <v>NO</v>
          </cell>
          <cell r="J903" t="str">
            <v>NO</v>
          </cell>
          <cell r="K903" t="str">
            <v>SILVER</v>
          </cell>
          <cell r="L903" t="str">
            <v>Urbain</v>
          </cell>
          <cell r="M903">
            <v>0</v>
          </cell>
          <cell r="N903" t="str">
            <v>LOME OUEST2</v>
          </cell>
        </row>
        <row r="904">
          <cell r="A904" t="str">
            <v>SAGBADO5</v>
          </cell>
          <cell r="B904">
            <v>43412</v>
          </cell>
          <cell r="C904" t="str">
            <v>LOM-223</v>
          </cell>
          <cell r="D904" t="str">
            <v>LOME</v>
          </cell>
          <cell r="E904" t="str">
            <v>LOME-OUEST 2</v>
          </cell>
          <cell r="F904" t="str">
            <v>FH</v>
          </cell>
          <cell r="G904" t="str">
            <v>Grid-Batt.</v>
          </cell>
          <cell r="H904" t="str">
            <v>N/A</v>
          </cell>
          <cell r="I904" t="str">
            <v>YES</v>
          </cell>
          <cell r="J904" t="str">
            <v>NO</v>
          </cell>
          <cell r="K904" t="str">
            <v>BRONZE</v>
          </cell>
          <cell r="L904" t="str">
            <v>Urbain</v>
          </cell>
          <cell r="M904">
            <v>0</v>
          </cell>
          <cell r="N904" t="str">
            <v>LOME OUEST2</v>
          </cell>
        </row>
        <row r="905">
          <cell r="A905" t="str">
            <v>SAGBADO-ZANVI</v>
          </cell>
          <cell r="B905">
            <v>45282</v>
          </cell>
          <cell r="C905" t="str">
            <v>LOM-392</v>
          </cell>
          <cell r="D905" t="str">
            <v>LOME</v>
          </cell>
          <cell r="E905" t="str">
            <v>LOME-OUEST 2</v>
          </cell>
          <cell r="F905" t="str">
            <v>FH</v>
          </cell>
          <cell r="G905" t="str">
            <v>Grid-DG-Batt.</v>
          </cell>
          <cell r="H905" t="str">
            <v>NOK</v>
          </cell>
          <cell r="I905" t="str">
            <v>NO</v>
          </cell>
          <cell r="J905" t="str">
            <v>NO</v>
          </cell>
          <cell r="K905" t="str">
            <v>SILVER</v>
          </cell>
          <cell r="L905" t="str">
            <v>Urban</v>
          </cell>
          <cell r="M905">
            <v>0</v>
          </cell>
          <cell r="N905" t="str">
            <v>LOME OUEST2</v>
          </cell>
        </row>
        <row r="906">
          <cell r="A906" t="str">
            <v>SAIBOUDE</v>
          </cell>
          <cell r="B906">
            <v>43598</v>
          </cell>
          <cell r="C906" t="str">
            <v>CEN-028</v>
          </cell>
          <cell r="D906" t="str">
            <v>KARA</v>
          </cell>
          <cell r="E906" t="str">
            <v>KABOU</v>
          </cell>
          <cell r="F906" t="str">
            <v>FH</v>
          </cell>
          <cell r="G906" t="str">
            <v>DG-Solar-Batt.</v>
          </cell>
          <cell r="H906" t="str">
            <v>OK</v>
          </cell>
          <cell r="I906" t="str">
            <v>NO</v>
          </cell>
          <cell r="J906" t="str">
            <v>NO</v>
          </cell>
          <cell r="K906" t="str">
            <v>BRONZE</v>
          </cell>
          <cell r="L906" t="str">
            <v>rural</v>
          </cell>
          <cell r="M906" t="str">
            <v>70997099</v>
          </cell>
          <cell r="N906" t="str">
            <v>KABOU</v>
          </cell>
        </row>
        <row r="907">
          <cell r="A907" t="str">
            <v>SAKALAOUDE</v>
          </cell>
          <cell r="B907">
            <v>44842</v>
          </cell>
          <cell r="C907" t="str">
            <v>CEN-116</v>
          </cell>
          <cell r="D907" t="str">
            <v>CENTRALE</v>
          </cell>
          <cell r="E907" t="str">
            <v>SOKODE</v>
          </cell>
          <cell r="F907" t="str">
            <v>FH</v>
          </cell>
          <cell r="G907" t="str">
            <v>DG-Solar-Batt.</v>
          </cell>
          <cell r="H907" t="str">
            <v>OK</v>
          </cell>
          <cell r="I907" t="str">
            <v>NO</v>
          </cell>
          <cell r="J907" t="str">
            <v>YES</v>
          </cell>
          <cell r="K907" t="str">
            <v>BRONZE</v>
          </cell>
          <cell r="L907" t="str">
            <v>rural</v>
          </cell>
          <cell r="M907" t="str">
            <v>70996514</v>
          </cell>
          <cell r="N907" t="str">
            <v>SOKODE</v>
          </cell>
        </row>
        <row r="908">
          <cell r="A908" t="str">
            <v>SALIGBE</v>
          </cell>
          <cell r="B908"/>
          <cell r="C908" t="str">
            <v>PLA-111</v>
          </cell>
          <cell r="D908" t="str">
            <v>PLATEAUX</v>
          </cell>
          <cell r="E908" t="str">
            <v>NOTSE</v>
          </cell>
          <cell r="F908" t="str">
            <v>FH</v>
          </cell>
          <cell r="G908" t="str">
            <v>Grid-DG-Solar-Batt.</v>
          </cell>
          <cell r="H908" t="str">
            <v>NOK</v>
          </cell>
          <cell r="I908" t="str">
            <v>NO</v>
          </cell>
          <cell r="J908" t="str">
            <v>YES</v>
          </cell>
          <cell r="K908" t="str">
            <v>BRONZE</v>
          </cell>
          <cell r="L908" t="str">
            <v>rural</v>
          </cell>
          <cell r="M908" t="str">
            <v>70997100</v>
          </cell>
          <cell r="N908" t="str">
            <v>NOTSE</v>
          </cell>
        </row>
        <row r="909">
          <cell r="A909" t="str">
            <v>SALIMDE</v>
          </cell>
          <cell r="B909"/>
          <cell r="C909" t="str">
            <v>CEN-014</v>
          </cell>
          <cell r="D909" t="str">
            <v>CENTRALE</v>
          </cell>
          <cell r="E909" t="str">
            <v>SOKODE</v>
          </cell>
          <cell r="F909" t="str">
            <v>FO</v>
          </cell>
          <cell r="G909" t="str">
            <v>Grid-DG-Batt.</v>
          </cell>
          <cell r="H909" t="str">
            <v>OK</v>
          </cell>
          <cell r="I909" t="str">
            <v>NO</v>
          </cell>
          <cell r="J909" t="str">
            <v>NO</v>
          </cell>
          <cell r="K909" t="str">
            <v>SILVER</v>
          </cell>
          <cell r="L909" t="str">
            <v>SubUrbain</v>
          </cell>
          <cell r="M909" t="str">
            <v>70997101</v>
          </cell>
          <cell r="N909" t="str">
            <v>SOKODE</v>
          </cell>
        </row>
        <row r="910">
          <cell r="A910" t="str">
            <v>SAMAI2</v>
          </cell>
          <cell r="B910">
            <v>43900</v>
          </cell>
          <cell r="C910" t="str">
            <v>CEN-085</v>
          </cell>
          <cell r="D910" t="str">
            <v>CENTRALE</v>
          </cell>
          <cell r="E910" t="str">
            <v>TCHAMBA</v>
          </cell>
          <cell r="F910" t="str">
            <v>FH</v>
          </cell>
          <cell r="G910" t="str">
            <v>DG-Solar-Batt.</v>
          </cell>
          <cell r="H910" t="str">
            <v>OK</v>
          </cell>
          <cell r="I910" t="str">
            <v>NO</v>
          </cell>
          <cell r="J910" t="str">
            <v>NO</v>
          </cell>
          <cell r="K910" t="str">
            <v>BRONZE</v>
          </cell>
          <cell r="L910" t="str">
            <v>rural</v>
          </cell>
          <cell r="M910" t="str">
            <v>70997102</v>
          </cell>
          <cell r="N910" t="str">
            <v>TCHAMBA</v>
          </cell>
        </row>
        <row r="911">
          <cell r="A911" t="str">
            <v>SAMA-KOPE</v>
          </cell>
          <cell r="B911">
            <v>43536</v>
          </cell>
          <cell r="C911" t="str">
            <v>PLA-026</v>
          </cell>
          <cell r="D911" t="str">
            <v>PLATEAUX</v>
          </cell>
          <cell r="E911" t="str">
            <v>ATAKPAME-OUEST</v>
          </cell>
          <cell r="F911" t="str">
            <v>FH</v>
          </cell>
          <cell r="G911" t="str">
            <v>Grid-DG-Solar-Batt.</v>
          </cell>
          <cell r="H911" t="str">
            <v>OK</v>
          </cell>
          <cell r="I911" t="str">
            <v>NO</v>
          </cell>
          <cell r="J911" t="str">
            <v>NO</v>
          </cell>
          <cell r="K911" t="str">
            <v>BRONZE</v>
          </cell>
          <cell r="L911" t="str">
            <v>rural</v>
          </cell>
          <cell r="M911" t="str">
            <v>70997103</v>
          </cell>
          <cell r="N911" t="str">
            <v>ELAVAGNON</v>
          </cell>
        </row>
        <row r="912">
          <cell r="A912" t="str">
            <v>SAMNABA</v>
          </cell>
          <cell r="B912">
            <v>43629</v>
          </cell>
          <cell r="C912" t="str">
            <v>SAV-063</v>
          </cell>
          <cell r="D912" t="str">
            <v>SAVANES</v>
          </cell>
          <cell r="E912" t="str">
            <v>DAPAONG 1</v>
          </cell>
          <cell r="F912" t="str">
            <v>FH</v>
          </cell>
          <cell r="G912" t="str">
            <v>Grid-DG-Solar-Batt.</v>
          </cell>
          <cell r="H912" t="str">
            <v>NOK</v>
          </cell>
          <cell r="I912" t="str">
            <v>NO</v>
          </cell>
          <cell r="J912" t="str">
            <v>NO</v>
          </cell>
          <cell r="K912" t="str">
            <v>GOLD</v>
          </cell>
          <cell r="L912" t="str">
            <v>rural</v>
          </cell>
          <cell r="M912" t="str">
            <v>70997104</v>
          </cell>
          <cell r="N912" t="str">
            <v>DAPAONG</v>
          </cell>
        </row>
        <row r="913">
          <cell r="A913" t="str">
            <v>SANDA</v>
          </cell>
          <cell r="B913"/>
          <cell r="C913" t="str">
            <v>KAR-083</v>
          </cell>
          <cell r="D913" t="str">
            <v>KARA</v>
          </cell>
          <cell r="E913" t="str">
            <v>KABOU</v>
          </cell>
          <cell r="F913" t="str">
            <v>FO</v>
          </cell>
          <cell r="G913" t="str">
            <v>Grid-DG-Batt.</v>
          </cell>
          <cell r="H913" t="str">
            <v>OK</v>
          </cell>
          <cell r="I913" t="str">
            <v>NO</v>
          </cell>
          <cell r="J913" t="str">
            <v>NO</v>
          </cell>
          <cell r="K913" t="str">
            <v>BRONZE</v>
          </cell>
          <cell r="L913" t="str">
            <v>rural</v>
          </cell>
          <cell r="M913" t="str">
            <v>70997105</v>
          </cell>
          <cell r="N913" t="str">
            <v>KABOU</v>
          </cell>
        </row>
        <row r="914">
          <cell r="A914" t="str">
            <v>SANDA-KAGBANDA</v>
          </cell>
          <cell r="B914">
            <v>43593</v>
          </cell>
          <cell r="C914" t="str">
            <v>KAR-084</v>
          </cell>
          <cell r="D914" t="str">
            <v>KARA</v>
          </cell>
          <cell r="E914" t="str">
            <v>KABOU</v>
          </cell>
          <cell r="F914" t="str">
            <v>FH</v>
          </cell>
          <cell r="G914" t="str">
            <v>DG-Solar-Batt.</v>
          </cell>
          <cell r="H914" t="str">
            <v>OK</v>
          </cell>
          <cell r="I914" t="str">
            <v>NO</v>
          </cell>
          <cell r="J914" t="str">
            <v>NO</v>
          </cell>
          <cell r="K914" t="str">
            <v>BRONZE</v>
          </cell>
          <cell r="L914" t="str">
            <v>rural</v>
          </cell>
          <cell r="M914" t="str">
            <v>70997106</v>
          </cell>
          <cell r="N914" t="str">
            <v>KABOU</v>
          </cell>
        </row>
        <row r="915">
          <cell r="A915" t="str">
            <v>SANLOAGA</v>
          </cell>
          <cell r="B915">
            <v>45066</v>
          </cell>
          <cell r="C915" t="str">
            <v>SAV-107</v>
          </cell>
          <cell r="D915" t="str">
            <v>SAVANES</v>
          </cell>
          <cell r="E915" t="str">
            <v>DAPAONG 1</v>
          </cell>
          <cell r="F915" t="str">
            <v>FH</v>
          </cell>
          <cell r="G915" t="str">
            <v>DG-Solar-Batt.</v>
          </cell>
          <cell r="H915" t="str">
            <v>OK</v>
          </cell>
          <cell r="I915" t="str">
            <v>NO</v>
          </cell>
          <cell r="J915" t="str">
            <v>YES</v>
          </cell>
          <cell r="K915" t="str">
            <v>PLATINUM</v>
          </cell>
          <cell r="L915" t="str">
            <v>rural</v>
          </cell>
          <cell r="M915">
            <v>70997374</v>
          </cell>
          <cell r="N915" t="str">
            <v>DAPAONG</v>
          </cell>
        </row>
        <row r="916">
          <cell r="A916" t="str">
            <v>SARAKAWA</v>
          </cell>
          <cell r="B916"/>
          <cell r="C916" t="str">
            <v>KAR-062</v>
          </cell>
          <cell r="D916" t="str">
            <v>KARA</v>
          </cell>
          <cell r="E916" t="str">
            <v>KARA-OUEST</v>
          </cell>
          <cell r="F916" t="str">
            <v>FH</v>
          </cell>
          <cell r="G916" t="str">
            <v>Grid-DG-Batt.</v>
          </cell>
          <cell r="H916" t="str">
            <v>NOK</v>
          </cell>
          <cell r="I916" t="str">
            <v>NO</v>
          </cell>
          <cell r="J916" t="str">
            <v>NO</v>
          </cell>
          <cell r="K916" t="str">
            <v>BRONZE</v>
          </cell>
          <cell r="L916" t="str">
            <v>rural</v>
          </cell>
          <cell r="M916" t="str">
            <v>70997107</v>
          </cell>
          <cell r="N916" t="str">
            <v>KARA OUEST</v>
          </cell>
        </row>
        <row r="917">
          <cell r="A917" t="str">
            <v>SASSANOU-MOOV</v>
          </cell>
          <cell r="B917">
            <v>44560</v>
          </cell>
          <cell r="C917" t="str">
            <v>PLA-198</v>
          </cell>
          <cell r="D917" t="str">
            <v>MARITIME</v>
          </cell>
          <cell r="E917" t="str">
            <v>KPALIME</v>
          </cell>
          <cell r="F917" t="str">
            <v>FH</v>
          </cell>
          <cell r="G917" t="str">
            <v>Grid-DG-Batt.</v>
          </cell>
          <cell r="H917" t="str">
            <v>OK</v>
          </cell>
          <cell r="I917" t="str">
            <v>NO</v>
          </cell>
          <cell r="J917" t="str">
            <v>YES</v>
          </cell>
          <cell r="K917" t="str">
            <v>BRONZE</v>
          </cell>
          <cell r="L917" t="str">
            <v>rural</v>
          </cell>
          <cell r="M917">
            <v>0</v>
          </cell>
          <cell r="N917" t="str">
            <v>KPALIME</v>
          </cell>
        </row>
        <row r="918">
          <cell r="A918" t="str">
            <v>SEGBE</v>
          </cell>
          <cell r="B918"/>
          <cell r="C918" t="str">
            <v>LOM-067</v>
          </cell>
          <cell r="D918" t="str">
            <v>LOME</v>
          </cell>
          <cell r="E918" t="str">
            <v>LOME-OUEST 2</v>
          </cell>
          <cell r="F918" t="str">
            <v>FO</v>
          </cell>
          <cell r="G918" t="str">
            <v>Grid-DG-Solar-Batt.</v>
          </cell>
          <cell r="H918" t="str">
            <v>OK</v>
          </cell>
          <cell r="I918" t="str">
            <v>NO</v>
          </cell>
          <cell r="J918" t="str">
            <v>NO</v>
          </cell>
          <cell r="K918" t="str">
            <v>GOLD</v>
          </cell>
          <cell r="L918" t="str">
            <v>Urbain</v>
          </cell>
          <cell r="M918" t="str">
            <v>70997108</v>
          </cell>
          <cell r="N918" t="str">
            <v>LOME OUEST2</v>
          </cell>
        </row>
        <row r="919">
          <cell r="A919" t="str">
            <v>SEGBE2</v>
          </cell>
          <cell r="B919">
            <v>43784</v>
          </cell>
          <cell r="C919" t="str">
            <v>LOM-236</v>
          </cell>
          <cell r="D919" t="str">
            <v>LOME</v>
          </cell>
          <cell r="E919" t="str">
            <v>LOME-OUEST 2</v>
          </cell>
          <cell r="F919" t="str">
            <v>FH</v>
          </cell>
          <cell r="G919" t="str">
            <v>Grid-DG-Batt.</v>
          </cell>
          <cell r="H919" t="str">
            <v>OK</v>
          </cell>
          <cell r="I919" t="str">
            <v>NO</v>
          </cell>
          <cell r="J919" t="str">
            <v>NO</v>
          </cell>
          <cell r="K919" t="str">
            <v>SILVER</v>
          </cell>
          <cell r="L919" t="str">
            <v>Urbain</v>
          </cell>
          <cell r="M919" t="str">
            <v>70997109</v>
          </cell>
          <cell r="N919" t="str">
            <v>LOME OUEST2</v>
          </cell>
        </row>
        <row r="920">
          <cell r="A920" t="str">
            <v>SEGBE3</v>
          </cell>
          <cell r="B920">
            <v>44648</v>
          </cell>
          <cell r="C920" t="str">
            <v>LOM-287</v>
          </cell>
          <cell r="D920" t="str">
            <v>LOME</v>
          </cell>
          <cell r="E920" t="str">
            <v>LOME-OUEST 2</v>
          </cell>
          <cell r="F920" t="str">
            <v>FH</v>
          </cell>
          <cell r="G920" t="str">
            <v>Grid-DG-Batt.</v>
          </cell>
          <cell r="H920" t="str">
            <v>OK</v>
          </cell>
          <cell r="I920" t="str">
            <v>NO</v>
          </cell>
          <cell r="J920" t="str">
            <v>YES</v>
          </cell>
          <cell r="K920" t="str">
            <v>SILVER</v>
          </cell>
          <cell r="L920" t="str">
            <v>Urbain</v>
          </cell>
          <cell r="M920" t="str">
            <v>70996489</v>
          </cell>
          <cell r="N920" t="str">
            <v>LOME OUEST2</v>
          </cell>
        </row>
        <row r="921">
          <cell r="A921" t="str">
            <v>SEGBE5</v>
          </cell>
          <cell r="B921">
            <v>44831</v>
          </cell>
          <cell r="C921" t="str">
            <v>LOM-351</v>
          </cell>
          <cell r="D921" t="str">
            <v>LOME</v>
          </cell>
          <cell r="E921" t="str">
            <v>LOME-OUEST 2</v>
          </cell>
          <cell r="F921" t="str">
            <v>FH</v>
          </cell>
          <cell r="G921" t="str">
            <v>Grid-DG-Batt.</v>
          </cell>
          <cell r="H921" t="str">
            <v>OK</v>
          </cell>
          <cell r="I921" t="str">
            <v>NO</v>
          </cell>
          <cell r="J921" t="str">
            <v>YES</v>
          </cell>
          <cell r="K921" t="str">
            <v>BRONZE</v>
          </cell>
          <cell r="L921" t="str">
            <v>SubUrbain</v>
          </cell>
          <cell r="M921" t="str">
            <v>70996506</v>
          </cell>
          <cell r="N921" t="str">
            <v>LOME OUEST2</v>
          </cell>
        </row>
        <row r="922">
          <cell r="A922" t="str">
            <v>SEGBE-MOOV</v>
          </cell>
          <cell r="B922">
            <v>43164</v>
          </cell>
          <cell r="C922" t="str">
            <v>LOM-068</v>
          </cell>
          <cell r="D922" t="str">
            <v>LOME</v>
          </cell>
          <cell r="E922" t="str">
            <v>LOME-OUEST 2</v>
          </cell>
          <cell r="F922" t="str">
            <v>FH</v>
          </cell>
          <cell r="G922" t="str">
            <v>Grid-DG-Batt.</v>
          </cell>
          <cell r="H922" t="str">
            <v>OK</v>
          </cell>
          <cell r="I922" t="str">
            <v>NO</v>
          </cell>
          <cell r="J922" t="str">
            <v>NO</v>
          </cell>
          <cell r="K922" t="str">
            <v>SILVER</v>
          </cell>
          <cell r="L922" t="str">
            <v>Urbain</v>
          </cell>
          <cell r="M922">
            <v>0</v>
          </cell>
          <cell r="N922" t="str">
            <v>LOME OUEST2</v>
          </cell>
        </row>
        <row r="923">
          <cell r="A923" t="str">
            <v>SEGBE-VIETE</v>
          </cell>
          <cell r="B923">
            <v>43896</v>
          </cell>
          <cell r="C923" t="str">
            <v>LOM-241</v>
          </cell>
          <cell r="D923" t="str">
            <v>LOME</v>
          </cell>
          <cell r="E923" t="str">
            <v>LOME-OUEST 2</v>
          </cell>
          <cell r="F923" t="str">
            <v>FH</v>
          </cell>
          <cell r="G923" t="str">
            <v>Grid-DG-Batt.</v>
          </cell>
          <cell r="H923" t="str">
            <v>OK</v>
          </cell>
          <cell r="I923" t="str">
            <v>NO</v>
          </cell>
          <cell r="J923" t="str">
            <v>NO</v>
          </cell>
          <cell r="K923" t="str">
            <v>SILVER</v>
          </cell>
          <cell r="L923" t="str">
            <v>Urbain</v>
          </cell>
          <cell r="M923" t="str">
            <v>70997110</v>
          </cell>
          <cell r="N923" t="str">
            <v>LOME OUEST2</v>
          </cell>
        </row>
        <row r="924">
          <cell r="A924" t="str">
            <v>SEMINAIRE</v>
          </cell>
          <cell r="B924"/>
          <cell r="C924" t="str">
            <v>LOM-126</v>
          </cell>
          <cell r="D924" t="str">
            <v>LOME</v>
          </cell>
          <cell r="E924" t="str">
            <v>LOME-SUD</v>
          </cell>
          <cell r="F924" t="str">
            <v>FO</v>
          </cell>
          <cell r="G924" t="str">
            <v>Grid-DG-Batt.</v>
          </cell>
          <cell r="H924" t="str">
            <v>OK</v>
          </cell>
          <cell r="I924" t="str">
            <v>NO</v>
          </cell>
          <cell r="J924" t="str">
            <v>NO</v>
          </cell>
          <cell r="K924" t="str">
            <v>GOLD</v>
          </cell>
          <cell r="L924" t="str">
            <v>Urbain</v>
          </cell>
          <cell r="M924" t="str">
            <v>70996441</v>
          </cell>
          <cell r="N924" t="str">
            <v>LOME SUD</v>
          </cell>
        </row>
        <row r="925">
          <cell r="A925" t="str">
            <v>SEREGBENE-MOOV</v>
          </cell>
          <cell r="B925">
            <v>43797</v>
          </cell>
          <cell r="C925" t="str">
            <v>PLA-101</v>
          </cell>
          <cell r="D925" t="str">
            <v>PLATEAUX</v>
          </cell>
          <cell r="E925" t="str">
            <v>BADOU</v>
          </cell>
          <cell r="F925" t="str">
            <v>FH</v>
          </cell>
          <cell r="G925" t="str">
            <v>DG-Solar-Batt.</v>
          </cell>
          <cell r="H925" t="str">
            <v>OK</v>
          </cell>
          <cell r="I925" t="str">
            <v>NO</v>
          </cell>
          <cell r="J925" t="str">
            <v>YES</v>
          </cell>
          <cell r="K925" t="str">
            <v>BRONZE</v>
          </cell>
          <cell r="L925" t="str">
            <v>rural</v>
          </cell>
          <cell r="M925">
            <v>70997111</v>
          </cell>
          <cell r="N925" t="str">
            <v>BADOU</v>
          </cell>
        </row>
        <row r="926">
          <cell r="A926" t="str">
            <v>SESSARO</v>
          </cell>
          <cell r="B926">
            <v>45016</v>
          </cell>
          <cell r="C926" t="str">
            <v>CEN-117</v>
          </cell>
          <cell r="D926" t="str">
            <v>CENTRALE</v>
          </cell>
          <cell r="E926" t="str">
            <v>SOKODE</v>
          </cell>
          <cell r="F926" t="str">
            <v>FH</v>
          </cell>
          <cell r="G926" t="str">
            <v>DG-Solar-Batt.</v>
          </cell>
          <cell r="H926" t="str">
            <v>OK</v>
          </cell>
          <cell r="I926" t="str">
            <v>NO</v>
          </cell>
          <cell r="J926" t="str">
            <v>YES</v>
          </cell>
          <cell r="K926" t="str">
            <v>BRONZE</v>
          </cell>
          <cell r="L926" t="str">
            <v>rural</v>
          </cell>
          <cell r="M926">
            <v>70997267</v>
          </cell>
          <cell r="N926" t="str">
            <v>SOKODE</v>
          </cell>
        </row>
        <row r="927">
          <cell r="A927" t="str">
            <v>SEVAGAN</v>
          </cell>
          <cell r="B927"/>
          <cell r="C927" t="str">
            <v>MAR-025</v>
          </cell>
          <cell r="D927" t="str">
            <v>MARITIME</v>
          </cell>
          <cell r="E927" t="str">
            <v>ANEHO</v>
          </cell>
          <cell r="F927" t="str">
            <v>FH</v>
          </cell>
          <cell r="G927" t="str">
            <v>Grid-DG-Batt.</v>
          </cell>
          <cell r="H927" t="str">
            <v>OK</v>
          </cell>
          <cell r="I927" t="str">
            <v>NO</v>
          </cell>
          <cell r="J927" t="str">
            <v>NO</v>
          </cell>
          <cell r="K927" t="str">
            <v>BRONZE</v>
          </cell>
          <cell r="L927" t="str">
            <v>rural</v>
          </cell>
          <cell r="M927" t="str">
            <v>70997112</v>
          </cell>
          <cell r="N927" t="str">
            <v>ANEHO</v>
          </cell>
        </row>
        <row r="928">
          <cell r="A928" t="str">
            <v>SEVEHO</v>
          </cell>
          <cell r="B928" t="str">
            <v>30/02/2021</v>
          </cell>
          <cell r="C928" t="str">
            <v>MAR-097</v>
          </cell>
          <cell r="D928" t="str">
            <v>LOME</v>
          </cell>
          <cell r="E928" t="str">
            <v>LOME-OUEST 1</v>
          </cell>
          <cell r="F928" t="str">
            <v>FH</v>
          </cell>
          <cell r="G928" t="str">
            <v>DG-Solar-Batt.</v>
          </cell>
          <cell r="H928" t="str">
            <v>OK</v>
          </cell>
          <cell r="I928" t="str">
            <v>NO</v>
          </cell>
          <cell r="J928" t="str">
            <v>YES</v>
          </cell>
          <cell r="K928" t="str">
            <v>BRONZE</v>
          </cell>
          <cell r="L928" t="str">
            <v>rural</v>
          </cell>
          <cell r="M928" t="str">
            <v>70996490</v>
          </cell>
          <cell r="N928" t="str">
            <v>LOME OUEST1</v>
          </cell>
        </row>
        <row r="929">
          <cell r="A929" t="str">
            <v>SIKAKONDJI</v>
          </cell>
          <cell r="B929"/>
          <cell r="C929" t="str">
            <v>MAR-047</v>
          </cell>
          <cell r="D929" t="str">
            <v>MARITIME</v>
          </cell>
          <cell r="E929" t="str">
            <v>ANEHO</v>
          </cell>
          <cell r="F929" t="str">
            <v>FH</v>
          </cell>
          <cell r="G929" t="str">
            <v>Grid-DG-Solar-Batt.</v>
          </cell>
          <cell r="H929" t="str">
            <v>OK</v>
          </cell>
          <cell r="I929" t="str">
            <v>NO</v>
          </cell>
          <cell r="J929" t="str">
            <v>YES</v>
          </cell>
          <cell r="K929" t="str">
            <v>SILVER</v>
          </cell>
          <cell r="L929" t="str">
            <v>rural</v>
          </cell>
          <cell r="M929">
            <v>70997113</v>
          </cell>
          <cell r="N929" t="str">
            <v>ANEHO</v>
          </cell>
        </row>
        <row r="930">
          <cell r="A930" t="str">
            <v>SIKPE-AFIDENYO</v>
          </cell>
          <cell r="B930">
            <v>43574</v>
          </cell>
          <cell r="C930" t="str">
            <v>MAR-058</v>
          </cell>
          <cell r="D930" t="str">
            <v>MARITIME</v>
          </cell>
          <cell r="E930" t="str">
            <v>ANEHO</v>
          </cell>
          <cell r="F930" t="str">
            <v>FH</v>
          </cell>
          <cell r="G930" t="str">
            <v>DG-Batt.</v>
          </cell>
          <cell r="H930" t="str">
            <v>NOK</v>
          </cell>
          <cell r="I930" t="str">
            <v>YES</v>
          </cell>
          <cell r="J930" t="str">
            <v>NO</v>
          </cell>
          <cell r="K930" t="str">
            <v>BRONZE</v>
          </cell>
          <cell r="L930" t="str">
            <v>rural</v>
          </cell>
          <cell r="M930" t="str">
            <v>70997114</v>
          </cell>
          <cell r="N930" t="str">
            <v>ANEHO</v>
          </cell>
        </row>
        <row r="931">
          <cell r="A931" t="str">
            <v>SIOU</v>
          </cell>
          <cell r="B931"/>
          <cell r="C931" t="str">
            <v>KAR-031</v>
          </cell>
          <cell r="D931" t="str">
            <v>KARA</v>
          </cell>
          <cell r="E931" t="str">
            <v>KARA-EST</v>
          </cell>
          <cell r="F931" t="str">
            <v>FH</v>
          </cell>
          <cell r="G931" t="str">
            <v>Grid-DG-Batt.</v>
          </cell>
          <cell r="H931" t="str">
            <v>NOK</v>
          </cell>
          <cell r="I931" t="str">
            <v>NO</v>
          </cell>
          <cell r="J931" t="str">
            <v>NO</v>
          </cell>
          <cell r="K931" t="str">
            <v>BRONZE</v>
          </cell>
          <cell r="L931" t="str">
            <v>SubUrbain</v>
          </cell>
          <cell r="M931" t="str">
            <v>70997115</v>
          </cell>
          <cell r="N931" t="str">
            <v>KARA EST</v>
          </cell>
        </row>
        <row r="932">
          <cell r="A932" t="str">
            <v>SIRKA</v>
          </cell>
          <cell r="B932"/>
          <cell r="C932" t="str">
            <v>KAR-038</v>
          </cell>
          <cell r="D932" t="str">
            <v>KARA</v>
          </cell>
          <cell r="E932" t="str">
            <v>KARA-EST</v>
          </cell>
          <cell r="F932" t="str">
            <v>FH</v>
          </cell>
          <cell r="G932" t="str">
            <v>Grid-DG-Solar-Batt.</v>
          </cell>
          <cell r="H932" t="str">
            <v>NOK</v>
          </cell>
          <cell r="I932" t="str">
            <v>NO</v>
          </cell>
          <cell r="J932" t="str">
            <v>NO</v>
          </cell>
          <cell r="K932" t="str">
            <v>BRONZE</v>
          </cell>
          <cell r="L932" t="str">
            <v>rural</v>
          </cell>
          <cell r="M932" t="str">
            <v>70997116</v>
          </cell>
          <cell r="N932" t="str">
            <v>KARA EST</v>
          </cell>
        </row>
        <row r="933">
          <cell r="A933" t="str">
            <v>SISSIAK</v>
          </cell>
          <cell r="B933">
            <v>43808</v>
          </cell>
          <cell r="C933" t="str">
            <v>SAV-067</v>
          </cell>
          <cell r="D933" t="str">
            <v>SAVANES</v>
          </cell>
          <cell r="E933" t="str">
            <v>DAPAONG 1</v>
          </cell>
          <cell r="F933" t="str">
            <v>FH</v>
          </cell>
          <cell r="G933" t="str">
            <v>DG-Solar-Batt.</v>
          </cell>
          <cell r="H933" t="str">
            <v>OK</v>
          </cell>
          <cell r="I933" t="str">
            <v>NO</v>
          </cell>
          <cell r="J933" t="str">
            <v>NO</v>
          </cell>
          <cell r="K933" t="str">
            <v>BRONZE</v>
          </cell>
          <cell r="L933" t="str">
            <v>rural</v>
          </cell>
          <cell r="M933" t="str">
            <v>70997117</v>
          </cell>
          <cell r="N933" t="str">
            <v>DAPAONG</v>
          </cell>
        </row>
        <row r="934">
          <cell r="A934" t="str">
            <v>SIYIME</v>
          </cell>
          <cell r="B934">
            <v>43536</v>
          </cell>
          <cell r="C934" t="str">
            <v>PLA-027</v>
          </cell>
          <cell r="D934" t="str">
            <v>PLATEAUX</v>
          </cell>
          <cell r="E934" t="str">
            <v>NOTSE</v>
          </cell>
          <cell r="F934" t="str">
            <v>FH</v>
          </cell>
          <cell r="G934" t="str">
            <v>DG-Solar-Batt.</v>
          </cell>
          <cell r="H934" t="str">
            <v>OK</v>
          </cell>
          <cell r="I934" t="str">
            <v>NO</v>
          </cell>
          <cell r="J934" t="str">
            <v>NO</v>
          </cell>
          <cell r="K934" t="str">
            <v>BRONZE</v>
          </cell>
          <cell r="L934" t="str">
            <v>rural</v>
          </cell>
          <cell r="M934" t="str">
            <v>70997119</v>
          </cell>
          <cell r="N934" t="str">
            <v>NOTSE</v>
          </cell>
        </row>
        <row r="935">
          <cell r="A935" t="str">
            <v>SK-TELECOM</v>
          </cell>
          <cell r="B935">
            <v>44161</v>
          </cell>
          <cell r="C935" t="str">
            <v>LOM-265</v>
          </cell>
          <cell r="D935" t="str">
            <v>LOME</v>
          </cell>
          <cell r="E935" t="str">
            <v>LOME-NORD</v>
          </cell>
          <cell r="F935" t="str">
            <v>FH</v>
          </cell>
          <cell r="G935" t="str">
            <v>Grid-DG-Batt.</v>
          </cell>
          <cell r="H935" t="str">
            <v>OK</v>
          </cell>
          <cell r="I935" t="str">
            <v>NO</v>
          </cell>
          <cell r="J935" t="str">
            <v>NO</v>
          </cell>
          <cell r="K935" t="str">
            <v>GOLD</v>
          </cell>
          <cell r="L935" t="str">
            <v>SubUrbain</v>
          </cell>
          <cell r="M935">
            <v>0</v>
          </cell>
          <cell r="N935" t="str">
            <v>LOME NORD</v>
          </cell>
        </row>
        <row r="936">
          <cell r="A936" t="str">
            <v>SNI</v>
          </cell>
          <cell r="B936">
            <v>43233</v>
          </cell>
          <cell r="C936" t="str">
            <v>LOM-159</v>
          </cell>
          <cell r="D936" t="str">
            <v>LOME</v>
          </cell>
          <cell r="E936" t="str">
            <v>LOME-SUD</v>
          </cell>
          <cell r="F936" t="str">
            <v>FH</v>
          </cell>
          <cell r="G936" t="str">
            <v>Grid-Batt.</v>
          </cell>
          <cell r="H936" t="str">
            <v>N/A</v>
          </cell>
          <cell r="I936" t="str">
            <v>YES</v>
          </cell>
          <cell r="J936" t="str">
            <v>NO</v>
          </cell>
          <cell r="K936" t="str">
            <v>PLATINUM</v>
          </cell>
          <cell r="L936" t="str">
            <v>Urbain</v>
          </cell>
          <cell r="M936">
            <v>0</v>
          </cell>
          <cell r="N936" t="str">
            <v>LOME SUD</v>
          </cell>
        </row>
        <row r="937">
          <cell r="A937" t="str">
            <v>SOGBOHOE</v>
          </cell>
          <cell r="B937" t="str">
            <v>27/05/2020</v>
          </cell>
          <cell r="C937" t="str">
            <v>PLA-180</v>
          </cell>
          <cell r="D937" t="str">
            <v>PLATEAUX</v>
          </cell>
          <cell r="E937" t="str">
            <v>NOTSE</v>
          </cell>
          <cell r="F937" t="str">
            <v>FH</v>
          </cell>
          <cell r="G937" t="str">
            <v>DG-Solar-Batt.</v>
          </cell>
          <cell r="H937" t="str">
            <v>OK</v>
          </cell>
          <cell r="I937" t="str">
            <v>NO</v>
          </cell>
          <cell r="J937" t="str">
            <v>YES</v>
          </cell>
          <cell r="K937" t="str">
            <v>BRONZE</v>
          </cell>
          <cell r="L937" t="str">
            <v>rural</v>
          </cell>
          <cell r="M937" t="str">
            <v>70997120</v>
          </cell>
          <cell r="N937" t="str">
            <v>NOTSE</v>
          </cell>
        </row>
        <row r="938">
          <cell r="A938" t="str">
            <v>SOGBOSSITO</v>
          </cell>
          <cell r="B938">
            <v>43265</v>
          </cell>
          <cell r="C938" t="str">
            <v>LOM-217</v>
          </cell>
          <cell r="D938" t="str">
            <v>LOME</v>
          </cell>
          <cell r="E938" t="str">
            <v>LOME-OUEST 1</v>
          </cell>
          <cell r="F938" t="str">
            <v>FH</v>
          </cell>
          <cell r="G938" t="str">
            <v>Grid-Batt.</v>
          </cell>
          <cell r="H938" t="str">
            <v>N/A</v>
          </cell>
          <cell r="I938" t="str">
            <v>YES</v>
          </cell>
          <cell r="J938" t="str">
            <v>NO</v>
          </cell>
          <cell r="K938" t="str">
            <v>SILVER</v>
          </cell>
          <cell r="L938" t="str">
            <v>Urbain</v>
          </cell>
          <cell r="M938">
            <v>0</v>
          </cell>
          <cell r="N938" t="str">
            <v>LOME OUEST1</v>
          </cell>
        </row>
        <row r="939">
          <cell r="A939" t="str">
            <v>SOKODE-ADJOROGO</v>
          </cell>
          <cell r="B939">
            <v>45227</v>
          </cell>
          <cell r="C939" t="str">
            <v>CEN-122</v>
          </cell>
          <cell r="D939" t="str">
            <v>CENTRALE</v>
          </cell>
          <cell r="E939" t="str">
            <v>SOKODE</v>
          </cell>
          <cell r="F939" t="str">
            <v>FH</v>
          </cell>
          <cell r="G939" t="str">
            <v>Grid-DG-Batt.</v>
          </cell>
          <cell r="H939" t="str">
            <v>NOK</v>
          </cell>
          <cell r="I939" t="str">
            <v>NO</v>
          </cell>
          <cell r="J939" t="str">
            <v>NO</v>
          </cell>
          <cell r="K939" t="str">
            <v>BRONZE</v>
          </cell>
          <cell r="L939" t="str">
            <v>SUBURBAN</v>
          </cell>
          <cell r="M939" t="e">
            <v>#N/A</v>
          </cell>
          <cell r="N939" t="str">
            <v>SOKODE</v>
          </cell>
        </row>
        <row r="940">
          <cell r="A940" t="str">
            <v>SOKODE-CENTRE</v>
          </cell>
          <cell r="B940">
            <v>44785</v>
          </cell>
          <cell r="C940" t="str">
            <v>CEN-099</v>
          </cell>
          <cell r="D940" t="str">
            <v>CENTRALE</v>
          </cell>
          <cell r="E940" t="str">
            <v>SOKODE</v>
          </cell>
          <cell r="F940" t="str">
            <v>FH</v>
          </cell>
          <cell r="G940" t="str">
            <v>Grid-DG-Batt.</v>
          </cell>
          <cell r="H940" t="str">
            <v>OK</v>
          </cell>
          <cell r="I940" t="str">
            <v>NO</v>
          </cell>
          <cell r="J940" t="str">
            <v>YES</v>
          </cell>
          <cell r="K940" t="str">
            <v>BRONZE</v>
          </cell>
          <cell r="L940" t="str">
            <v>Urbain</v>
          </cell>
          <cell r="M940" t="str">
            <v>70997123</v>
          </cell>
          <cell r="N940" t="str">
            <v>SOKODE</v>
          </cell>
        </row>
        <row r="941">
          <cell r="A941" t="str">
            <v>SOKODE-KADAMBARA</v>
          </cell>
          <cell r="B941">
            <v>45085</v>
          </cell>
          <cell r="C941" t="str">
            <v>CEN-118</v>
          </cell>
          <cell r="D941" t="str">
            <v>CENTRALE</v>
          </cell>
          <cell r="E941" t="str">
            <v>SOKODE</v>
          </cell>
          <cell r="F941" t="str">
            <v>FTTM</v>
          </cell>
          <cell r="G941" t="str">
            <v>Grid-DG-Batt.</v>
          </cell>
          <cell r="H941" t="str">
            <v>OK</v>
          </cell>
          <cell r="I941" t="str">
            <v>NO</v>
          </cell>
          <cell r="J941" t="str">
            <v>NO</v>
          </cell>
          <cell r="K941" t="str">
            <v>SILVER</v>
          </cell>
          <cell r="L941" t="str">
            <v>SubUrbain</v>
          </cell>
          <cell r="M941">
            <v>0</v>
          </cell>
          <cell r="N941" t="str">
            <v>SOKODE</v>
          </cell>
        </row>
        <row r="942">
          <cell r="A942" t="str">
            <v>SOKODE-KASSENA</v>
          </cell>
          <cell r="B942">
            <v>45185</v>
          </cell>
          <cell r="C942" t="str">
            <v>CEN-123</v>
          </cell>
          <cell r="D942" t="str">
            <v>CENTRALE</v>
          </cell>
          <cell r="E942" t="str">
            <v>SOKODE</v>
          </cell>
          <cell r="F942" t="str">
            <v>FH</v>
          </cell>
          <cell r="G942" t="str">
            <v>Grid-DG-Batt.</v>
          </cell>
          <cell r="H942" t="str">
            <v>OK</v>
          </cell>
          <cell r="I942" t="str">
            <v>NO</v>
          </cell>
          <cell r="J942" t="str">
            <v>YES</v>
          </cell>
          <cell r="K942" t="str">
            <v>BRONZE</v>
          </cell>
          <cell r="L942" t="str">
            <v>SubUrbain</v>
          </cell>
          <cell r="M942">
            <v>70997283</v>
          </cell>
          <cell r="N942" t="str">
            <v>SOKODE</v>
          </cell>
        </row>
        <row r="943">
          <cell r="A943" t="str">
            <v>SOKODE-KEDIA</v>
          </cell>
          <cell r="B943">
            <v>44867</v>
          </cell>
          <cell r="C943" t="str">
            <v>CEN-119</v>
          </cell>
          <cell r="D943" t="str">
            <v>CENTRALE</v>
          </cell>
          <cell r="E943" t="str">
            <v>SOKODE</v>
          </cell>
          <cell r="F943" t="str">
            <v>FH</v>
          </cell>
          <cell r="G943" t="str">
            <v>Grid-DG-Batt.</v>
          </cell>
          <cell r="H943" t="str">
            <v>NOK</v>
          </cell>
          <cell r="I943" t="str">
            <v>NO</v>
          </cell>
          <cell r="J943" t="str">
            <v>YES</v>
          </cell>
          <cell r="K943" t="str">
            <v>SILVER</v>
          </cell>
          <cell r="L943" t="str">
            <v>Urbain</v>
          </cell>
          <cell r="M943">
            <v>70997256</v>
          </cell>
          <cell r="N943" t="str">
            <v>SOKODE</v>
          </cell>
        </row>
        <row r="944">
          <cell r="A944" t="str">
            <v>KOMAH-CIMTOGO</v>
          </cell>
          <cell r="B944">
            <v>45143</v>
          </cell>
          <cell r="C944" t="str">
            <v>CEN-124</v>
          </cell>
          <cell r="D944" t="str">
            <v>CENTRALE</v>
          </cell>
          <cell r="E944" t="str">
            <v>SOKODE</v>
          </cell>
          <cell r="F944" t="str">
            <v>FH</v>
          </cell>
          <cell r="G944" t="str">
            <v>Grid-DG-Batt.</v>
          </cell>
          <cell r="H944" t="str">
            <v>OK</v>
          </cell>
          <cell r="I944" t="str">
            <v>NO</v>
          </cell>
          <cell r="J944" t="str">
            <v>NO</v>
          </cell>
          <cell r="K944" t="str">
            <v>SILVER</v>
          </cell>
          <cell r="L944" t="str">
            <v>Urbain</v>
          </cell>
          <cell r="M944" t="e">
            <v>#N/A</v>
          </cell>
          <cell r="N944" t="str">
            <v>SOKODE</v>
          </cell>
        </row>
        <row r="945">
          <cell r="A945" t="str">
            <v>KOULOUNDE-CEG</v>
          </cell>
          <cell r="B945">
            <v>45146</v>
          </cell>
          <cell r="C945" t="str">
            <v>CEN-125</v>
          </cell>
          <cell r="D945" t="str">
            <v>CENTRALE</v>
          </cell>
          <cell r="E945" t="str">
            <v>SOKODE</v>
          </cell>
          <cell r="F945" t="str">
            <v>FH</v>
          </cell>
          <cell r="G945" t="str">
            <v>Grid-DG-Batt.</v>
          </cell>
          <cell r="H945" t="str">
            <v>OK</v>
          </cell>
          <cell r="I945" t="str">
            <v>NO</v>
          </cell>
          <cell r="J945" t="str">
            <v>NO</v>
          </cell>
          <cell r="K945" t="str">
            <v>SILVER</v>
          </cell>
          <cell r="L945" t="str">
            <v>Urbain</v>
          </cell>
          <cell r="M945" t="e">
            <v>#N/A</v>
          </cell>
          <cell r="N945" t="str">
            <v>SOKODE</v>
          </cell>
        </row>
        <row r="946">
          <cell r="A946" t="str">
            <v>SOKODE-KPANGALAM</v>
          </cell>
          <cell r="B946">
            <v>43879</v>
          </cell>
          <cell r="C946" t="str">
            <v>CEN-083</v>
          </cell>
          <cell r="D946" t="str">
            <v>CENTRALE</v>
          </cell>
          <cell r="E946" t="str">
            <v>SOKODE</v>
          </cell>
          <cell r="F946" t="str">
            <v>FH</v>
          </cell>
          <cell r="G946" t="str">
            <v>Grid-DG-Batt.</v>
          </cell>
          <cell r="H946" t="str">
            <v>OK</v>
          </cell>
          <cell r="I946" t="str">
            <v>NO</v>
          </cell>
          <cell r="J946" t="str">
            <v>NO</v>
          </cell>
          <cell r="K946" t="str">
            <v>BRONZE</v>
          </cell>
          <cell r="L946" t="str">
            <v>Urbain</v>
          </cell>
          <cell r="M946">
            <v>70997262</v>
          </cell>
          <cell r="N946" t="str">
            <v>SOKODE</v>
          </cell>
        </row>
        <row r="947">
          <cell r="A947" t="str">
            <v>SOKODE-TCHAWANDA</v>
          </cell>
          <cell r="B947">
            <v>45242</v>
          </cell>
          <cell r="C947" t="str">
            <v>CEN-126</v>
          </cell>
          <cell r="D947" t="str">
            <v>CENTRALE</v>
          </cell>
          <cell r="E947" t="str">
            <v>SOKODE</v>
          </cell>
          <cell r="F947" t="str">
            <v>FTTM</v>
          </cell>
          <cell r="G947" t="str">
            <v>Grid-DG-Batt.</v>
          </cell>
          <cell r="H947" t="str">
            <v>OK</v>
          </cell>
          <cell r="I947" t="str">
            <v>NO</v>
          </cell>
          <cell r="J947">
            <v>0</v>
          </cell>
          <cell r="K947" t="str">
            <v>SILVER</v>
          </cell>
          <cell r="L947" t="str">
            <v>URBAN</v>
          </cell>
          <cell r="M947" t="e">
            <v>#N/A</v>
          </cell>
          <cell r="N947" t="str">
            <v>SOKODE</v>
          </cell>
        </row>
        <row r="948">
          <cell r="A948" t="str">
            <v>SOLA</v>
          </cell>
          <cell r="B948"/>
          <cell r="C948" t="str">
            <v>KAR-045</v>
          </cell>
          <cell r="D948" t="str">
            <v>KARA</v>
          </cell>
          <cell r="E948" t="str">
            <v>KARA-EST</v>
          </cell>
          <cell r="F948" t="str">
            <v>FH</v>
          </cell>
          <cell r="G948" t="str">
            <v>DG-Solar-Batt.</v>
          </cell>
          <cell r="H948" t="str">
            <v>OK</v>
          </cell>
          <cell r="I948" t="str">
            <v>NO</v>
          </cell>
          <cell r="J948" t="str">
            <v>NO</v>
          </cell>
          <cell r="K948" t="str">
            <v>BRONZE</v>
          </cell>
          <cell r="L948" t="str">
            <v>rural</v>
          </cell>
          <cell r="M948" t="str">
            <v>70997125</v>
          </cell>
          <cell r="N948" t="str">
            <v>KARA EST</v>
          </cell>
        </row>
        <row r="949">
          <cell r="A949" t="str">
            <v>SOLAO</v>
          </cell>
          <cell r="B949"/>
          <cell r="C949" t="str">
            <v>CEN-100</v>
          </cell>
          <cell r="D949" t="str">
            <v>CENTRALE</v>
          </cell>
          <cell r="E949" t="str">
            <v>SOKODE</v>
          </cell>
          <cell r="F949" t="str">
            <v>FH</v>
          </cell>
          <cell r="G949" t="str">
            <v>DG-Batt.</v>
          </cell>
          <cell r="H949" t="str">
            <v>OK</v>
          </cell>
          <cell r="I949" t="str">
            <v>NO</v>
          </cell>
          <cell r="J949" t="str">
            <v>YES</v>
          </cell>
          <cell r="K949" t="str">
            <v>BRONZE</v>
          </cell>
          <cell r="L949" t="str">
            <v>rural</v>
          </cell>
          <cell r="M949" t="str">
            <v>70996491</v>
          </cell>
          <cell r="N949" t="str">
            <v>SOKODE</v>
          </cell>
        </row>
        <row r="950">
          <cell r="A950" t="str">
            <v>SOLIDARITE</v>
          </cell>
          <cell r="B950"/>
          <cell r="C950" t="str">
            <v>LOM-127</v>
          </cell>
          <cell r="D950" t="str">
            <v>LOME</v>
          </cell>
          <cell r="E950" t="str">
            <v>LOME-SUD</v>
          </cell>
          <cell r="F950" t="str">
            <v>FO</v>
          </cell>
          <cell r="G950" t="str">
            <v>Grid-DG-Batt.</v>
          </cell>
          <cell r="H950" t="str">
            <v>OK</v>
          </cell>
          <cell r="I950" t="str">
            <v>NO</v>
          </cell>
          <cell r="J950" t="str">
            <v>NO</v>
          </cell>
          <cell r="K950" t="str">
            <v>SILVER</v>
          </cell>
          <cell r="L950" t="str">
            <v>Urbain</v>
          </cell>
          <cell r="M950" t="str">
            <v>70997126</v>
          </cell>
          <cell r="N950" t="str">
            <v>LOME SUD</v>
          </cell>
        </row>
        <row r="951">
          <cell r="A951" t="str">
            <v>SOS</v>
          </cell>
          <cell r="B951"/>
          <cell r="C951" t="str">
            <v>LOM-116</v>
          </cell>
          <cell r="D951" t="str">
            <v>LOME</v>
          </cell>
          <cell r="E951" t="str">
            <v>LOME-CENTRE</v>
          </cell>
          <cell r="F951" t="str">
            <v>FO</v>
          </cell>
          <cell r="G951" t="str">
            <v>Grid-DG-Batt.</v>
          </cell>
          <cell r="H951" t="str">
            <v>OK</v>
          </cell>
          <cell r="I951" t="str">
            <v>YES</v>
          </cell>
          <cell r="J951" t="str">
            <v>NO</v>
          </cell>
          <cell r="K951" t="str">
            <v>GOLD</v>
          </cell>
          <cell r="L951" t="str">
            <v>Urbain</v>
          </cell>
          <cell r="M951" t="str">
            <v>70996442</v>
          </cell>
          <cell r="N951" t="str">
            <v>LOME CENTRE</v>
          </cell>
        </row>
        <row r="952">
          <cell r="A952" t="str">
            <v>SOTED</v>
          </cell>
          <cell r="B952"/>
          <cell r="C952" t="str">
            <v>LOM-135</v>
          </cell>
          <cell r="D952" t="str">
            <v>LOME</v>
          </cell>
          <cell r="E952" t="str">
            <v>LOME-SUD</v>
          </cell>
          <cell r="F952" t="str">
            <v>FO</v>
          </cell>
          <cell r="G952" t="str">
            <v>Grid-Batt.</v>
          </cell>
          <cell r="H952" t="str">
            <v>N/A</v>
          </cell>
          <cell r="I952" t="str">
            <v>YES</v>
          </cell>
          <cell r="J952" t="str">
            <v>YES</v>
          </cell>
          <cell r="K952" t="str">
            <v>SILVER</v>
          </cell>
          <cell r="L952" t="str">
            <v>Urbain</v>
          </cell>
          <cell r="M952" t="str">
            <v>70997127</v>
          </cell>
          <cell r="N952" t="str">
            <v>LOME SUD</v>
          </cell>
        </row>
        <row r="953">
          <cell r="A953" t="str">
            <v>SOTOUBOUA</v>
          </cell>
          <cell r="B953"/>
          <cell r="C953" t="str">
            <v>CEN-030</v>
          </cell>
          <cell r="D953" t="str">
            <v>CENTRALE</v>
          </cell>
          <cell r="E953" t="str">
            <v>SOKODE</v>
          </cell>
          <cell r="F953" t="str">
            <v>FO</v>
          </cell>
          <cell r="G953" t="str">
            <v>Grid-DG-Batt.</v>
          </cell>
          <cell r="H953" t="str">
            <v>OK</v>
          </cell>
          <cell r="I953" t="str">
            <v>NO</v>
          </cell>
          <cell r="J953" t="str">
            <v>YES</v>
          </cell>
          <cell r="K953" t="str">
            <v>GOLD</v>
          </cell>
          <cell r="L953" t="str">
            <v>Urbain</v>
          </cell>
          <cell r="M953" t="str">
            <v>70997128</v>
          </cell>
          <cell r="N953" t="str">
            <v>SOKODE</v>
          </cell>
        </row>
        <row r="954">
          <cell r="A954" t="str">
            <v>SOTOUBOUA-MARCHE</v>
          </cell>
          <cell r="B954">
            <v>44711</v>
          </cell>
          <cell r="C954" t="str">
            <v>CEN-094</v>
          </cell>
          <cell r="D954" t="str">
            <v>CENTRALE</v>
          </cell>
          <cell r="E954" t="str">
            <v>SOKODE</v>
          </cell>
          <cell r="F954" t="str">
            <v>FH</v>
          </cell>
          <cell r="G954" t="str">
            <v>Grid-DG-Batt.</v>
          </cell>
          <cell r="H954" t="str">
            <v>OK</v>
          </cell>
          <cell r="I954" t="str">
            <v>NO</v>
          </cell>
          <cell r="J954" t="str">
            <v>YES</v>
          </cell>
          <cell r="K954" t="str">
            <v>SILVER</v>
          </cell>
          <cell r="L954" t="str">
            <v>SubUrbain</v>
          </cell>
          <cell r="M954" t="str">
            <v>70996492</v>
          </cell>
          <cell r="N954" t="str">
            <v>SOKODE</v>
          </cell>
        </row>
        <row r="955">
          <cell r="A955" t="str">
            <v>SOTOUBOUA-PEAGE</v>
          </cell>
          <cell r="B955"/>
          <cell r="C955" t="str">
            <v>CEN-031</v>
          </cell>
          <cell r="D955" t="str">
            <v>CENTRALE</v>
          </cell>
          <cell r="E955" t="str">
            <v>SOKODE</v>
          </cell>
          <cell r="F955" t="str">
            <v>FO</v>
          </cell>
          <cell r="G955" t="str">
            <v>Grid-DG-Batt.</v>
          </cell>
          <cell r="H955" t="str">
            <v>OK</v>
          </cell>
          <cell r="I955" t="str">
            <v>NO</v>
          </cell>
          <cell r="J955" t="str">
            <v>NO</v>
          </cell>
          <cell r="K955" t="str">
            <v>SILVER</v>
          </cell>
          <cell r="L955" t="str">
            <v>Urbain</v>
          </cell>
          <cell r="M955" t="str">
            <v>70997129</v>
          </cell>
          <cell r="N955" t="str">
            <v>SOKODE</v>
          </cell>
        </row>
        <row r="956">
          <cell r="A956" t="str">
            <v>SOTOUBOUA-SONDE</v>
          </cell>
          <cell r="B956">
            <v>43921</v>
          </cell>
          <cell r="C956" t="str">
            <v>CEN-090</v>
          </cell>
          <cell r="D956" t="str">
            <v>CENTRALE</v>
          </cell>
          <cell r="E956" t="str">
            <v>SOKODE</v>
          </cell>
          <cell r="F956" t="str">
            <v>FH</v>
          </cell>
          <cell r="G956" t="str">
            <v>Grid-DG-Batt.</v>
          </cell>
          <cell r="H956" t="str">
            <v>OK</v>
          </cell>
          <cell r="I956" t="str">
            <v>NO</v>
          </cell>
          <cell r="J956" t="str">
            <v>NO</v>
          </cell>
          <cell r="K956" t="str">
            <v>BRONZE</v>
          </cell>
          <cell r="L956" t="str">
            <v>Urbain</v>
          </cell>
          <cell r="M956" t="str">
            <v>70997130</v>
          </cell>
          <cell r="N956" t="str">
            <v>SOKODE</v>
          </cell>
        </row>
        <row r="957">
          <cell r="A957" t="str">
            <v>SOTOUBOUA-UNIVERSITE</v>
          </cell>
          <cell r="B957"/>
          <cell r="C957" t="str">
            <v>CEN-032</v>
          </cell>
          <cell r="D957" t="str">
            <v>CENTRALE</v>
          </cell>
          <cell r="E957" t="str">
            <v>SOKODE</v>
          </cell>
          <cell r="F957" t="str">
            <v>FO</v>
          </cell>
          <cell r="G957" t="str">
            <v>DG-Solar-Batt.</v>
          </cell>
          <cell r="H957" t="str">
            <v>OK</v>
          </cell>
          <cell r="I957" t="str">
            <v>NO</v>
          </cell>
          <cell r="J957" t="str">
            <v>YES</v>
          </cell>
          <cell r="K957" t="str">
            <v>BRONZE</v>
          </cell>
          <cell r="L957" t="str">
            <v>Urbain</v>
          </cell>
          <cell r="M957" t="str">
            <v>70997131</v>
          </cell>
          <cell r="N957" t="str">
            <v>SOKODE</v>
          </cell>
        </row>
        <row r="958">
          <cell r="A958" t="str">
            <v>SOUDOU</v>
          </cell>
          <cell r="B958"/>
          <cell r="C958" t="str">
            <v>KAR-085</v>
          </cell>
          <cell r="D958" t="str">
            <v>KARA</v>
          </cell>
          <cell r="E958" t="str">
            <v>KARA-OUEST</v>
          </cell>
          <cell r="F958" t="str">
            <v>FH</v>
          </cell>
          <cell r="G958" t="str">
            <v>DG-Solar-Batt.</v>
          </cell>
          <cell r="H958" t="str">
            <v>OK</v>
          </cell>
          <cell r="I958" t="str">
            <v>NO</v>
          </cell>
          <cell r="J958" t="str">
            <v>NO</v>
          </cell>
          <cell r="K958" t="str">
            <v>SILVER</v>
          </cell>
          <cell r="L958" t="str">
            <v>rural</v>
          </cell>
          <cell r="M958" t="str">
            <v>70997132</v>
          </cell>
          <cell r="N958" t="str">
            <v>KARA OUEST</v>
          </cell>
        </row>
        <row r="959">
          <cell r="A959" t="str">
            <v>SOUMBOU</v>
          </cell>
          <cell r="B959"/>
          <cell r="C959" t="str">
            <v>KAR-039</v>
          </cell>
          <cell r="D959" t="str">
            <v>KARA</v>
          </cell>
          <cell r="E959" t="str">
            <v>KARA-OUEST</v>
          </cell>
          <cell r="F959" t="str">
            <v>FH</v>
          </cell>
          <cell r="G959" t="str">
            <v>Grid-DG-Batt.</v>
          </cell>
          <cell r="H959" t="str">
            <v>OK</v>
          </cell>
          <cell r="I959" t="str">
            <v>NO</v>
          </cell>
          <cell r="J959" t="str">
            <v>NO</v>
          </cell>
          <cell r="K959" t="str">
            <v>SILVER</v>
          </cell>
          <cell r="L959" t="str">
            <v>SubUrbain</v>
          </cell>
          <cell r="M959" t="str">
            <v>70997134</v>
          </cell>
          <cell r="N959" t="str">
            <v>KARA OUEST</v>
          </cell>
        </row>
        <row r="960">
          <cell r="A960" t="str">
            <v>SOUMDINA</v>
          </cell>
          <cell r="B960"/>
          <cell r="C960" t="str">
            <v>KAR-023</v>
          </cell>
          <cell r="D960" t="str">
            <v>KARA</v>
          </cell>
          <cell r="E960" t="str">
            <v>KARA-EST</v>
          </cell>
          <cell r="F960" t="str">
            <v>FH</v>
          </cell>
          <cell r="G960" t="str">
            <v>Grid-DG-Batt.</v>
          </cell>
          <cell r="H960" t="str">
            <v>OK</v>
          </cell>
          <cell r="I960" t="str">
            <v>NO</v>
          </cell>
          <cell r="J960" t="str">
            <v>NO</v>
          </cell>
          <cell r="K960" t="str">
            <v>SILVER</v>
          </cell>
          <cell r="L960" t="str">
            <v>SubUrbain</v>
          </cell>
          <cell r="M960" t="str">
            <v>70997135</v>
          </cell>
          <cell r="N960" t="str">
            <v>KARA EST</v>
          </cell>
        </row>
        <row r="961">
          <cell r="A961" t="str">
            <v>SOUMDINAKAWA</v>
          </cell>
          <cell r="B961"/>
          <cell r="C961" t="str">
            <v>KAR-086</v>
          </cell>
          <cell r="D961" t="str">
            <v>KARA</v>
          </cell>
          <cell r="E961" t="str">
            <v>KABOU</v>
          </cell>
          <cell r="F961" t="str">
            <v>FO</v>
          </cell>
          <cell r="G961" t="str">
            <v>DG-Solar-Batt.</v>
          </cell>
          <cell r="H961" t="str">
            <v>OK</v>
          </cell>
          <cell r="I961" t="str">
            <v>NO</v>
          </cell>
          <cell r="J961" t="str">
            <v>NO</v>
          </cell>
          <cell r="K961" t="str">
            <v>BRONZE</v>
          </cell>
          <cell r="L961" t="str">
            <v>rural</v>
          </cell>
          <cell r="M961" t="str">
            <v>70997136</v>
          </cell>
          <cell r="N961" t="str">
            <v>KABOU</v>
          </cell>
        </row>
        <row r="962">
          <cell r="A962" t="str">
            <v>SOUMDINA-MOOV</v>
          </cell>
          <cell r="B962">
            <v>43715</v>
          </cell>
          <cell r="C962" t="str">
            <v>KAR-095</v>
          </cell>
          <cell r="D962" t="str">
            <v>KARA</v>
          </cell>
          <cell r="E962" t="str">
            <v>KARA-EST</v>
          </cell>
          <cell r="F962" t="str">
            <v>FH</v>
          </cell>
          <cell r="G962" t="str">
            <v>Grid-DG-Batt.</v>
          </cell>
          <cell r="H962" t="str">
            <v>NOK</v>
          </cell>
          <cell r="I962" t="str">
            <v>NO</v>
          </cell>
          <cell r="J962" t="str">
            <v>NO</v>
          </cell>
          <cell r="K962" t="str">
            <v>BRONZE</v>
          </cell>
          <cell r="L962" t="str">
            <v>Urbain</v>
          </cell>
          <cell r="M962">
            <v>70997137</v>
          </cell>
          <cell r="N962" t="str">
            <v>KARA EST</v>
          </cell>
        </row>
        <row r="963">
          <cell r="A963" t="str">
            <v>SOUROUTAWI-I</v>
          </cell>
          <cell r="B963">
            <v>44607</v>
          </cell>
          <cell r="C963" t="str">
            <v>CEN-101</v>
          </cell>
          <cell r="D963" t="str">
            <v>CENTRALE</v>
          </cell>
          <cell r="E963" t="str">
            <v>TCHAMBA</v>
          </cell>
          <cell r="F963" t="str">
            <v>FH</v>
          </cell>
          <cell r="G963" t="str">
            <v>DG-Solar-Batt.</v>
          </cell>
          <cell r="H963" t="str">
            <v>NOK</v>
          </cell>
          <cell r="I963" t="str">
            <v>NO</v>
          </cell>
          <cell r="J963" t="str">
            <v>YES</v>
          </cell>
          <cell r="K963" t="str">
            <v>BRONZE</v>
          </cell>
          <cell r="L963" t="str">
            <v>rural</v>
          </cell>
          <cell r="M963" t="e">
            <v>#N/A</v>
          </cell>
          <cell r="N963" t="str">
            <v>TCHAMBA</v>
          </cell>
        </row>
        <row r="964">
          <cell r="A964" t="str">
            <v>SOUZANETIME</v>
          </cell>
          <cell r="B964"/>
          <cell r="C964" t="str">
            <v>LOM-168</v>
          </cell>
          <cell r="D964" t="str">
            <v>LOME</v>
          </cell>
          <cell r="E964" t="str">
            <v>LOME-SUD</v>
          </cell>
          <cell r="F964" t="str">
            <v>FO</v>
          </cell>
          <cell r="G964" t="str">
            <v>Grid-Batt.</v>
          </cell>
          <cell r="H964" t="str">
            <v>N/A</v>
          </cell>
          <cell r="I964" t="str">
            <v>YES</v>
          </cell>
          <cell r="J964" t="str">
            <v>YES</v>
          </cell>
          <cell r="K964" t="str">
            <v>BRONZE</v>
          </cell>
          <cell r="L964" t="str">
            <v>Urbain</v>
          </cell>
          <cell r="M964">
            <v>0</v>
          </cell>
          <cell r="N964" t="str">
            <v>LOME SUD</v>
          </cell>
        </row>
        <row r="965">
          <cell r="A965" t="str">
            <v>SOVIEPE</v>
          </cell>
          <cell r="B965"/>
          <cell r="C965" t="str">
            <v>LOM-087</v>
          </cell>
          <cell r="D965" t="str">
            <v>LOME</v>
          </cell>
          <cell r="E965" t="str">
            <v>LOME-OUEST 2</v>
          </cell>
          <cell r="F965" t="str">
            <v>FO</v>
          </cell>
          <cell r="G965" t="str">
            <v>Grid-DG-Batt.</v>
          </cell>
          <cell r="H965" t="str">
            <v>OK</v>
          </cell>
          <cell r="I965" t="str">
            <v>NO</v>
          </cell>
          <cell r="J965" t="str">
            <v>NO</v>
          </cell>
          <cell r="K965" t="str">
            <v>SILVER</v>
          </cell>
          <cell r="L965" t="str">
            <v>Urbain</v>
          </cell>
          <cell r="M965" t="str">
            <v>70997138</v>
          </cell>
          <cell r="N965" t="str">
            <v>LOME OUEST2</v>
          </cell>
        </row>
        <row r="966">
          <cell r="A966" t="str">
            <v>STREBLER</v>
          </cell>
          <cell r="B966"/>
          <cell r="C966" t="str">
            <v>LOM-136</v>
          </cell>
          <cell r="D966" t="str">
            <v>LOME</v>
          </cell>
          <cell r="E966" t="str">
            <v>LOME-SUD</v>
          </cell>
          <cell r="F966" t="str">
            <v>FO</v>
          </cell>
          <cell r="G966" t="str">
            <v>Grid-DG-Batt.</v>
          </cell>
          <cell r="H966" t="str">
            <v>OK</v>
          </cell>
          <cell r="I966" t="str">
            <v>NO</v>
          </cell>
          <cell r="J966" t="str">
            <v>NO</v>
          </cell>
          <cell r="K966" t="str">
            <v>SILVER</v>
          </cell>
          <cell r="L966" t="str">
            <v>Urbain</v>
          </cell>
          <cell r="M966" t="str">
            <v>70997139</v>
          </cell>
          <cell r="N966" t="str">
            <v>LOME SUD</v>
          </cell>
        </row>
        <row r="967">
          <cell r="A967" t="str">
            <v>TABABOU</v>
          </cell>
          <cell r="B967">
            <v>45029</v>
          </cell>
          <cell r="C967" t="str">
            <v>SAV-108</v>
          </cell>
          <cell r="D967" t="str">
            <v>SAVANES</v>
          </cell>
          <cell r="E967" t="str">
            <v>MANGO</v>
          </cell>
          <cell r="F967" t="str">
            <v>FH</v>
          </cell>
          <cell r="G967" t="str">
            <v>DG-Solar-Batt.</v>
          </cell>
          <cell r="H967" t="str">
            <v>OK</v>
          </cell>
          <cell r="I967" t="str">
            <v>NO</v>
          </cell>
          <cell r="J967" t="str">
            <v>YES</v>
          </cell>
          <cell r="K967" t="str">
            <v>BRONZE</v>
          </cell>
          <cell r="L967" t="str">
            <v>rural</v>
          </cell>
          <cell r="M967">
            <v>70997275</v>
          </cell>
          <cell r="N967" t="str">
            <v>MANGO</v>
          </cell>
        </row>
        <row r="968">
          <cell r="A968" t="str">
            <v>TABLIGBO</v>
          </cell>
          <cell r="B968" t="str">
            <v>NA</v>
          </cell>
          <cell r="C968" t="str">
            <v>MAR-041</v>
          </cell>
          <cell r="D968" t="str">
            <v>MARITIME</v>
          </cell>
          <cell r="E968" t="str">
            <v>ANEHO</v>
          </cell>
          <cell r="F968" t="str">
            <v>FH</v>
          </cell>
          <cell r="G968" t="str">
            <v>Grid-DG-Batt.</v>
          </cell>
          <cell r="H968" t="str">
            <v>OK</v>
          </cell>
          <cell r="I968" t="str">
            <v>NO</v>
          </cell>
          <cell r="J968" t="str">
            <v>NO</v>
          </cell>
          <cell r="K968" t="str">
            <v>SILVER</v>
          </cell>
          <cell r="L968" t="str">
            <v>Urbain</v>
          </cell>
          <cell r="M968" t="str">
            <v>70997140</v>
          </cell>
          <cell r="N968" t="str">
            <v>ANEHO</v>
          </cell>
        </row>
        <row r="969">
          <cell r="A969" t="str">
            <v>TABLIGBO-AKOUDOKPO</v>
          </cell>
          <cell r="B969"/>
          <cell r="C969" t="str">
            <v>MAR-042</v>
          </cell>
          <cell r="D969" t="str">
            <v>MARITIME</v>
          </cell>
          <cell r="E969" t="str">
            <v>ANEHO</v>
          </cell>
          <cell r="F969" t="str">
            <v>FH</v>
          </cell>
          <cell r="G969" t="str">
            <v>Grid-DG-Batt.</v>
          </cell>
          <cell r="H969" t="str">
            <v>OK</v>
          </cell>
          <cell r="I969" t="str">
            <v>NO</v>
          </cell>
          <cell r="J969" t="str">
            <v>NO</v>
          </cell>
          <cell r="K969" t="str">
            <v>SILVER</v>
          </cell>
          <cell r="L969" t="str">
            <v>Urbain</v>
          </cell>
          <cell r="M969" t="str">
            <v>70997141</v>
          </cell>
          <cell r="N969" t="str">
            <v>ANEHO</v>
          </cell>
        </row>
        <row r="970">
          <cell r="A970" t="str">
            <v>TABLIGBO3-MOOV</v>
          </cell>
          <cell r="B970">
            <v>44786</v>
          </cell>
          <cell r="C970" t="str">
            <v>MAR-150</v>
          </cell>
          <cell r="D970" t="str">
            <v>MARITIME</v>
          </cell>
          <cell r="E970" t="str">
            <v>ANEHO</v>
          </cell>
          <cell r="F970" t="str">
            <v>FH</v>
          </cell>
          <cell r="G970" t="str">
            <v>Grid-DG-Batt.</v>
          </cell>
          <cell r="H970" t="str">
            <v>OK</v>
          </cell>
          <cell r="I970" t="str">
            <v>NO</v>
          </cell>
          <cell r="J970" t="str">
            <v>YES</v>
          </cell>
          <cell r="K970" t="str">
            <v>SILVER</v>
          </cell>
          <cell r="L970" t="str">
            <v>Urbain</v>
          </cell>
          <cell r="M970" t="e">
            <v>#N/A</v>
          </cell>
          <cell r="N970" t="str">
            <v>ANEHO</v>
          </cell>
        </row>
        <row r="971">
          <cell r="A971" t="str">
            <v>TADJAN</v>
          </cell>
          <cell r="B971"/>
          <cell r="C971" t="str">
            <v>CEN-075</v>
          </cell>
          <cell r="D971" t="str">
            <v>CENTRALE</v>
          </cell>
          <cell r="E971" t="str">
            <v>BLITTA</v>
          </cell>
          <cell r="F971" t="str">
            <v>FH</v>
          </cell>
          <cell r="G971" t="str">
            <v>Grid-DG-Solar-Batt.</v>
          </cell>
          <cell r="H971" t="str">
            <v>NOK</v>
          </cell>
          <cell r="I971" t="str">
            <v>NO</v>
          </cell>
          <cell r="J971" t="str">
            <v>NO</v>
          </cell>
          <cell r="K971" t="str">
            <v>SILVER</v>
          </cell>
          <cell r="L971" t="str">
            <v>rural</v>
          </cell>
          <cell r="M971" t="str">
            <v>70997142</v>
          </cell>
          <cell r="N971" t="str">
            <v>BLITTA</v>
          </cell>
        </row>
        <row r="972">
          <cell r="A972" t="str">
            <v>TADO</v>
          </cell>
          <cell r="B972"/>
          <cell r="C972" t="str">
            <v>PLA-112</v>
          </cell>
          <cell r="D972" t="str">
            <v>PLATEAUX</v>
          </cell>
          <cell r="E972" t="str">
            <v>NOTSE</v>
          </cell>
          <cell r="F972" t="str">
            <v>FH</v>
          </cell>
          <cell r="G972" t="str">
            <v>Grid-DG-Solar-Batt.</v>
          </cell>
          <cell r="H972" t="str">
            <v>NOK</v>
          </cell>
          <cell r="I972" t="str">
            <v>NO</v>
          </cell>
          <cell r="J972" t="str">
            <v>NO</v>
          </cell>
          <cell r="K972" t="str">
            <v>BRONZE</v>
          </cell>
          <cell r="L972" t="str">
            <v>rural</v>
          </cell>
          <cell r="M972" t="str">
            <v>70997143</v>
          </cell>
          <cell r="N972" t="str">
            <v>NOTSE</v>
          </cell>
        </row>
        <row r="973">
          <cell r="A973" t="str">
            <v>TAKLAVE-MOOV</v>
          </cell>
          <cell r="B973">
            <v>45111</v>
          </cell>
          <cell r="C973" t="str">
            <v>MAR-154</v>
          </cell>
          <cell r="D973" t="str">
            <v>MARITIME</v>
          </cell>
          <cell r="E973" t="str">
            <v>KPALIME</v>
          </cell>
          <cell r="F973" t="str">
            <v>FH</v>
          </cell>
          <cell r="G973" t="str">
            <v>DG-Solar-Batt.</v>
          </cell>
          <cell r="H973" t="str">
            <v>OK</v>
          </cell>
          <cell r="I973" t="str">
            <v>NO</v>
          </cell>
          <cell r="J973" t="str">
            <v>NO</v>
          </cell>
          <cell r="K973" t="str">
            <v>BRONZE</v>
          </cell>
          <cell r="L973" t="str">
            <v>rural</v>
          </cell>
          <cell r="M973">
            <v>0</v>
          </cell>
          <cell r="N973" t="str">
            <v>KPALIME</v>
          </cell>
        </row>
        <row r="974">
          <cell r="A974" t="str">
            <v>TAKPAMBA</v>
          </cell>
          <cell r="B974"/>
          <cell r="C974" t="str">
            <v>SAV-058</v>
          </cell>
          <cell r="D974" t="str">
            <v>SAVANES</v>
          </cell>
          <cell r="E974" t="str">
            <v>MANGO</v>
          </cell>
          <cell r="F974" t="str">
            <v>FH</v>
          </cell>
          <cell r="G974" t="str">
            <v>Grid-DG-Solar-Batt.</v>
          </cell>
          <cell r="H974" t="str">
            <v>OK</v>
          </cell>
          <cell r="I974" t="str">
            <v>NO</v>
          </cell>
          <cell r="J974" t="str">
            <v>NO</v>
          </cell>
          <cell r="K974" t="str">
            <v>BRONZE</v>
          </cell>
          <cell r="L974" t="str">
            <v>rural</v>
          </cell>
          <cell r="M974" t="str">
            <v>70997144</v>
          </cell>
          <cell r="N974" t="str">
            <v>MANGO</v>
          </cell>
        </row>
        <row r="975">
          <cell r="A975" t="str">
            <v>TAKPAPIENI</v>
          </cell>
          <cell r="B975"/>
          <cell r="C975" t="str">
            <v>SAV-056</v>
          </cell>
          <cell r="D975" t="str">
            <v>KARA</v>
          </cell>
          <cell r="E975" t="str">
            <v>KANTE</v>
          </cell>
          <cell r="F975" t="str">
            <v>FH</v>
          </cell>
          <cell r="G975" t="str">
            <v>Grid-DG-Solar-Batt.</v>
          </cell>
          <cell r="H975" t="str">
            <v>OK</v>
          </cell>
          <cell r="I975" t="str">
            <v>NO</v>
          </cell>
          <cell r="J975" t="str">
            <v>NO</v>
          </cell>
          <cell r="K975" t="str">
            <v>BRONZE</v>
          </cell>
          <cell r="L975" t="str">
            <v>rural</v>
          </cell>
          <cell r="M975">
            <v>70996896</v>
          </cell>
          <cell r="N975" t="str">
            <v>KANTE</v>
          </cell>
        </row>
        <row r="976">
          <cell r="A976" t="str">
            <v>TALONGUE</v>
          </cell>
          <cell r="B976"/>
          <cell r="C976" t="str">
            <v>SAV-019</v>
          </cell>
          <cell r="D976" t="str">
            <v>SAVANES</v>
          </cell>
          <cell r="E976" t="str">
            <v>DAPAONG 1</v>
          </cell>
          <cell r="F976" t="str">
            <v>FH</v>
          </cell>
          <cell r="G976" t="str">
            <v>DG-Solar-Batt.</v>
          </cell>
          <cell r="H976" t="str">
            <v>OK</v>
          </cell>
          <cell r="I976" t="str">
            <v>NO</v>
          </cell>
          <cell r="J976" t="str">
            <v>YES</v>
          </cell>
          <cell r="K976" t="str">
            <v>BRONZE</v>
          </cell>
          <cell r="L976" t="str">
            <v>rural</v>
          </cell>
          <cell r="M976" t="str">
            <v>70997147</v>
          </cell>
          <cell r="N976" t="str">
            <v>DAPAONG</v>
          </cell>
        </row>
        <row r="977">
          <cell r="A977" t="str">
            <v>TAMBIMONG</v>
          </cell>
          <cell r="B977">
            <v>45103</v>
          </cell>
          <cell r="C977" t="str">
            <v>SAV-087</v>
          </cell>
          <cell r="D977" t="str">
            <v>SAVANES</v>
          </cell>
          <cell r="E977" t="str">
            <v>DAPAONG 1</v>
          </cell>
          <cell r="F977" t="str">
            <v>FH</v>
          </cell>
          <cell r="G977" t="str">
            <v>DG-Solar-Batt.</v>
          </cell>
          <cell r="H977" t="str">
            <v>OK</v>
          </cell>
          <cell r="I977" t="str">
            <v>NO</v>
          </cell>
          <cell r="J977" t="str">
            <v>NO</v>
          </cell>
          <cell r="K977" t="str">
            <v>BRONZE</v>
          </cell>
          <cell r="L977" t="str">
            <v>rural</v>
          </cell>
          <cell r="M977">
            <v>0</v>
          </cell>
          <cell r="N977" t="str">
            <v>DAPAONG</v>
          </cell>
        </row>
        <row r="978">
          <cell r="A978" t="str">
            <v>TAMBONGA</v>
          </cell>
          <cell r="B978"/>
          <cell r="C978" t="str">
            <v>SAV-081</v>
          </cell>
          <cell r="D978" t="str">
            <v>SAVANES</v>
          </cell>
          <cell r="E978" t="str">
            <v>DAPAONG 1</v>
          </cell>
          <cell r="F978" t="str">
            <v>FH</v>
          </cell>
          <cell r="G978" t="str">
            <v>DG-Solar-Batt.</v>
          </cell>
          <cell r="H978" t="str">
            <v>OK</v>
          </cell>
          <cell r="I978" t="str">
            <v>NO</v>
          </cell>
          <cell r="J978" t="str">
            <v>YES</v>
          </cell>
          <cell r="K978" t="str">
            <v>BRONZE</v>
          </cell>
          <cell r="L978" t="str">
            <v>rural</v>
          </cell>
          <cell r="M978" t="str">
            <v>70997148</v>
          </cell>
          <cell r="N978" t="str">
            <v>DAPAONG</v>
          </cell>
        </row>
        <row r="979">
          <cell r="A979" t="str">
            <v>TAMI-MOOV</v>
          </cell>
          <cell r="B979">
            <v>44806</v>
          </cell>
          <cell r="C979" t="str">
            <v>SAV-109</v>
          </cell>
          <cell r="D979" t="str">
            <v>SAVANES</v>
          </cell>
          <cell r="E979" t="str">
            <v>DAPAONG 1</v>
          </cell>
          <cell r="F979" t="str">
            <v>FH</v>
          </cell>
          <cell r="G979" t="str">
            <v>Grid-DG-Batt.</v>
          </cell>
          <cell r="H979" t="str">
            <v>OK</v>
          </cell>
          <cell r="I979" t="str">
            <v>NO</v>
          </cell>
          <cell r="J979" t="str">
            <v>YES</v>
          </cell>
          <cell r="K979" t="str">
            <v>BRONZE</v>
          </cell>
          <cell r="L979" t="str">
            <v>rural</v>
          </cell>
          <cell r="M979">
            <v>0</v>
          </cell>
          <cell r="N979" t="str">
            <v>DAPAONG</v>
          </cell>
        </row>
        <row r="980">
          <cell r="A980" t="str">
            <v>TAMONGUE</v>
          </cell>
          <cell r="B980">
            <v>43808</v>
          </cell>
          <cell r="C980" t="str">
            <v>SAV-068</v>
          </cell>
          <cell r="D980" t="str">
            <v>SAVANES</v>
          </cell>
          <cell r="E980" t="str">
            <v>MANGO</v>
          </cell>
          <cell r="F980" t="str">
            <v>FH</v>
          </cell>
          <cell r="G980" t="str">
            <v>DG-Solar-Batt.</v>
          </cell>
          <cell r="H980" t="str">
            <v>OK</v>
          </cell>
          <cell r="I980" t="str">
            <v>NO</v>
          </cell>
          <cell r="J980" t="str">
            <v>NO</v>
          </cell>
          <cell r="K980" t="str">
            <v>BRONZE</v>
          </cell>
          <cell r="L980" t="str">
            <v>rural</v>
          </cell>
          <cell r="M980" t="str">
            <v>70997149</v>
          </cell>
          <cell r="N980" t="str">
            <v>MANGO</v>
          </cell>
        </row>
        <row r="981">
          <cell r="A981" t="str">
            <v>TAMPIALIM</v>
          </cell>
          <cell r="B981"/>
          <cell r="C981" t="str">
            <v>SAV-025</v>
          </cell>
          <cell r="D981" t="str">
            <v>SAVANES</v>
          </cell>
          <cell r="E981" t="str">
            <v>DAPAONG 1</v>
          </cell>
          <cell r="F981" t="str">
            <v>FH</v>
          </cell>
          <cell r="G981" t="str">
            <v>DG-Solar-Batt.</v>
          </cell>
          <cell r="H981" t="str">
            <v>OK</v>
          </cell>
          <cell r="I981" t="str">
            <v>NO</v>
          </cell>
          <cell r="J981" t="str">
            <v>NO</v>
          </cell>
          <cell r="K981" t="str">
            <v>BRONZE</v>
          </cell>
          <cell r="L981" t="str">
            <v>rural</v>
          </cell>
          <cell r="M981" t="str">
            <v>70997150</v>
          </cell>
          <cell r="N981" t="str">
            <v>DAPAONG</v>
          </cell>
        </row>
        <row r="982">
          <cell r="A982" t="str">
            <v>TANDJOUARE</v>
          </cell>
          <cell r="B982"/>
          <cell r="C982" t="str">
            <v>SAV-032</v>
          </cell>
          <cell r="D982" t="str">
            <v>SAVANES</v>
          </cell>
          <cell r="E982" t="str">
            <v>DAPAONG 1</v>
          </cell>
          <cell r="F982" t="str">
            <v>FH</v>
          </cell>
          <cell r="G982" t="str">
            <v>Grid-DG-Solar-Batt.</v>
          </cell>
          <cell r="H982" t="str">
            <v>NOK</v>
          </cell>
          <cell r="I982" t="str">
            <v>NO</v>
          </cell>
          <cell r="J982" t="str">
            <v>YES</v>
          </cell>
          <cell r="K982" t="str">
            <v>SILVER</v>
          </cell>
          <cell r="L982" t="str">
            <v>SubUrbain</v>
          </cell>
          <cell r="M982" t="str">
            <v>70997151</v>
          </cell>
          <cell r="N982" t="str">
            <v>DAPAONG</v>
          </cell>
        </row>
        <row r="983">
          <cell r="A983" t="str">
            <v>TANKPAYABOUR</v>
          </cell>
          <cell r="B983">
            <v>43791</v>
          </cell>
          <cell r="C983" t="str">
            <v>KAR-104</v>
          </cell>
          <cell r="D983" t="str">
            <v>KARA</v>
          </cell>
          <cell r="E983" t="str">
            <v>KABOU</v>
          </cell>
          <cell r="F983" t="str">
            <v>FH</v>
          </cell>
          <cell r="G983" t="str">
            <v>DG-Solar-Batt.</v>
          </cell>
          <cell r="H983" t="str">
            <v>OK</v>
          </cell>
          <cell r="I983" t="str">
            <v>NO</v>
          </cell>
          <cell r="J983" t="str">
            <v>NO</v>
          </cell>
          <cell r="K983" t="str">
            <v>BRONZE</v>
          </cell>
          <cell r="L983" t="str">
            <v>rural</v>
          </cell>
          <cell r="M983" t="str">
            <v>70997152</v>
          </cell>
          <cell r="N983" t="str">
            <v>KABOU</v>
          </cell>
        </row>
        <row r="984">
          <cell r="A984" t="str">
            <v>TCHAGRI-TCHAKPA-MOOV</v>
          </cell>
          <cell r="B984">
            <v>43913</v>
          </cell>
          <cell r="C984" t="str">
            <v>PLA-166</v>
          </cell>
          <cell r="D984" t="str">
            <v>PLATEAUX</v>
          </cell>
          <cell r="E984" t="str">
            <v>ATAKPAME-OUEST</v>
          </cell>
          <cell r="F984" t="str">
            <v>FH</v>
          </cell>
          <cell r="G984" t="str">
            <v>DG-Solar-Batt.</v>
          </cell>
          <cell r="H984" t="str">
            <v>OK</v>
          </cell>
          <cell r="I984" t="str">
            <v>NO</v>
          </cell>
          <cell r="J984" t="str">
            <v>YES</v>
          </cell>
          <cell r="K984" t="str">
            <v>BRONZE</v>
          </cell>
          <cell r="L984" t="str">
            <v>rural</v>
          </cell>
          <cell r="M984">
            <v>0</v>
          </cell>
          <cell r="N984" t="str">
            <v>ELAVAGNON</v>
          </cell>
        </row>
        <row r="985">
          <cell r="A985" t="str">
            <v>TCHALO</v>
          </cell>
          <cell r="B985"/>
          <cell r="C985" t="str">
            <v>CEN-015</v>
          </cell>
          <cell r="D985" t="str">
            <v>CENTRALE</v>
          </cell>
          <cell r="E985" t="str">
            <v>SOKODE</v>
          </cell>
          <cell r="F985" t="str">
            <v>FO</v>
          </cell>
          <cell r="G985" t="str">
            <v>Grid-DG-Batt.</v>
          </cell>
          <cell r="H985" t="str">
            <v>OK</v>
          </cell>
          <cell r="I985" t="str">
            <v>NO</v>
          </cell>
          <cell r="J985" t="str">
            <v>NO</v>
          </cell>
          <cell r="K985" t="str">
            <v>BRONZE</v>
          </cell>
          <cell r="L985" t="str">
            <v>SubUrbain</v>
          </cell>
          <cell r="M985" t="str">
            <v>70997153</v>
          </cell>
          <cell r="N985" t="str">
            <v>SOKODE</v>
          </cell>
        </row>
        <row r="986">
          <cell r="A986" t="str">
            <v>TCHAMBA-AKPOWA</v>
          </cell>
          <cell r="B986">
            <v>44711</v>
          </cell>
          <cell r="C986" t="str">
            <v>CEN-106</v>
          </cell>
          <cell r="D986" t="str">
            <v>CENTRALE</v>
          </cell>
          <cell r="E986" t="str">
            <v>TCHAMBA</v>
          </cell>
          <cell r="F986" t="str">
            <v>FH</v>
          </cell>
          <cell r="G986" t="str">
            <v>Grid-DG-Batt.</v>
          </cell>
          <cell r="H986" t="str">
            <v>OK</v>
          </cell>
          <cell r="I986" t="str">
            <v>NO</v>
          </cell>
          <cell r="J986" t="str">
            <v>YES</v>
          </cell>
          <cell r="K986" t="str">
            <v>GOLD</v>
          </cell>
          <cell r="L986" t="str">
            <v>Urbain</v>
          </cell>
          <cell r="M986">
            <v>70996494</v>
          </cell>
          <cell r="N986" t="str">
            <v>TCHAMBA</v>
          </cell>
        </row>
        <row r="987">
          <cell r="A987" t="str">
            <v>TCHAMBA-DJERWA</v>
          </cell>
          <cell r="B987">
            <v>45191</v>
          </cell>
          <cell r="C987" t="str">
            <v>CEN-127</v>
          </cell>
          <cell r="D987" t="str">
            <v>CENTRALE</v>
          </cell>
          <cell r="E987" t="str">
            <v>TCHAMBA</v>
          </cell>
          <cell r="F987" t="str">
            <v>FH</v>
          </cell>
          <cell r="G987" t="str">
            <v>Grid-DG-Batt.</v>
          </cell>
          <cell r="H987" t="str">
            <v>OK</v>
          </cell>
          <cell r="I987" t="str">
            <v>NO</v>
          </cell>
          <cell r="J987" t="str">
            <v>YES</v>
          </cell>
          <cell r="K987" t="str">
            <v>GOLD</v>
          </cell>
          <cell r="L987" t="str">
            <v>Urbain</v>
          </cell>
          <cell r="M987">
            <v>0</v>
          </cell>
          <cell r="N987" t="str">
            <v>TCHAMBA</v>
          </cell>
        </row>
        <row r="988">
          <cell r="A988" t="str">
            <v>TCHAMBA-STADE</v>
          </cell>
          <cell r="B988">
            <v>43639</v>
          </cell>
          <cell r="C988" t="str">
            <v>CEN-079</v>
          </cell>
          <cell r="D988" t="str">
            <v>CENTRALE</v>
          </cell>
          <cell r="E988" t="str">
            <v>TCHAMBA</v>
          </cell>
          <cell r="F988" t="str">
            <v>FH</v>
          </cell>
          <cell r="G988" t="str">
            <v>Grid-DG-Batt.</v>
          </cell>
          <cell r="H988" t="str">
            <v>OK</v>
          </cell>
          <cell r="I988" t="str">
            <v>NO</v>
          </cell>
          <cell r="J988" t="str">
            <v>NO</v>
          </cell>
          <cell r="K988" t="str">
            <v>SILVER</v>
          </cell>
          <cell r="L988" t="str">
            <v>Urbain</v>
          </cell>
          <cell r="M988">
            <v>0</v>
          </cell>
          <cell r="N988" t="str">
            <v>TCHAMBA</v>
          </cell>
        </row>
        <row r="989">
          <cell r="A989" t="str">
            <v>TCHAMONGA</v>
          </cell>
          <cell r="B989"/>
          <cell r="C989" t="str">
            <v>SAV-048</v>
          </cell>
          <cell r="D989" t="str">
            <v>SAVANES</v>
          </cell>
          <cell r="E989" t="str">
            <v>MANGO</v>
          </cell>
          <cell r="F989" t="str">
            <v>FH</v>
          </cell>
          <cell r="G989" t="str">
            <v>DG-Solar-Batt.</v>
          </cell>
          <cell r="H989" t="str">
            <v>OK</v>
          </cell>
          <cell r="I989" t="str">
            <v>NO</v>
          </cell>
          <cell r="J989" t="str">
            <v>NO</v>
          </cell>
          <cell r="K989" t="str">
            <v>BRONZE</v>
          </cell>
          <cell r="L989" t="str">
            <v>rural</v>
          </cell>
          <cell r="M989" t="str">
            <v>70997156</v>
          </cell>
          <cell r="N989" t="str">
            <v>MANGO</v>
          </cell>
        </row>
        <row r="990">
          <cell r="A990" t="str">
            <v>TCHANAGA</v>
          </cell>
          <cell r="B990"/>
          <cell r="C990" t="str">
            <v>SAV-049</v>
          </cell>
          <cell r="D990" t="str">
            <v>SAVANES</v>
          </cell>
          <cell r="E990" t="str">
            <v>MANGO</v>
          </cell>
          <cell r="F990" t="str">
            <v>FH</v>
          </cell>
          <cell r="G990" t="str">
            <v>Grid-DG-Solar-Batt.</v>
          </cell>
          <cell r="H990" t="str">
            <v>OK</v>
          </cell>
          <cell r="I990" t="str">
            <v>NO</v>
          </cell>
          <cell r="J990" t="str">
            <v>NO</v>
          </cell>
          <cell r="K990" t="str">
            <v>BRONZE</v>
          </cell>
          <cell r="L990" t="str">
            <v>rural</v>
          </cell>
          <cell r="M990" t="str">
            <v>70997157</v>
          </cell>
          <cell r="N990" t="str">
            <v>MANGO</v>
          </cell>
        </row>
        <row r="991">
          <cell r="A991" t="str">
            <v>TCHANWIEKOU</v>
          </cell>
          <cell r="B991"/>
          <cell r="C991" t="str">
            <v>SAV-055</v>
          </cell>
          <cell r="D991" t="str">
            <v>SAVANES</v>
          </cell>
          <cell r="E991" t="str">
            <v>MANGO</v>
          </cell>
          <cell r="F991" t="str">
            <v>FH</v>
          </cell>
          <cell r="G991" t="str">
            <v>DG-Solar-Batt.</v>
          </cell>
          <cell r="H991" t="str">
            <v>OK</v>
          </cell>
          <cell r="I991" t="str">
            <v>NO</v>
          </cell>
          <cell r="J991" t="str">
            <v>NO</v>
          </cell>
          <cell r="K991" t="str">
            <v>BRONZE</v>
          </cell>
          <cell r="L991" t="str">
            <v>rural</v>
          </cell>
          <cell r="M991" t="str">
            <v>70997158</v>
          </cell>
          <cell r="N991" t="str">
            <v>MANGO</v>
          </cell>
        </row>
        <row r="992">
          <cell r="A992" t="str">
            <v>TCHANWORO</v>
          </cell>
          <cell r="B992"/>
          <cell r="C992" t="str">
            <v>KAR-074</v>
          </cell>
          <cell r="D992" t="str">
            <v>KARA</v>
          </cell>
          <cell r="E992" t="str">
            <v>KARA-OUEST</v>
          </cell>
          <cell r="F992" t="str">
            <v>FH</v>
          </cell>
          <cell r="G992" t="str">
            <v>Grid-DG-Batt.</v>
          </cell>
          <cell r="H992" t="str">
            <v>OK</v>
          </cell>
          <cell r="I992" t="str">
            <v>NO</v>
          </cell>
          <cell r="J992" t="str">
            <v>NO</v>
          </cell>
          <cell r="K992" t="str">
            <v>BRONZE</v>
          </cell>
          <cell r="L992" t="str">
            <v>SubUrbain</v>
          </cell>
          <cell r="M992" t="str">
            <v>70997159</v>
          </cell>
          <cell r="N992" t="str">
            <v>KARA OUEST</v>
          </cell>
        </row>
        <row r="993">
          <cell r="A993" t="str">
            <v>TCHAPOSSI</v>
          </cell>
          <cell r="B993">
            <v>43945</v>
          </cell>
          <cell r="C993" t="str">
            <v>KAR-124</v>
          </cell>
          <cell r="D993" t="str">
            <v>KARA</v>
          </cell>
          <cell r="E993" t="str">
            <v>KABOU</v>
          </cell>
          <cell r="F993" t="str">
            <v>FH</v>
          </cell>
          <cell r="G993" t="str">
            <v>DG-Solar-Batt.</v>
          </cell>
          <cell r="H993" t="str">
            <v>OK</v>
          </cell>
          <cell r="I993" t="str">
            <v>NO</v>
          </cell>
          <cell r="J993" t="str">
            <v>NO</v>
          </cell>
          <cell r="K993" t="str">
            <v>BRONZE</v>
          </cell>
          <cell r="L993" t="str">
            <v>rural</v>
          </cell>
          <cell r="M993" t="str">
            <v>70997160</v>
          </cell>
          <cell r="N993" t="str">
            <v>KABOU</v>
          </cell>
        </row>
        <row r="994">
          <cell r="A994" t="str">
            <v>TCHAREBAWOU</v>
          </cell>
          <cell r="B994"/>
          <cell r="C994" t="str">
            <v>CEN-076</v>
          </cell>
          <cell r="D994" t="str">
            <v>CENTRALE</v>
          </cell>
          <cell r="E994" t="str">
            <v>BLITTA</v>
          </cell>
          <cell r="F994" t="str">
            <v>FH</v>
          </cell>
          <cell r="G994" t="str">
            <v>DG-Solar-Batt.</v>
          </cell>
          <cell r="H994" t="str">
            <v>OK</v>
          </cell>
          <cell r="I994" t="str">
            <v>NO</v>
          </cell>
          <cell r="J994" t="str">
            <v>NO</v>
          </cell>
          <cell r="K994" t="str">
            <v>BRONZE</v>
          </cell>
          <cell r="L994" t="str">
            <v>rural</v>
          </cell>
          <cell r="M994" t="str">
            <v>70997162</v>
          </cell>
          <cell r="N994" t="str">
            <v>BLITTA</v>
          </cell>
        </row>
        <row r="995">
          <cell r="A995" t="str">
            <v>TCHARE-MOOV</v>
          </cell>
          <cell r="B995" t="str">
            <v>MOOV</v>
          </cell>
          <cell r="C995" t="str">
            <v>KAR-024</v>
          </cell>
          <cell r="D995" t="str">
            <v>KARA</v>
          </cell>
          <cell r="E995" t="str">
            <v>KARA-EST</v>
          </cell>
          <cell r="F995" t="str">
            <v>FH</v>
          </cell>
          <cell r="G995" t="str">
            <v>Grid-DG-Batt.</v>
          </cell>
          <cell r="H995" t="str">
            <v>NOK</v>
          </cell>
          <cell r="I995" t="str">
            <v>NO</v>
          </cell>
          <cell r="J995" t="str">
            <v>NO</v>
          </cell>
          <cell r="K995" t="str">
            <v>BRONZE</v>
          </cell>
          <cell r="L995" t="str">
            <v>rural</v>
          </cell>
          <cell r="M995" t="str">
            <v>70997161</v>
          </cell>
          <cell r="N995" t="str">
            <v>KARA EST</v>
          </cell>
        </row>
        <row r="996">
          <cell r="A996" t="str">
            <v>TCHATAKPA-DAKO</v>
          </cell>
          <cell r="B996">
            <v>44719</v>
          </cell>
          <cell r="C996" t="str">
            <v>CEN-107</v>
          </cell>
          <cell r="D996" t="str">
            <v>CENTRALE</v>
          </cell>
          <cell r="E996" t="str">
            <v>SOKODE</v>
          </cell>
          <cell r="F996" t="str">
            <v>FH</v>
          </cell>
          <cell r="G996" t="str">
            <v>DG-Batt.</v>
          </cell>
          <cell r="H996" t="str">
            <v>OK</v>
          </cell>
          <cell r="I996" t="str">
            <v>YES</v>
          </cell>
          <cell r="J996" t="str">
            <v>YES</v>
          </cell>
          <cell r="K996" t="str">
            <v>BRONZE</v>
          </cell>
          <cell r="L996" t="str">
            <v>rural</v>
          </cell>
          <cell r="M996" t="str">
            <v>70996495</v>
          </cell>
          <cell r="N996" t="str">
            <v>SOKODE</v>
          </cell>
        </row>
        <row r="997">
          <cell r="A997" t="str">
            <v>TCHATCHAMINADE</v>
          </cell>
          <cell r="B997"/>
          <cell r="C997" t="str">
            <v>KAR-087</v>
          </cell>
          <cell r="D997" t="str">
            <v>KARA</v>
          </cell>
          <cell r="E997" t="str">
            <v>KABOU</v>
          </cell>
          <cell r="F997" t="str">
            <v>FH</v>
          </cell>
          <cell r="G997" t="str">
            <v>DG-Solar-Batt.</v>
          </cell>
          <cell r="H997" t="str">
            <v>OK</v>
          </cell>
          <cell r="I997" t="str">
            <v>NO</v>
          </cell>
          <cell r="J997" t="str">
            <v>NO</v>
          </cell>
          <cell r="K997" t="str">
            <v>BRONZE</v>
          </cell>
          <cell r="L997" t="str">
            <v>rural</v>
          </cell>
          <cell r="M997" t="str">
            <v>70997163</v>
          </cell>
          <cell r="N997" t="str">
            <v>KABOU</v>
          </cell>
        </row>
        <row r="998">
          <cell r="A998" t="str">
            <v>TCHAWANDA</v>
          </cell>
          <cell r="B998"/>
          <cell r="C998" t="str">
            <v>CEN-007</v>
          </cell>
          <cell r="D998" t="str">
            <v>CENTRALE</v>
          </cell>
          <cell r="E998" t="str">
            <v>SOKODE</v>
          </cell>
          <cell r="F998" t="str">
            <v>FH</v>
          </cell>
          <cell r="G998" t="str">
            <v>Grid-DG-Batt.</v>
          </cell>
          <cell r="H998" t="str">
            <v>OK</v>
          </cell>
          <cell r="I998" t="str">
            <v>NO</v>
          </cell>
          <cell r="J998" t="str">
            <v>NO</v>
          </cell>
          <cell r="K998" t="str">
            <v>BRONZE</v>
          </cell>
          <cell r="L998" t="str">
            <v>Urbain</v>
          </cell>
          <cell r="M998" t="str">
            <v>70997164</v>
          </cell>
          <cell r="N998" t="str">
            <v>SOKODE</v>
          </cell>
        </row>
        <row r="999">
          <cell r="A999" t="str">
            <v>TCHEBEBE</v>
          </cell>
          <cell r="B999"/>
          <cell r="C999" t="str">
            <v>CEN-033</v>
          </cell>
          <cell r="D999" t="str">
            <v>CENTRALE</v>
          </cell>
          <cell r="E999" t="str">
            <v>BLITTA</v>
          </cell>
          <cell r="F999" t="str">
            <v>FO</v>
          </cell>
          <cell r="G999" t="str">
            <v>Grid-DG-Batt.</v>
          </cell>
          <cell r="H999" t="str">
            <v>OK</v>
          </cell>
          <cell r="I999" t="str">
            <v>NO</v>
          </cell>
          <cell r="J999" t="str">
            <v>NO</v>
          </cell>
          <cell r="K999" t="str">
            <v>SILVER</v>
          </cell>
          <cell r="L999" t="str">
            <v>rural</v>
          </cell>
          <cell r="M999" t="str">
            <v>70997165</v>
          </cell>
          <cell r="N999" t="str">
            <v>BLITTA</v>
          </cell>
        </row>
        <row r="1000">
          <cell r="A1000" t="str">
            <v>TCHEKITA</v>
          </cell>
          <cell r="B1000"/>
          <cell r="C1000" t="str">
            <v>PLA-037</v>
          </cell>
          <cell r="D1000" t="str">
            <v>CENTRALE</v>
          </cell>
          <cell r="E1000" t="str">
            <v>BLITTA</v>
          </cell>
          <cell r="F1000" t="str">
            <v>FH</v>
          </cell>
          <cell r="G1000" t="str">
            <v>DG-Solar-Batt.</v>
          </cell>
          <cell r="H1000" t="str">
            <v>OK</v>
          </cell>
          <cell r="I1000" t="str">
            <v>NO</v>
          </cell>
          <cell r="J1000" t="str">
            <v>NO</v>
          </cell>
          <cell r="K1000" t="str">
            <v>BRONZE</v>
          </cell>
          <cell r="L1000" t="str">
            <v>rural</v>
          </cell>
          <cell r="M1000" t="str">
            <v>70997166</v>
          </cell>
          <cell r="N1000" t="str">
            <v>ELAVAGNON</v>
          </cell>
        </row>
        <row r="1001">
          <cell r="A1001" t="str">
            <v>TCHEKOUNI-KOPE</v>
          </cell>
          <cell r="B1001">
            <v>43902</v>
          </cell>
          <cell r="C1001" t="str">
            <v>PLA-164</v>
          </cell>
          <cell r="D1001" t="str">
            <v>PLATEAUX</v>
          </cell>
          <cell r="E1001" t="str">
            <v>NOTSE</v>
          </cell>
          <cell r="F1001" t="str">
            <v>FH</v>
          </cell>
          <cell r="G1001" t="str">
            <v>DG-Batt.</v>
          </cell>
          <cell r="H1001" t="str">
            <v>OK</v>
          </cell>
          <cell r="I1001" t="str">
            <v>YES</v>
          </cell>
          <cell r="J1001" t="str">
            <v>NO</v>
          </cell>
          <cell r="K1001" t="str">
            <v>BRONZE</v>
          </cell>
          <cell r="L1001" t="str">
            <v>rural</v>
          </cell>
          <cell r="M1001" t="str">
            <v>70997167</v>
          </cell>
          <cell r="N1001" t="str">
            <v>NOTSE</v>
          </cell>
        </row>
        <row r="1002">
          <cell r="A1002" t="str">
            <v>TCHEKPO-DEVE</v>
          </cell>
          <cell r="B1002">
            <v>43873</v>
          </cell>
          <cell r="C1002" t="str">
            <v>MAR-076</v>
          </cell>
          <cell r="D1002" t="str">
            <v>MARITIME</v>
          </cell>
          <cell r="E1002" t="str">
            <v>TSEVIE</v>
          </cell>
          <cell r="F1002" t="str">
            <v>FH</v>
          </cell>
          <cell r="G1002" t="str">
            <v>Grid-DG-Batt.</v>
          </cell>
          <cell r="H1002" t="str">
            <v>OK</v>
          </cell>
          <cell r="I1002" t="str">
            <v>NO</v>
          </cell>
          <cell r="J1002" t="str">
            <v>NO</v>
          </cell>
          <cell r="K1002" t="str">
            <v>BRONZE</v>
          </cell>
          <cell r="L1002" t="str">
            <v>rural</v>
          </cell>
          <cell r="M1002" t="str">
            <v>70997168</v>
          </cell>
          <cell r="N1002" t="str">
            <v>TSEVIE</v>
          </cell>
        </row>
        <row r="1003">
          <cell r="A1003" t="str">
            <v>TCHIMBERI</v>
          </cell>
          <cell r="B1003">
            <v>43889</v>
          </cell>
          <cell r="C1003" t="str">
            <v>KAR-113</v>
          </cell>
          <cell r="D1003" t="str">
            <v>CENTRALE</v>
          </cell>
          <cell r="E1003" t="str">
            <v>SOKODE</v>
          </cell>
          <cell r="F1003" t="str">
            <v>FH</v>
          </cell>
          <cell r="G1003" t="str">
            <v>Grid-DG-Batt.</v>
          </cell>
          <cell r="H1003" t="str">
            <v>OK</v>
          </cell>
          <cell r="I1003" t="str">
            <v>NO</v>
          </cell>
          <cell r="J1003" t="str">
            <v>NO</v>
          </cell>
          <cell r="K1003" t="str">
            <v>BRONZE</v>
          </cell>
          <cell r="L1003" t="str">
            <v>rural</v>
          </cell>
          <cell r="M1003" t="str">
            <v>70997169</v>
          </cell>
          <cell r="N1003" t="str">
            <v>SOKODE</v>
          </cell>
        </row>
        <row r="1004">
          <cell r="A1004" t="str">
            <v>TCHINIGAN</v>
          </cell>
          <cell r="B1004">
            <v>43687</v>
          </cell>
          <cell r="C1004" t="str">
            <v>PLA-059</v>
          </cell>
          <cell r="D1004" t="str">
            <v>PLATEAUX</v>
          </cell>
          <cell r="E1004" t="str">
            <v>NOTSE</v>
          </cell>
          <cell r="F1004" t="str">
            <v>FH</v>
          </cell>
          <cell r="G1004" t="str">
            <v>DG-Solar-Batt.</v>
          </cell>
          <cell r="H1004" t="str">
            <v>OK</v>
          </cell>
          <cell r="I1004" t="str">
            <v>NO</v>
          </cell>
          <cell r="J1004" t="str">
            <v>NO</v>
          </cell>
          <cell r="K1004" t="str">
            <v>BRONZE</v>
          </cell>
          <cell r="L1004" t="str">
            <v>rural</v>
          </cell>
          <cell r="M1004" t="str">
            <v>70997170</v>
          </cell>
          <cell r="N1004" t="str">
            <v>NOTSE</v>
          </cell>
        </row>
        <row r="1005">
          <cell r="A1005" t="str">
            <v>TCHINMUL</v>
          </cell>
          <cell r="B1005">
            <v>43866</v>
          </cell>
          <cell r="C1005" t="str">
            <v>SAV-070</v>
          </cell>
          <cell r="D1005" t="str">
            <v>SAVANES</v>
          </cell>
          <cell r="E1005" t="str">
            <v>DAPAONG 1</v>
          </cell>
          <cell r="F1005" t="str">
            <v>FH</v>
          </cell>
          <cell r="G1005" t="str">
            <v>DG-Solar-Batt.</v>
          </cell>
          <cell r="H1005" t="str">
            <v>NOK</v>
          </cell>
          <cell r="I1005" t="str">
            <v>NO</v>
          </cell>
          <cell r="J1005" t="str">
            <v>YES</v>
          </cell>
          <cell r="K1005" t="str">
            <v>BRONZE</v>
          </cell>
          <cell r="L1005" t="str">
            <v>rural</v>
          </cell>
          <cell r="M1005" t="str">
            <v>70997171</v>
          </cell>
          <cell r="N1005" t="str">
            <v>DAPAONG</v>
          </cell>
        </row>
        <row r="1006">
          <cell r="A1006" t="str">
            <v>TCHITCHAO</v>
          </cell>
          <cell r="B1006"/>
          <cell r="C1006" t="str">
            <v>KAR-025</v>
          </cell>
          <cell r="D1006" t="str">
            <v>KARA</v>
          </cell>
          <cell r="E1006" t="str">
            <v>KARA-EST</v>
          </cell>
          <cell r="F1006" t="str">
            <v>FH</v>
          </cell>
          <cell r="G1006" t="str">
            <v>Grid-DG-Batt.</v>
          </cell>
          <cell r="H1006" t="str">
            <v>NOK</v>
          </cell>
          <cell r="I1006" t="str">
            <v>NO</v>
          </cell>
          <cell r="J1006" t="str">
            <v>NO</v>
          </cell>
          <cell r="K1006" t="str">
            <v>SILVER</v>
          </cell>
          <cell r="L1006" t="str">
            <v>SubUrbain</v>
          </cell>
          <cell r="M1006" t="str">
            <v>70997172</v>
          </cell>
          <cell r="N1006" t="str">
            <v>KARA EST</v>
          </cell>
        </row>
        <row r="1007">
          <cell r="A1007" t="str">
            <v>TCHITCHIRA</v>
          </cell>
          <cell r="B1007"/>
          <cell r="C1007" t="str">
            <v>KAR-046</v>
          </cell>
          <cell r="D1007" t="str">
            <v>KARA</v>
          </cell>
          <cell r="E1007" t="str">
            <v>KARA-EST</v>
          </cell>
          <cell r="F1007" t="str">
            <v>FH</v>
          </cell>
          <cell r="G1007" t="str">
            <v>DG-Solar-Batt.</v>
          </cell>
          <cell r="H1007" t="str">
            <v>OK</v>
          </cell>
          <cell r="I1007" t="str">
            <v>NO</v>
          </cell>
          <cell r="J1007" t="str">
            <v>NO</v>
          </cell>
          <cell r="K1007" t="str">
            <v>BRONZE</v>
          </cell>
          <cell r="L1007" t="str">
            <v>rural</v>
          </cell>
          <cell r="M1007" t="str">
            <v>70997173</v>
          </cell>
          <cell r="N1007" t="str">
            <v>KARA EST</v>
          </cell>
        </row>
        <row r="1008">
          <cell r="A1008" t="str">
            <v>TCHOGOUMA</v>
          </cell>
          <cell r="B1008">
            <v>43889</v>
          </cell>
          <cell r="C1008" t="str">
            <v>KAR-114</v>
          </cell>
          <cell r="D1008" t="str">
            <v>KARA</v>
          </cell>
          <cell r="E1008" t="str">
            <v>KARA-OUEST</v>
          </cell>
          <cell r="F1008" t="str">
            <v>FH</v>
          </cell>
          <cell r="G1008" t="str">
            <v>DG-Solar-Batt.</v>
          </cell>
          <cell r="H1008" t="str">
            <v>NOK</v>
          </cell>
          <cell r="I1008" t="str">
            <v>NO</v>
          </cell>
          <cell r="J1008" t="str">
            <v>YES</v>
          </cell>
          <cell r="K1008" t="str">
            <v>BRONZE</v>
          </cell>
          <cell r="L1008" t="str">
            <v>rural</v>
          </cell>
          <cell r="M1008" t="str">
            <v>70997174</v>
          </cell>
          <cell r="N1008" t="str">
            <v>KARA OUEST</v>
          </cell>
        </row>
        <row r="1009">
          <cell r="A1009" t="str">
            <v>TCHOIDE</v>
          </cell>
          <cell r="B1009"/>
          <cell r="C1009" t="str">
            <v>CEN-034</v>
          </cell>
          <cell r="D1009" t="str">
            <v>CENTRALE</v>
          </cell>
          <cell r="E1009" t="str">
            <v>SOKODE</v>
          </cell>
          <cell r="F1009" t="str">
            <v>FH</v>
          </cell>
          <cell r="G1009" t="str">
            <v>DG-Solar-Batt.</v>
          </cell>
          <cell r="H1009" t="str">
            <v>OK</v>
          </cell>
          <cell r="I1009" t="str">
            <v>NO</v>
          </cell>
          <cell r="J1009" t="str">
            <v>NO</v>
          </cell>
          <cell r="K1009" t="str">
            <v>BRONZE</v>
          </cell>
          <cell r="L1009" t="str">
            <v>rural</v>
          </cell>
          <cell r="M1009" t="str">
            <v>70997175</v>
          </cell>
          <cell r="N1009" t="str">
            <v>SOKODE</v>
          </cell>
        </row>
        <row r="1010">
          <cell r="A1010" t="str">
            <v>TCHORE</v>
          </cell>
          <cell r="B1010">
            <v>43882</v>
          </cell>
          <cell r="C1010" t="str">
            <v>KAR-110</v>
          </cell>
          <cell r="D1010" t="str">
            <v>KARA</v>
          </cell>
          <cell r="E1010" t="str">
            <v>KANTE</v>
          </cell>
          <cell r="F1010" t="str">
            <v>FH</v>
          </cell>
          <cell r="G1010" t="str">
            <v>DG-Solar-Batt.</v>
          </cell>
          <cell r="H1010" t="str">
            <v>OK</v>
          </cell>
          <cell r="I1010" t="str">
            <v>NO</v>
          </cell>
          <cell r="J1010" t="str">
            <v>YES</v>
          </cell>
          <cell r="K1010" t="str">
            <v>BRONZE</v>
          </cell>
          <cell r="L1010" t="str">
            <v>rural</v>
          </cell>
          <cell r="M1010" t="str">
            <v>70997176</v>
          </cell>
          <cell r="N1010" t="str">
            <v>KANTE</v>
          </cell>
        </row>
        <row r="1011">
          <cell r="A1011" t="str">
            <v>TELESSOU</v>
          </cell>
          <cell r="B1011"/>
          <cell r="C1011" t="str">
            <v>LOM-042</v>
          </cell>
          <cell r="D1011" t="str">
            <v>LOME</v>
          </cell>
          <cell r="E1011" t="str">
            <v>LOME-NORD</v>
          </cell>
          <cell r="F1011" t="str">
            <v>FO</v>
          </cell>
          <cell r="G1011" t="str">
            <v>Grid-DG-Batt.</v>
          </cell>
          <cell r="H1011" t="str">
            <v>OK</v>
          </cell>
          <cell r="I1011" t="str">
            <v>NO</v>
          </cell>
          <cell r="J1011" t="str">
            <v>NO</v>
          </cell>
          <cell r="K1011" t="str">
            <v>GOLD</v>
          </cell>
          <cell r="L1011" t="str">
            <v>Urbain</v>
          </cell>
          <cell r="M1011" t="str">
            <v>70997177</v>
          </cell>
          <cell r="N1011" t="str">
            <v>LOME NORD</v>
          </cell>
        </row>
        <row r="1012">
          <cell r="A1012" t="str">
            <v>TELESSOU2</v>
          </cell>
          <cell r="B1012"/>
          <cell r="C1012" t="str">
            <v>LOM-043</v>
          </cell>
          <cell r="D1012" t="str">
            <v>LOME</v>
          </cell>
          <cell r="E1012" t="str">
            <v>LOME-NORD</v>
          </cell>
          <cell r="F1012" t="str">
            <v>FO</v>
          </cell>
          <cell r="G1012" t="str">
            <v>Grid-Batt.</v>
          </cell>
          <cell r="H1012" t="str">
            <v>N/A</v>
          </cell>
          <cell r="I1012" t="str">
            <v>YES</v>
          </cell>
          <cell r="J1012" t="str">
            <v>YES</v>
          </cell>
          <cell r="K1012" t="str">
            <v>SILVER</v>
          </cell>
          <cell r="L1012" t="str">
            <v>Urbain</v>
          </cell>
          <cell r="M1012">
            <v>0</v>
          </cell>
          <cell r="N1012" t="str">
            <v>LOME NORD</v>
          </cell>
        </row>
        <row r="1013">
          <cell r="A1013" t="str">
            <v>TEMEDJA</v>
          </cell>
          <cell r="B1013"/>
          <cell r="C1013" t="str">
            <v>PLA-013</v>
          </cell>
          <cell r="D1013" t="str">
            <v>PLATEAUX</v>
          </cell>
          <cell r="E1013" t="str">
            <v>ATAKPAME-EST</v>
          </cell>
          <cell r="F1013" t="str">
            <v>FH</v>
          </cell>
          <cell r="G1013" t="str">
            <v>Grid-DG-Batt.</v>
          </cell>
          <cell r="H1013" t="str">
            <v>OK</v>
          </cell>
          <cell r="I1013" t="str">
            <v>NO</v>
          </cell>
          <cell r="J1013" t="str">
            <v>NO</v>
          </cell>
          <cell r="K1013" t="str">
            <v>PLATINUM</v>
          </cell>
          <cell r="L1013" t="str">
            <v>rural</v>
          </cell>
          <cell r="M1013" t="str">
            <v>70997178</v>
          </cell>
          <cell r="N1013" t="str">
            <v>ATAKPAME</v>
          </cell>
        </row>
        <row r="1014">
          <cell r="A1014" t="str">
            <v>TETETOU</v>
          </cell>
          <cell r="B1014"/>
          <cell r="C1014" t="str">
            <v>PLA-113</v>
          </cell>
          <cell r="D1014" t="str">
            <v>PLATEAUX</v>
          </cell>
          <cell r="E1014" t="str">
            <v>NOTSE</v>
          </cell>
          <cell r="F1014" t="str">
            <v>FH</v>
          </cell>
          <cell r="G1014" t="str">
            <v>Grid-DG-Solar-Batt.</v>
          </cell>
          <cell r="H1014" t="str">
            <v>NOK</v>
          </cell>
          <cell r="I1014" t="str">
            <v>NO</v>
          </cell>
          <cell r="J1014" t="str">
            <v>NO</v>
          </cell>
          <cell r="K1014" t="str">
            <v>BRONZE</v>
          </cell>
          <cell r="L1014" t="str">
            <v>rural</v>
          </cell>
          <cell r="M1014" t="str">
            <v>70997179</v>
          </cell>
          <cell r="N1014" t="str">
            <v>NOTSE</v>
          </cell>
        </row>
        <row r="1015">
          <cell r="A1015" t="str">
            <v>TGT-IBS</v>
          </cell>
          <cell r="B1015">
            <v>43195</v>
          </cell>
          <cell r="C1015" t="str">
            <v>LOM-118</v>
          </cell>
          <cell r="D1015" t="str">
            <v>LOME</v>
          </cell>
          <cell r="E1015" t="str">
            <v>LOME-NORD</v>
          </cell>
          <cell r="F1015" t="str">
            <v>FO</v>
          </cell>
          <cell r="G1015" t="str">
            <v>Grid-DG-Batt.</v>
          </cell>
          <cell r="H1015" t="str">
            <v>N/A</v>
          </cell>
          <cell r="I1015" t="str">
            <v>NO</v>
          </cell>
          <cell r="J1015" t="str">
            <v>NO</v>
          </cell>
          <cell r="K1015" t="str">
            <v>PLATINUM</v>
          </cell>
          <cell r="L1015" t="str">
            <v>Urbain</v>
          </cell>
          <cell r="M1015">
            <v>0</v>
          </cell>
          <cell r="N1015" t="str">
            <v>LOME NORD</v>
          </cell>
        </row>
        <row r="1016">
          <cell r="A1016" t="str">
            <v>TIGBADA</v>
          </cell>
          <cell r="B1016"/>
          <cell r="C1016" t="str">
            <v>CEN-035</v>
          </cell>
          <cell r="D1016" t="str">
            <v>CENTRALE</v>
          </cell>
          <cell r="E1016" t="str">
            <v>BLITTA</v>
          </cell>
          <cell r="F1016" t="str">
            <v>FO</v>
          </cell>
          <cell r="G1016" t="str">
            <v>DG-Solar-Batt.</v>
          </cell>
          <cell r="H1016" t="str">
            <v>OK</v>
          </cell>
          <cell r="I1016" t="str">
            <v>NO</v>
          </cell>
          <cell r="J1016" t="str">
            <v>NO</v>
          </cell>
          <cell r="K1016" t="str">
            <v>BRONZE</v>
          </cell>
          <cell r="L1016" t="str">
            <v>rural</v>
          </cell>
          <cell r="M1016" t="str">
            <v>70997180</v>
          </cell>
          <cell r="N1016" t="str">
            <v>BLITTA</v>
          </cell>
        </row>
        <row r="1017">
          <cell r="A1017" t="str">
            <v>TIGOU</v>
          </cell>
          <cell r="B1017"/>
          <cell r="C1017" t="str">
            <v>SAV-038</v>
          </cell>
          <cell r="D1017" t="str">
            <v>SAVANES</v>
          </cell>
          <cell r="E1017" t="str">
            <v>DAPAONG 1</v>
          </cell>
          <cell r="F1017" t="str">
            <v>FH</v>
          </cell>
          <cell r="G1017" t="str">
            <v>Grid-DG-Solar-Batt.</v>
          </cell>
          <cell r="H1017" t="str">
            <v>NOK</v>
          </cell>
          <cell r="I1017" t="str">
            <v>NO</v>
          </cell>
          <cell r="J1017" t="str">
            <v>YES</v>
          </cell>
          <cell r="K1017" t="str">
            <v>BRONZE</v>
          </cell>
          <cell r="L1017" t="str">
            <v>rural</v>
          </cell>
          <cell r="M1017" t="str">
            <v>70997181</v>
          </cell>
          <cell r="N1017" t="str">
            <v>DAPAONG</v>
          </cell>
        </row>
        <row r="1018">
          <cell r="A1018" t="str">
            <v>TIMBOU</v>
          </cell>
          <cell r="B1018"/>
          <cell r="C1018" t="str">
            <v>SAV-014</v>
          </cell>
          <cell r="D1018" t="str">
            <v>SAVANES</v>
          </cell>
          <cell r="E1018" t="str">
            <v>DAPAONG 1</v>
          </cell>
          <cell r="F1018" t="str">
            <v>FH</v>
          </cell>
          <cell r="G1018" t="str">
            <v>DG-Solar-Batt.</v>
          </cell>
          <cell r="H1018" t="str">
            <v>NOK</v>
          </cell>
          <cell r="I1018" t="str">
            <v>NO</v>
          </cell>
          <cell r="J1018" t="str">
            <v>YES</v>
          </cell>
          <cell r="K1018" t="str">
            <v>GOLD</v>
          </cell>
          <cell r="L1018" t="str">
            <v>rural</v>
          </cell>
          <cell r="M1018" t="str">
            <v>70997182</v>
          </cell>
          <cell r="N1018" t="str">
            <v>DAPAONG</v>
          </cell>
        </row>
        <row r="1019">
          <cell r="A1019" t="str">
            <v>TINDJASSE</v>
          </cell>
          <cell r="B1019"/>
          <cell r="C1019" t="str">
            <v>CEN-029</v>
          </cell>
          <cell r="D1019" t="str">
            <v>KARA</v>
          </cell>
          <cell r="E1019" t="str">
            <v>KABOU</v>
          </cell>
          <cell r="F1019" t="str">
            <v>FH</v>
          </cell>
          <cell r="G1019" t="str">
            <v>DG-Solar-Batt.</v>
          </cell>
          <cell r="H1019" t="str">
            <v>OK</v>
          </cell>
          <cell r="I1019" t="str">
            <v>NO</v>
          </cell>
          <cell r="J1019" t="str">
            <v>YES</v>
          </cell>
          <cell r="K1019" t="str">
            <v>BRONZE</v>
          </cell>
          <cell r="L1019" t="str">
            <v>rural</v>
          </cell>
          <cell r="M1019" t="str">
            <v>70997183</v>
          </cell>
          <cell r="N1019" t="str">
            <v>KABOU</v>
          </cell>
        </row>
        <row r="1020">
          <cell r="A1020" t="str">
            <v>TINIPE</v>
          </cell>
          <cell r="B1020"/>
          <cell r="C1020" t="str">
            <v>PLA-072</v>
          </cell>
          <cell r="D1020" t="str">
            <v>MARITIME</v>
          </cell>
          <cell r="E1020" t="str">
            <v>KPALIME</v>
          </cell>
          <cell r="F1020" t="str">
            <v>FH</v>
          </cell>
          <cell r="G1020" t="str">
            <v>DG-Solar-Batt.</v>
          </cell>
          <cell r="H1020" t="str">
            <v>OK</v>
          </cell>
          <cell r="I1020" t="str">
            <v>NO</v>
          </cell>
          <cell r="J1020" t="str">
            <v>YES</v>
          </cell>
          <cell r="K1020" t="str">
            <v>BRONZE</v>
          </cell>
          <cell r="L1020" t="str">
            <v>rural</v>
          </cell>
          <cell r="M1020" t="str">
            <v>70997184</v>
          </cell>
          <cell r="N1020" t="str">
            <v>KPALIME</v>
          </cell>
        </row>
        <row r="1021">
          <cell r="A1021" t="str">
            <v>TINKOU</v>
          </cell>
          <cell r="B1021">
            <v>44149</v>
          </cell>
          <cell r="C1021" t="str">
            <v>PLA-185</v>
          </cell>
          <cell r="D1021" t="str">
            <v>PLATEAUX</v>
          </cell>
          <cell r="E1021" t="str">
            <v>NOTSE</v>
          </cell>
          <cell r="F1021" t="str">
            <v>FH</v>
          </cell>
          <cell r="G1021" t="str">
            <v>DG-Solar-Batt.</v>
          </cell>
          <cell r="H1021" t="str">
            <v>OK</v>
          </cell>
          <cell r="I1021" t="str">
            <v>NO</v>
          </cell>
          <cell r="J1021" t="str">
            <v>YES</v>
          </cell>
          <cell r="K1021" t="str">
            <v>BRONZE</v>
          </cell>
          <cell r="L1021" t="str">
            <v>rural</v>
          </cell>
          <cell r="M1021" t="str">
            <v>70996443</v>
          </cell>
          <cell r="N1021" t="str">
            <v>NOTSE</v>
          </cell>
        </row>
        <row r="1022">
          <cell r="A1022" t="str">
            <v>TITIGBE</v>
          </cell>
          <cell r="B1022"/>
          <cell r="C1022" t="str">
            <v>CEN-044</v>
          </cell>
          <cell r="D1022" t="str">
            <v>CENTRALE</v>
          </cell>
          <cell r="E1022" t="str">
            <v>SOKODE</v>
          </cell>
          <cell r="F1022" t="str">
            <v>FH</v>
          </cell>
          <cell r="G1022" t="str">
            <v>Grid-DG-Solar-Batt.</v>
          </cell>
          <cell r="H1022" t="str">
            <v>OK</v>
          </cell>
          <cell r="I1022" t="str">
            <v>NO</v>
          </cell>
          <cell r="J1022" t="str">
            <v>NO</v>
          </cell>
          <cell r="K1022" t="str">
            <v>BRONZE</v>
          </cell>
          <cell r="L1022" t="str">
            <v>rural</v>
          </cell>
          <cell r="M1022" t="str">
            <v>70997185</v>
          </cell>
          <cell r="N1022" t="str">
            <v>SOKODE</v>
          </cell>
        </row>
        <row r="1023">
          <cell r="A1023" t="str">
            <v>TOBOSSE</v>
          </cell>
          <cell r="B1023" t="str">
            <v>26/05/2020</v>
          </cell>
          <cell r="C1023" t="str">
            <v>PLA-179</v>
          </cell>
          <cell r="D1023" t="str">
            <v>PLATEAUX</v>
          </cell>
          <cell r="E1023" t="str">
            <v>ATAKPAME-OUEST</v>
          </cell>
          <cell r="F1023" t="str">
            <v>FH</v>
          </cell>
          <cell r="G1023" t="str">
            <v>DG-Solar-Batt.</v>
          </cell>
          <cell r="H1023" t="str">
            <v>OK</v>
          </cell>
          <cell r="I1023" t="str">
            <v>NO</v>
          </cell>
          <cell r="J1023" t="str">
            <v>YES</v>
          </cell>
          <cell r="K1023" t="str">
            <v>BRONZE</v>
          </cell>
          <cell r="L1023" t="str">
            <v>rural</v>
          </cell>
          <cell r="M1023" t="str">
            <v>70997186</v>
          </cell>
          <cell r="N1023" t="str">
            <v>ATAKPAME</v>
          </cell>
        </row>
        <row r="1024">
          <cell r="A1024" t="str">
            <v>TOGBLEKOPE</v>
          </cell>
          <cell r="B1024"/>
          <cell r="C1024" t="str">
            <v>LOM-026</v>
          </cell>
          <cell r="D1024" t="str">
            <v>LOME</v>
          </cell>
          <cell r="E1024" t="str">
            <v>LOME-NORD</v>
          </cell>
          <cell r="F1024" t="str">
            <v>FO</v>
          </cell>
          <cell r="G1024" t="str">
            <v>Grid-DG-Batt.</v>
          </cell>
          <cell r="H1024" t="str">
            <v>OK</v>
          </cell>
          <cell r="I1024" t="str">
            <v>NO</v>
          </cell>
          <cell r="J1024" t="str">
            <v>NO</v>
          </cell>
          <cell r="K1024" t="str">
            <v>GOLD</v>
          </cell>
          <cell r="L1024" t="str">
            <v>Urbain</v>
          </cell>
          <cell r="M1024" t="str">
            <v>70997187</v>
          </cell>
          <cell r="N1024" t="str">
            <v>LOME NORD</v>
          </cell>
        </row>
        <row r="1025">
          <cell r="A1025" t="str">
            <v>TOGBLEKOPE2</v>
          </cell>
          <cell r="B1025">
            <v>44100</v>
          </cell>
          <cell r="C1025" t="str">
            <v>LOM-256</v>
          </cell>
          <cell r="D1025" t="str">
            <v>LOME</v>
          </cell>
          <cell r="E1025" t="str">
            <v>LOME-NORD</v>
          </cell>
          <cell r="F1025" t="str">
            <v>FH</v>
          </cell>
          <cell r="G1025" t="str">
            <v>Grid-DG-Batt.</v>
          </cell>
          <cell r="H1025" t="str">
            <v>OK</v>
          </cell>
          <cell r="I1025" t="str">
            <v>NO</v>
          </cell>
          <cell r="J1025" t="str">
            <v>NO</v>
          </cell>
          <cell r="K1025" t="str">
            <v>GOLD</v>
          </cell>
          <cell r="L1025" t="str">
            <v>SubUrbain</v>
          </cell>
          <cell r="M1025" t="str">
            <v>70997188</v>
          </cell>
          <cell r="N1025" t="str">
            <v>LOME NORD</v>
          </cell>
        </row>
        <row r="1026">
          <cell r="A1026" t="str">
            <v>TOGBLEKOPE3</v>
          </cell>
          <cell r="B1026">
            <v>44739</v>
          </cell>
          <cell r="C1026" t="str">
            <v>LOM-290</v>
          </cell>
          <cell r="D1026" t="str">
            <v>LOME</v>
          </cell>
          <cell r="E1026" t="str">
            <v>LOME-NORD</v>
          </cell>
          <cell r="F1026" t="str">
            <v>FTTM</v>
          </cell>
          <cell r="G1026" t="str">
            <v>Grid-DG-Batt.</v>
          </cell>
          <cell r="H1026" t="str">
            <v>OK</v>
          </cell>
          <cell r="I1026" t="str">
            <v>YES</v>
          </cell>
          <cell r="J1026" t="str">
            <v>YES</v>
          </cell>
          <cell r="K1026" t="str">
            <v>GOLD</v>
          </cell>
          <cell r="L1026" t="str">
            <v>Urbain</v>
          </cell>
          <cell r="M1026" t="str">
            <v>70996496</v>
          </cell>
          <cell r="N1026" t="str">
            <v>LOME NORD</v>
          </cell>
        </row>
        <row r="1027">
          <cell r="A1027" t="str">
            <v>TOGO2000</v>
          </cell>
          <cell r="B1027"/>
          <cell r="C1027" t="str">
            <v>LOM-102</v>
          </cell>
          <cell r="D1027" t="str">
            <v>LOME</v>
          </cell>
          <cell r="E1027" t="str">
            <v>LOME-CENTRE</v>
          </cell>
          <cell r="F1027" t="str">
            <v>FH</v>
          </cell>
          <cell r="G1027" t="str">
            <v>Grid-DG-Batt.</v>
          </cell>
          <cell r="H1027" t="str">
            <v>NOK</v>
          </cell>
          <cell r="I1027" t="str">
            <v>NO</v>
          </cell>
          <cell r="J1027" t="str">
            <v>NO</v>
          </cell>
          <cell r="K1027" t="str">
            <v>GOLD</v>
          </cell>
          <cell r="L1027" t="str">
            <v>Urbain</v>
          </cell>
          <cell r="M1027" t="str">
            <v>70996444</v>
          </cell>
          <cell r="N1027" t="str">
            <v>LOME CENTRE</v>
          </cell>
        </row>
        <row r="1028">
          <cell r="A1028" t="str">
            <v>TOGO3000</v>
          </cell>
          <cell r="B1028"/>
          <cell r="C1028" t="str">
            <v>LOM-110</v>
          </cell>
          <cell r="D1028" t="str">
            <v>LOME</v>
          </cell>
          <cell r="E1028" t="str">
            <v>LOME-NORD</v>
          </cell>
          <cell r="F1028" t="str">
            <v>FO</v>
          </cell>
          <cell r="G1028" t="str">
            <v>Grid-Batt.</v>
          </cell>
          <cell r="H1028" t="str">
            <v>N/A</v>
          </cell>
          <cell r="I1028" t="str">
            <v>YES</v>
          </cell>
          <cell r="J1028" t="str">
            <v>YES</v>
          </cell>
          <cell r="K1028" t="str">
            <v>PLATINUM</v>
          </cell>
          <cell r="L1028" t="str">
            <v>Urbain</v>
          </cell>
          <cell r="M1028" t="str">
            <v>70997189</v>
          </cell>
          <cell r="N1028" t="str">
            <v>LOME NORD</v>
          </cell>
        </row>
        <row r="1029">
          <cell r="A1029" t="str">
            <v>TOGOCOM</v>
          </cell>
          <cell r="B1029">
            <v>44848</v>
          </cell>
          <cell r="C1029" t="str">
            <v>LOM-353</v>
          </cell>
          <cell r="D1029" t="str">
            <v>LOME</v>
          </cell>
          <cell r="E1029" t="str">
            <v>LOME-NORD</v>
          </cell>
          <cell r="F1029" t="str">
            <v>FH</v>
          </cell>
          <cell r="G1029" t="str">
            <v>Grid-DG-Batt.</v>
          </cell>
          <cell r="H1029" t="str">
            <v>OK</v>
          </cell>
          <cell r="I1029" t="str">
            <v>NO</v>
          </cell>
          <cell r="J1029" t="str">
            <v>YES</v>
          </cell>
          <cell r="K1029" t="str">
            <v>SILVER</v>
          </cell>
          <cell r="L1029" t="str">
            <v>Urbain</v>
          </cell>
          <cell r="M1029">
            <v>70997358</v>
          </cell>
          <cell r="N1029" t="str">
            <v>LOME NORD</v>
          </cell>
        </row>
        <row r="1030">
          <cell r="A1030" t="str">
            <v>TOGOTELECOM</v>
          </cell>
          <cell r="B1030"/>
          <cell r="C1030" t="str">
            <v>LOM-143</v>
          </cell>
          <cell r="D1030" t="str">
            <v>LOME</v>
          </cell>
          <cell r="E1030" t="str">
            <v>LOME-SUD</v>
          </cell>
          <cell r="F1030" t="str">
            <v>FO</v>
          </cell>
          <cell r="G1030" t="str">
            <v>Grid-DG-Batt.</v>
          </cell>
          <cell r="H1030" t="str">
            <v>N/A</v>
          </cell>
          <cell r="I1030" t="str">
            <v>YES</v>
          </cell>
          <cell r="J1030" t="str">
            <v>NO</v>
          </cell>
          <cell r="K1030" t="str">
            <v>PLATINUM</v>
          </cell>
          <cell r="L1030" t="str">
            <v>Urbain</v>
          </cell>
          <cell r="M1030">
            <v>0</v>
          </cell>
          <cell r="N1030" t="str">
            <v>LOME SUD</v>
          </cell>
        </row>
        <row r="1031">
          <cell r="A1031" t="str">
            <v>TOGOVILLE</v>
          </cell>
          <cell r="B1031">
            <v>44063</v>
          </cell>
          <cell r="C1031" t="str">
            <v>MAR-091</v>
          </cell>
          <cell r="D1031" t="str">
            <v>MARITIME</v>
          </cell>
          <cell r="E1031" t="str">
            <v>ANEHO</v>
          </cell>
          <cell r="F1031" t="str">
            <v>FH</v>
          </cell>
          <cell r="G1031" t="str">
            <v>Grid-DG-Batt.</v>
          </cell>
          <cell r="H1031" t="str">
            <v>OK</v>
          </cell>
          <cell r="I1031" t="str">
            <v>NO</v>
          </cell>
          <cell r="J1031" t="str">
            <v>NO</v>
          </cell>
          <cell r="K1031" t="str">
            <v>SILVER</v>
          </cell>
          <cell r="L1031" t="str">
            <v>SubUrbain</v>
          </cell>
          <cell r="M1031" t="str">
            <v>70997191</v>
          </cell>
          <cell r="N1031" t="str">
            <v>ANEHO</v>
          </cell>
        </row>
        <row r="1032">
          <cell r="A1032" t="str">
            <v>TOHOU</v>
          </cell>
          <cell r="B1032"/>
          <cell r="C1032" t="str">
            <v>PLA-114</v>
          </cell>
          <cell r="D1032" t="str">
            <v>PLATEAUX</v>
          </cell>
          <cell r="E1032" t="str">
            <v>NOTSE</v>
          </cell>
          <cell r="F1032" t="str">
            <v>FH</v>
          </cell>
          <cell r="G1032" t="str">
            <v>Grid-DG-Batt.</v>
          </cell>
          <cell r="H1032" t="str">
            <v>OK</v>
          </cell>
          <cell r="I1032" t="str">
            <v>NO</v>
          </cell>
          <cell r="J1032" t="str">
            <v>NO</v>
          </cell>
          <cell r="K1032" t="str">
            <v>BRONZE</v>
          </cell>
          <cell r="L1032" t="str">
            <v>SubUrbain</v>
          </cell>
          <cell r="M1032" t="e">
            <v>#N/A</v>
          </cell>
          <cell r="N1032" t="str">
            <v>NOTSE</v>
          </cell>
        </row>
        <row r="1033">
          <cell r="A1033" t="str">
            <v>TOHOUN-DOUANE</v>
          </cell>
          <cell r="B1033">
            <v>43851</v>
          </cell>
          <cell r="C1033" t="str">
            <v>PLA-142</v>
          </cell>
          <cell r="D1033" t="str">
            <v>PLATEAUX</v>
          </cell>
          <cell r="E1033" t="str">
            <v>NOTSE</v>
          </cell>
          <cell r="F1033" t="str">
            <v>FH</v>
          </cell>
          <cell r="G1033" t="str">
            <v>Grid-DG-Batt.</v>
          </cell>
          <cell r="H1033" t="str">
            <v>OK</v>
          </cell>
          <cell r="I1033" t="str">
            <v>NO</v>
          </cell>
          <cell r="J1033" t="str">
            <v>NO</v>
          </cell>
          <cell r="K1033" t="str">
            <v>SILVER</v>
          </cell>
          <cell r="L1033" t="str">
            <v>SubUrbain</v>
          </cell>
          <cell r="M1033" t="str">
            <v>70997193</v>
          </cell>
          <cell r="N1033" t="str">
            <v>NOTSE</v>
          </cell>
        </row>
        <row r="1034">
          <cell r="A1034" t="str">
            <v>T-OIL</v>
          </cell>
          <cell r="B1034">
            <v>43413</v>
          </cell>
          <cell r="C1034" t="str">
            <v>LOM-224</v>
          </cell>
          <cell r="D1034" t="str">
            <v>LOME</v>
          </cell>
          <cell r="E1034" t="str">
            <v>LOME-EST</v>
          </cell>
          <cell r="F1034" t="str">
            <v>FO</v>
          </cell>
          <cell r="G1034" t="str">
            <v>Grid-Batt.</v>
          </cell>
          <cell r="H1034" t="str">
            <v>N/A</v>
          </cell>
          <cell r="I1034" t="str">
            <v>NO</v>
          </cell>
          <cell r="J1034" t="str">
            <v>NO</v>
          </cell>
          <cell r="K1034" t="e">
            <v>#N/A</v>
          </cell>
          <cell r="L1034" t="e">
            <v>#N/A</v>
          </cell>
          <cell r="M1034" t="e">
            <v>#N/A</v>
          </cell>
          <cell r="N1034" t="str">
            <v>LOME EST</v>
          </cell>
        </row>
        <row r="1035">
          <cell r="A1035" t="str">
            <v>TOKO</v>
          </cell>
          <cell r="B1035"/>
          <cell r="C1035" t="str">
            <v>PLA-176</v>
          </cell>
          <cell r="D1035" t="str">
            <v>MARITIME</v>
          </cell>
          <cell r="E1035" t="str">
            <v>KPALIME</v>
          </cell>
          <cell r="F1035" t="str">
            <v>FH</v>
          </cell>
          <cell r="G1035" t="str">
            <v>DG-Solar-Batt.</v>
          </cell>
          <cell r="H1035" t="str">
            <v>OK</v>
          </cell>
          <cell r="I1035" t="str">
            <v>NO</v>
          </cell>
          <cell r="J1035" t="str">
            <v>YES</v>
          </cell>
          <cell r="K1035" t="str">
            <v>BRONZE</v>
          </cell>
          <cell r="L1035" t="str">
            <v>rural</v>
          </cell>
          <cell r="M1035" t="str">
            <v>70997194</v>
          </cell>
          <cell r="N1035" t="str">
            <v>KPALIME</v>
          </cell>
        </row>
        <row r="1036">
          <cell r="A1036" t="str">
            <v>TOKPLI-MOOV</v>
          </cell>
          <cell r="B1036"/>
          <cell r="C1036" t="str">
            <v>MAR-048</v>
          </cell>
          <cell r="D1036" t="str">
            <v>MARITIME</v>
          </cell>
          <cell r="E1036" t="str">
            <v>ANEHO</v>
          </cell>
          <cell r="F1036" t="str">
            <v>FH</v>
          </cell>
          <cell r="G1036" t="str">
            <v>Grid-DG-Solar-Batt.</v>
          </cell>
          <cell r="H1036" t="str">
            <v>OK</v>
          </cell>
          <cell r="I1036" t="str">
            <v>NO</v>
          </cell>
          <cell r="J1036" t="str">
            <v>YES</v>
          </cell>
          <cell r="K1036" t="str">
            <v>BRONZE</v>
          </cell>
          <cell r="L1036" t="str">
            <v>Urbain</v>
          </cell>
          <cell r="M1036">
            <v>0</v>
          </cell>
          <cell r="N1036" t="str">
            <v>ANEHO</v>
          </cell>
        </row>
        <row r="1037">
          <cell r="A1037" t="str">
            <v>TOMDE</v>
          </cell>
          <cell r="B1037"/>
          <cell r="C1037" t="str">
            <v>KAR-007</v>
          </cell>
          <cell r="D1037" t="str">
            <v>KARA</v>
          </cell>
          <cell r="E1037" t="str">
            <v>KARA-EST</v>
          </cell>
          <cell r="F1037" t="str">
            <v>FO</v>
          </cell>
          <cell r="G1037" t="str">
            <v>Grid-DG-Batt.</v>
          </cell>
          <cell r="H1037" t="str">
            <v>OK</v>
          </cell>
          <cell r="I1037" t="str">
            <v>NO</v>
          </cell>
          <cell r="J1037" t="str">
            <v>NO</v>
          </cell>
          <cell r="K1037" t="str">
            <v>SILVER</v>
          </cell>
          <cell r="L1037" t="str">
            <v>Urbain</v>
          </cell>
          <cell r="M1037" t="str">
            <v>70997196</v>
          </cell>
          <cell r="N1037" t="str">
            <v>KARA EST</v>
          </cell>
        </row>
        <row r="1038">
          <cell r="A1038" t="str">
            <v>TOMDE2</v>
          </cell>
          <cell r="B1038"/>
          <cell r="C1038" t="str">
            <v>KAR-008</v>
          </cell>
          <cell r="D1038" t="str">
            <v>KARA</v>
          </cell>
          <cell r="E1038" t="str">
            <v>KARA-EST</v>
          </cell>
          <cell r="F1038" t="str">
            <v>FO</v>
          </cell>
          <cell r="G1038" t="str">
            <v>Grid-DG-Batt.</v>
          </cell>
          <cell r="H1038" t="str">
            <v>NOK</v>
          </cell>
          <cell r="I1038" t="str">
            <v>YES</v>
          </cell>
          <cell r="J1038" t="str">
            <v>NO</v>
          </cell>
          <cell r="K1038" t="str">
            <v>GOLD</v>
          </cell>
          <cell r="L1038" t="str">
            <v>Urbain</v>
          </cell>
          <cell r="M1038" t="str">
            <v>70997197</v>
          </cell>
          <cell r="N1038" t="str">
            <v>KARA EST</v>
          </cell>
        </row>
        <row r="1039">
          <cell r="A1039" t="str">
            <v>TOMEGBE</v>
          </cell>
          <cell r="B1039"/>
          <cell r="C1039" t="str">
            <v>PLA-121</v>
          </cell>
          <cell r="D1039" t="str">
            <v>PLATEAUX</v>
          </cell>
          <cell r="E1039" t="str">
            <v>BADOU</v>
          </cell>
          <cell r="F1039" t="str">
            <v>FH</v>
          </cell>
          <cell r="G1039" t="str">
            <v>Grid-DG-Batt.</v>
          </cell>
          <cell r="H1039" t="str">
            <v>OK</v>
          </cell>
          <cell r="I1039" t="str">
            <v>NO</v>
          </cell>
          <cell r="J1039" t="str">
            <v>YES</v>
          </cell>
          <cell r="K1039" t="str">
            <v>BRONZE</v>
          </cell>
          <cell r="L1039" t="str">
            <v>rural</v>
          </cell>
          <cell r="M1039" t="str">
            <v>70997198</v>
          </cell>
          <cell r="N1039" t="str">
            <v>BADOU</v>
          </cell>
        </row>
        <row r="1040">
          <cell r="A1040" t="str">
            <v>TOMETI</v>
          </cell>
          <cell r="B1040"/>
          <cell r="C1040" t="str">
            <v>MAR-049</v>
          </cell>
          <cell r="D1040" t="str">
            <v>MARITIME</v>
          </cell>
          <cell r="E1040" t="str">
            <v>ANEHO</v>
          </cell>
          <cell r="F1040" t="str">
            <v>FH</v>
          </cell>
          <cell r="G1040" t="str">
            <v>DG-Solar-Batt.</v>
          </cell>
          <cell r="H1040" t="str">
            <v>OK</v>
          </cell>
          <cell r="I1040" t="str">
            <v>NO</v>
          </cell>
          <cell r="J1040" t="str">
            <v>NO</v>
          </cell>
          <cell r="K1040" t="str">
            <v>BRONZE</v>
          </cell>
          <cell r="L1040" t="str">
            <v>rural</v>
          </cell>
          <cell r="M1040" t="str">
            <v>70997199</v>
          </cell>
          <cell r="N1040" t="str">
            <v>ANEHO</v>
          </cell>
        </row>
        <row r="1041">
          <cell r="A1041" t="str">
            <v>TONTONDI</v>
          </cell>
          <cell r="B1041">
            <v>43931</v>
          </cell>
          <cell r="C1041" t="str">
            <v>SAV-082</v>
          </cell>
          <cell r="D1041" t="str">
            <v>SAVANES</v>
          </cell>
          <cell r="E1041" t="str">
            <v>MANGO</v>
          </cell>
          <cell r="F1041" t="str">
            <v>FH</v>
          </cell>
          <cell r="G1041" t="str">
            <v>DG-Solar-Batt.</v>
          </cell>
          <cell r="H1041" t="str">
            <v>NOK</v>
          </cell>
          <cell r="I1041" t="str">
            <v>NO</v>
          </cell>
          <cell r="J1041" t="str">
            <v>YES</v>
          </cell>
          <cell r="K1041" t="str">
            <v>BRONZE</v>
          </cell>
          <cell r="L1041" t="str">
            <v>rural</v>
          </cell>
          <cell r="M1041" t="str">
            <v>70997200</v>
          </cell>
          <cell r="N1041" t="str">
            <v>MANGO</v>
          </cell>
        </row>
        <row r="1042">
          <cell r="A1042" t="str">
            <v>TOTSI</v>
          </cell>
          <cell r="B1042"/>
          <cell r="C1042" t="str">
            <v>LOM-074</v>
          </cell>
          <cell r="D1042" t="str">
            <v>LOME</v>
          </cell>
          <cell r="E1042" t="str">
            <v>LOME-OUEST 2</v>
          </cell>
          <cell r="F1042" t="str">
            <v>FO</v>
          </cell>
          <cell r="G1042" t="str">
            <v>Grid-DG-Batt.</v>
          </cell>
          <cell r="H1042" t="str">
            <v>OK</v>
          </cell>
          <cell r="I1042" t="str">
            <v>YES</v>
          </cell>
          <cell r="J1042" t="str">
            <v>NO</v>
          </cell>
          <cell r="K1042" t="str">
            <v>GOLD</v>
          </cell>
          <cell r="L1042" t="str">
            <v>Urbain</v>
          </cell>
          <cell r="M1042" t="str">
            <v>70997201</v>
          </cell>
          <cell r="N1042" t="str">
            <v>LOME OUEST2</v>
          </cell>
        </row>
        <row r="1043">
          <cell r="A1043" t="str">
            <v>TOTSI2</v>
          </cell>
          <cell r="B1043"/>
          <cell r="C1043" t="str">
            <v>LOM-080</v>
          </cell>
          <cell r="D1043" t="str">
            <v>LOME</v>
          </cell>
          <cell r="E1043" t="str">
            <v>LOME-OUEST 2</v>
          </cell>
          <cell r="F1043" t="str">
            <v>FO</v>
          </cell>
          <cell r="G1043" t="str">
            <v>Grid-DG-Batt.</v>
          </cell>
          <cell r="H1043" t="str">
            <v>NOK</v>
          </cell>
          <cell r="I1043" t="str">
            <v>NO</v>
          </cell>
          <cell r="J1043" t="str">
            <v>NO</v>
          </cell>
          <cell r="K1043" t="str">
            <v>GOLD</v>
          </cell>
          <cell r="L1043" t="str">
            <v>Urbain</v>
          </cell>
          <cell r="M1043" t="str">
            <v>70997202</v>
          </cell>
          <cell r="N1043" t="str">
            <v>LOME OUEST2</v>
          </cell>
        </row>
        <row r="1044">
          <cell r="A1044" t="str">
            <v>TOTSIVI</v>
          </cell>
          <cell r="B1044">
            <v>45090</v>
          </cell>
          <cell r="C1044" t="str">
            <v>LOM-354</v>
          </cell>
          <cell r="D1044" t="str">
            <v>LOME</v>
          </cell>
          <cell r="E1044" t="str">
            <v>LOME-OUEST 2</v>
          </cell>
          <cell r="F1044" t="str">
            <v>FTTM</v>
          </cell>
          <cell r="G1044" t="str">
            <v>Grid-DG-Batt.</v>
          </cell>
          <cell r="H1044" t="str">
            <v>OK</v>
          </cell>
          <cell r="I1044" t="str">
            <v>NO</v>
          </cell>
          <cell r="J1044" t="str">
            <v>NO</v>
          </cell>
          <cell r="K1044" t="str">
            <v>GOLD</v>
          </cell>
          <cell r="L1044" t="str">
            <v>SubUrbain</v>
          </cell>
          <cell r="M1044">
            <v>70997359</v>
          </cell>
          <cell r="N1044" t="str">
            <v>LOME OUEST2</v>
          </cell>
        </row>
        <row r="1045">
          <cell r="A1045" t="str">
            <v>TOVEATI</v>
          </cell>
          <cell r="B1045"/>
          <cell r="C1045" t="str">
            <v>PLA-023</v>
          </cell>
          <cell r="D1045" t="str">
            <v>MARITIME</v>
          </cell>
          <cell r="E1045" t="str">
            <v>KPALIME</v>
          </cell>
          <cell r="F1045" t="str">
            <v>FH</v>
          </cell>
          <cell r="G1045" t="str">
            <v>Grid-DG-Batt.</v>
          </cell>
          <cell r="H1045" t="str">
            <v>NOK</v>
          </cell>
          <cell r="I1045" t="str">
            <v>NO</v>
          </cell>
          <cell r="J1045" t="str">
            <v>NO</v>
          </cell>
          <cell r="K1045" t="str">
            <v>BRONZE</v>
          </cell>
          <cell r="L1045" t="str">
            <v>SubUrbain</v>
          </cell>
          <cell r="M1045" t="str">
            <v>70997203</v>
          </cell>
          <cell r="N1045" t="str">
            <v>KPALIME</v>
          </cell>
        </row>
        <row r="1046">
          <cell r="A1046" t="str">
            <v>TOVEGAN</v>
          </cell>
          <cell r="B1046"/>
          <cell r="C1046" t="str">
            <v>MAR-059</v>
          </cell>
          <cell r="D1046" t="str">
            <v>MARITIME</v>
          </cell>
          <cell r="E1046" t="str">
            <v>KPALIME</v>
          </cell>
          <cell r="F1046" t="str">
            <v>FH</v>
          </cell>
          <cell r="G1046" t="str">
            <v>DG-Solar-Batt.</v>
          </cell>
          <cell r="H1046" t="str">
            <v>OK</v>
          </cell>
          <cell r="I1046" t="str">
            <v>NO</v>
          </cell>
          <cell r="J1046" t="str">
            <v>NO</v>
          </cell>
          <cell r="K1046" t="str">
            <v>BRONZE</v>
          </cell>
          <cell r="L1046" t="str">
            <v>rural</v>
          </cell>
          <cell r="M1046" t="str">
            <v>70997204</v>
          </cell>
          <cell r="N1046" t="str">
            <v>KPALIME</v>
          </cell>
        </row>
        <row r="1047">
          <cell r="A1047" t="str">
            <v>TSAVANYA</v>
          </cell>
          <cell r="B1047">
            <v>43880</v>
          </cell>
          <cell r="C1047" t="str">
            <v>PLA-148</v>
          </cell>
          <cell r="D1047" t="str">
            <v>MARITIME</v>
          </cell>
          <cell r="E1047" t="str">
            <v>KPALIME</v>
          </cell>
          <cell r="F1047" t="str">
            <v>FH</v>
          </cell>
          <cell r="G1047" t="str">
            <v>DG-Solar-Batt.</v>
          </cell>
          <cell r="H1047" t="str">
            <v>OK</v>
          </cell>
          <cell r="I1047" t="str">
            <v>NO</v>
          </cell>
          <cell r="J1047" t="str">
            <v>YES</v>
          </cell>
          <cell r="K1047" t="str">
            <v>BRONZE</v>
          </cell>
          <cell r="L1047" t="str">
            <v>rural</v>
          </cell>
          <cell r="M1047" t="str">
            <v>70997205</v>
          </cell>
          <cell r="N1047" t="str">
            <v>KPALIME</v>
          </cell>
        </row>
        <row r="1048">
          <cell r="A1048" t="str">
            <v>TSEKO</v>
          </cell>
          <cell r="B1048"/>
          <cell r="C1048" t="str">
            <v>PLA-065</v>
          </cell>
          <cell r="D1048" t="str">
            <v>MARITIME</v>
          </cell>
          <cell r="E1048" t="str">
            <v>KPALIME</v>
          </cell>
          <cell r="F1048" t="str">
            <v>FH</v>
          </cell>
          <cell r="G1048" t="str">
            <v>Grid-DG-Batt.</v>
          </cell>
          <cell r="H1048" t="str">
            <v>OK</v>
          </cell>
          <cell r="I1048" t="str">
            <v>NO</v>
          </cell>
          <cell r="J1048" t="str">
            <v>NO</v>
          </cell>
          <cell r="K1048" t="str">
            <v>SILVER</v>
          </cell>
          <cell r="L1048" t="str">
            <v>SubUrbain</v>
          </cell>
          <cell r="M1048" t="str">
            <v>70997206</v>
          </cell>
          <cell r="N1048" t="str">
            <v>KPALIME</v>
          </cell>
        </row>
        <row r="1049">
          <cell r="A1049" t="str">
            <v>TSEKPO</v>
          </cell>
          <cell r="B1049"/>
          <cell r="C1049" t="str">
            <v>MAR-043</v>
          </cell>
          <cell r="D1049" t="str">
            <v>MARITIME</v>
          </cell>
          <cell r="E1049" t="str">
            <v>TSEVIE</v>
          </cell>
          <cell r="F1049" t="str">
            <v>FH</v>
          </cell>
          <cell r="G1049" t="str">
            <v>Grid-DG-Batt.</v>
          </cell>
          <cell r="H1049" t="str">
            <v>OK</v>
          </cell>
          <cell r="I1049" t="str">
            <v>YES</v>
          </cell>
          <cell r="J1049" t="str">
            <v>NO</v>
          </cell>
          <cell r="K1049" t="str">
            <v>SILVER</v>
          </cell>
          <cell r="L1049" t="str">
            <v>rural</v>
          </cell>
          <cell r="M1049" t="str">
            <v>70997207</v>
          </cell>
          <cell r="N1049" t="str">
            <v>TSEVIE</v>
          </cell>
        </row>
        <row r="1050">
          <cell r="A1050" t="str">
            <v>TSEVIE</v>
          </cell>
          <cell r="B1050"/>
          <cell r="C1050" t="str">
            <v>MAR-008</v>
          </cell>
          <cell r="D1050" t="str">
            <v>MARITIME</v>
          </cell>
          <cell r="E1050" t="str">
            <v>TSEVIE</v>
          </cell>
          <cell r="F1050" t="str">
            <v>FO</v>
          </cell>
          <cell r="G1050" t="str">
            <v>Grid-DG-Batt.</v>
          </cell>
          <cell r="H1050" t="str">
            <v>NOK</v>
          </cell>
          <cell r="I1050" t="str">
            <v>NO</v>
          </cell>
          <cell r="J1050" t="str">
            <v>NO</v>
          </cell>
          <cell r="K1050" t="str">
            <v>PLATINUM</v>
          </cell>
          <cell r="L1050" t="str">
            <v>Urbain</v>
          </cell>
          <cell r="M1050" t="str">
            <v>70997208</v>
          </cell>
          <cell r="N1050" t="str">
            <v>TSEVIE</v>
          </cell>
        </row>
        <row r="1051">
          <cell r="A1051" t="str">
            <v>TSEVIE3</v>
          </cell>
          <cell r="B1051">
            <v>45248</v>
          </cell>
          <cell r="C1051" t="str">
            <v>MAR-149</v>
          </cell>
          <cell r="D1051" t="str">
            <v>MARITIME</v>
          </cell>
          <cell r="E1051" t="str">
            <v>TSEVIE</v>
          </cell>
          <cell r="F1051" t="str">
            <v>FH</v>
          </cell>
          <cell r="G1051" t="str">
            <v>Grid-DG-Batt.</v>
          </cell>
          <cell r="H1051" t="str">
            <v>OK</v>
          </cell>
          <cell r="I1051" t="str">
            <v>NO</v>
          </cell>
          <cell r="J1051" t="str">
            <v>NO</v>
          </cell>
          <cell r="K1051" t="str">
            <v>BRONZE</v>
          </cell>
          <cell r="L1051" t="str">
            <v>URBAN</v>
          </cell>
          <cell r="M1051">
            <v>0</v>
          </cell>
          <cell r="N1051" t="str">
            <v>TSEVIE</v>
          </cell>
        </row>
        <row r="1052">
          <cell r="A1052" t="str">
            <v>TSEVIE5-MOOV</v>
          </cell>
          <cell r="B1052"/>
          <cell r="C1052" t="str">
            <v>MAR-009</v>
          </cell>
          <cell r="D1052" t="str">
            <v>MARITIME</v>
          </cell>
          <cell r="E1052" t="str">
            <v>TSEVIE</v>
          </cell>
          <cell r="F1052" t="str">
            <v>FH</v>
          </cell>
          <cell r="G1052" t="str">
            <v>Grid-DG-Batt.</v>
          </cell>
          <cell r="H1052" t="str">
            <v>OK</v>
          </cell>
          <cell r="I1052" t="str">
            <v>NO</v>
          </cell>
          <cell r="J1052" t="str">
            <v>NO</v>
          </cell>
          <cell r="K1052" t="str">
            <v>SILVER</v>
          </cell>
          <cell r="L1052" t="str">
            <v>Urbain</v>
          </cell>
          <cell r="M1052">
            <v>0</v>
          </cell>
          <cell r="N1052" t="str">
            <v>TSEVIE</v>
          </cell>
        </row>
        <row r="1053">
          <cell r="A1053" t="str">
            <v>TSEVIE-AGENCE</v>
          </cell>
          <cell r="B1053">
            <v>44544</v>
          </cell>
          <cell r="C1053" t="str">
            <v>MAR-050</v>
          </cell>
          <cell r="D1053" t="str">
            <v>MARITIME</v>
          </cell>
          <cell r="E1053" t="str">
            <v>TSEVIE</v>
          </cell>
          <cell r="F1053" t="str">
            <v>FH</v>
          </cell>
          <cell r="G1053" t="str">
            <v>Grid-DG-Batt.</v>
          </cell>
          <cell r="H1053" t="str">
            <v>OK</v>
          </cell>
          <cell r="I1053" t="str">
            <v>NO</v>
          </cell>
          <cell r="J1053" t="str">
            <v>YES</v>
          </cell>
          <cell r="K1053" t="str">
            <v>SILVER</v>
          </cell>
          <cell r="L1053" t="str">
            <v>Urbain</v>
          </cell>
          <cell r="M1053">
            <v>0</v>
          </cell>
          <cell r="N1053" t="str">
            <v>TSEVIE</v>
          </cell>
        </row>
        <row r="1054">
          <cell r="A1054" t="str">
            <v>TSEVIE-BOLOUMODJI</v>
          </cell>
          <cell r="B1054">
            <v>44611</v>
          </cell>
          <cell r="C1054" t="str">
            <v>MAR-140</v>
          </cell>
          <cell r="D1054" t="str">
            <v>MARITIME</v>
          </cell>
          <cell r="E1054" t="str">
            <v>TSEVIE</v>
          </cell>
          <cell r="F1054" t="str">
            <v>FH</v>
          </cell>
          <cell r="G1054" t="str">
            <v>Grid-DG-Batt.</v>
          </cell>
          <cell r="H1054" t="str">
            <v>OK</v>
          </cell>
          <cell r="I1054" t="str">
            <v>NO</v>
          </cell>
          <cell r="J1054" t="str">
            <v>YES</v>
          </cell>
          <cell r="K1054" t="str">
            <v>BRONZE</v>
          </cell>
          <cell r="L1054" t="str">
            <v>Urbain</v>
          </cell>
          <cell r="M1054" t="str">
            <v>70996417</v>
          </cell>
          <cell r="N1054" t="str">
            <v>TSEVIE</v>
          </cell>
        </row>
        <row r="1055">
          <cell r="A1055" t="str">
            <v>TSEVIE-CEB</v>
          </cell>
          <cell r="B1055">
            <v>45140</v>
          </cell>
          <cell r="C1055" t="str">
            <v>MAR-160</v>
          </cell>
          <cell r="D1055" t="str">
            <v>MARITIME</v>
          </cell>
          <cell r="E1055" t="str">
            <v>TSEVIE</v>
          </cell>
          <cell r="F1055" t="str">
            <v>FH</v>
          </cell>
          <cell r="G1055" t="str">
            <v>Grid-DG-Batt.</v>
          </cell>
          <cell r="H1055" t="str">
            <v>OK</v>
          </cell>
          <cell r="I1055" t="str">
            <v>NO</v>
          </cell>
          <cell r="J1055" t="str">
            <v>NO</v>
          </cell>
          <cell r="K1055" t="str">
            <v>SILVER</v>
          </cell>
          <cell r="L1055" t="str">
            <v>Urbain</v>
          </cell>
          <cell r="M1055">
            <v>0</v>
          </cell>
          <cell r="N1055" t="str">
            <v>TSEVIE</v>
          </cell>
        </row>
        <row r="1056">
          <cell r="A1056" t="str">
            <v>TSEVIE-DAVIE-MONDJI</v>
          </cell>
          <cell r="B1056">
            <v>45137</v>
          </cell>
          <cell r="C1056" t="str">
            <v>MAR-161</v>
          </cell>
          <cell r="D1056" t="str">
            <v>MARITIME</v>
          </cell>
          <cell r="E1056" t="str">
            <v>TSEVIE</v>
          </cell>
          <cell r="F1056" t="str">
            <v>FH</v>
          </cell>
          <cell r="G1056" t="str">
            <v>Grid-DG-Batt.</v>
          </cell>
          <cell r="H1056" t="str">
            <v>NOK</v>
          </cell>
          <cell r="I1056" t="str">
            <v>NO</v>
          </cell>
          <cell r="J1056" t="str">
            <v>NO</v>
          </cell>
          <cell r="K1056" t="str">
            <v>SILVER</v>
          </cell>
          <cell r="L1056" t="str">
            <v>Urbain</v>
          </cell>
          <cell r="M1056">
            <v>0</v>
          </cell>
          <cell r="N1056" t="str">
            <v>TSEVIE</v>
          </cell>
        </row>
        <row r="1057">
          <cell r="A1057" t="str">
            <v>TSEVIE-KPALI</v>
          </cell>
          <cell r="B1057"/>
          <cell r="C1057" t="str">
            <v>MAR-010</v>
          </cell>
          <cell r="D1057" t="str">
            <v>MARITIME</v>
          </cell>
          <cell r="E1057" t="str">
            <v>TSEVIE</v>
          </cell>
          <cell r="F1057" t="str">
            <v>FH</v>
          </cell>
          <cell r="G1057" t="str">
            <v>Grid-DG-Batt.</v>
          </cell>
          <cell r="H1057" t="str">
            <v>OK</v>
          </cell>
          <cell r="I1057" t="str">
            <v>NO</v>
          </cell>
          <cell r="J1057" t="str">
            <v>NO</v>
          </cell>
          <cell r="K1057" t="str">
            <v>BRONZE</v>
          </cell>
          <cell r="L1057" t="str">
            <v>Urbain</v>
          </cell>
          <cell r="M1057" t="str">
            <v>70997210</v>
          </cell>
          <cell r="N1057" t="str">
            <v>TSEVIE</v>
          </cell>
        </row>
        <row r="1058">
          <cell r="A1058" t="str">
            <v>TSEVIE-TEKANYI</v>
          </cell>
          <cell r="B1058">
            <v>43867</v>
          </cell>
          <cell r="C1058" t="str">
            <v>MAR-073</v>
          </cell>
          <cell r="D1058" t="str">
            <v>MARITIME</v>
          </cell>
          <cell r="E1058" t="str">
            <v>TSEVIE</v>
          </cell>
          <cell r="F1058" t="str">
            <v>FH</v>
          </cell>
          <cell r="G1058" t="str">
            <v>Grid-DG-Batt.</v>
          </cell>
          <cell r="H1058" t="str">
            <v>OK</v>
          </cell>
          <cell r="I1058" t="str">
            <v>NO</v>
          </cell>
          <cell r="J1058" t="str">
            <v>NO</v>
          </cell>
          <cell r="K1058" t="str">
            <v>SILVER</v>
          </cell>
          <cell r="L1058" t="str">
            <v>Urbain</v>
          </cell>
          <cell r="M1058">
            <v>0</v>
          </cell>
          <cell r="N1058" t="str">
            <v>TSEVIE</v>
          </cell>
        </row>
        <row r="1059">
          <cell r="A1059" t="str">
            <v>TSEVIE-WUGBA</v>
          </cell>
          <cell r="B1059">
            <v>44112</v>
          </cell>
          <cell r="C1059" t="str">
            <v>MAR-088</v>
          </cell>
          <cell r="D1059" t="str">
            <v>MARITIME</v>
          </cell>
          <cell r="E1059" t="str">
            <v>TSEVIE</v>
          </cell>
          <cell r="F1059" t="str">
            <v>FH</v>
          </cell>
          <cell r="G1059" t="str">
            <v>Grid-DG-Batt.</v>
          </cell>
          <cell r="H1059" t="str">
            <v>OK</v>
          </cell>
          <cell r="I1059" t="str">
            <v>NO</v>
          </cell>
          <cell r="J1059" t="str">
            <v>NO</v>
          </cell>
          <cell r="K1059" t="str">
            <v>GOLD</v>
          </cell>
          <cell r="L1059" t="str">
            <v>Urbain</v>
          </cell>
          <cell r="M1059" t="str">
            <v>70996445</v>
          </cell>
          <cell r="N1059" t="str">
            <v>TSEVIE</v>
          </cell>
        </row>
        <row r="1060">
          <cell r="A1060" t="str">
            <v>TVT</v>
          </cell>
          <cell r="B1060"/>
          <cell r="C1060" t="str">
            <v>LOM-160</v>
          </cell>
          <cell r="D1060" t="str">
            <v>LOME</v>
          </cell>
          <cell r="E1060" t="str">
            <v>LOME-SUD</v>
          </cell>
          <cell r="F1060" t="str">
            <v>FO</v>
          </cell>
          <cell r="G1060" t="str">
            <v>Grid-DG-Batt.</v>
          </cell>
          <cell r="H1060" t="str">
            <v>OK</v>
          </cell>
          <cell r="I1060" t="str">
            <v>NO</v>
          </cell>
          <cell r="J1060" t="str">
            <v>NO</v>
          </cell>
          <cell r="K1060" t="str">
            <v>PLATINUM</v>
          </cell>
          <cell r="L1060" t="str">
            <v>Urbain</v>
          </cell>
          <cell r="M1060" t="str">
            <v>70997211</v>
          </cell>
          <cell r="N1060" t="str">
            <v>LOME SUD</v>
          </cell>
        </row>
        <row r="1061">
          <cell r="A1061" t="str">
            <v>UCAO-MOOV</v>
          </cell>
          <cell r="B1061">
            <v>45179</v>
          </cell>
          <cell r="C1061" t="str">
            <v>LOM-345</v>
          </cell>
          <cell r="D1061" t="str">
            <v>LOME</v>
          </cell>
          <cell r="E1061" t="str">
            <v>LOME-OUEST 1</v>
          </cell>
          <cell r="F1061" t="str">
            <v>FTTM</v>
          </cell>
          <cell r="G1061" t="str">
            <v>Grid-DG-Batt.</v>
          </cell>
          <cell r="H1061" t="str">
            <v>OK</v>
          </cell>
          <cell r="I1061" t="str">
            <v>NO</v>
          </cell>
          <cell r="J1061" t="str">
            <v>NO</v>
          </cell>
          <cell r="K1061" t="str">
            <v>SILVER</v>
          </cell>
          <cell r="L1061" t="str">
            <v>SubUrbain</v>
          </cell>
          <cell r="M1061">
            <v>0</v>
          </cell>
          <cell r="N1061" t="str">
            <v>LOME OUEST1</v>
          </cell>
        </row>
        <row r="1062">
          <cell r="A1062" t="str">
            <v>UNIVERSITE</v>
          </cell>
          <cell r="B1062"/>
          <cell r="C1062" t="str">
            <v>LOM-117</v>
          </cell>
          <cell r="D1062" t="str">
            <v>LOME</v>
          </cell>
          <cell r="E1062" t="str">
            <v>LOME-CENTRE</v>
          </cell>
          <cell r="F1062" t="str">
            <v>FO</v>
          </cell>
          <cell r="G1062" t="str">
            <v>Grid-DG-Batt.</v>
          </cell>
          <cell r="H1062" t="str">
            <v>OK</v>
          </cell>
          <cell r="I1062" t="str">
            <v>NO</v>
          </cell>
          <cell r="J1062" t="str">
            <v>NO</v>
          </cell>
          <cell r="K1062" t="str">
            <v>PLATINUM</v>
          </cell>
          <cell r="L1062" t="str">
            <v>Urbain</v>
          </cell>
          <cell r="M1062" t="str">
            <v>70996446</v>
          </cell>
          <cell r="N1062" t="str">
            <v>LOME CENTRE</v>
          </cell>
        </row>
        <row r="1063">
          <cell r="A1063" t="str">
            <v>UTB</v>
          </cell>
          <cell r="B1063"/>
          <cell r="C1063" t="str">
            <v>LOM-144</v>
          </cell>
          <cell r="D1063" t="str">
            <v>LOME</v>
          </cell>
          <cell r="E1063" t="str">
            <v>LOME-SUD</v>
          </cell>
          <cell r="F1063" t="str">
            <v>FO</v>
          </cell>
          <cell r="G1063" t="str">
            <v>Grid-DG-Batt.</v>
          </cell>
          <cell r="H1063" t="str">
            <v>N/A</v>
          </cell>
          <cell r="I1063" t="str">
            <v>YES</v>
          </cell>
          <cell r="J1063" t="str">
            <v>YES</v>
          </cell>
          <cell r="K1063" t="str">
            <v>PLATINUM</v>
          </cell>
          <cell r="L1063" t="str">
            <v>Urbain</v>
          </cell>
          <cell r="M1063">
            <v>0</v>
          </cell>
          <cell r="N1063" t="str">
            <v>LOME SUD</v>
          </cell>
        </row>
        <row r="1064">
          <cell r="A1064" t="str">
            <v>VAKPOSSITO</v>
          </cell>
          <cell r="B1064"/>
          <cell r="C1064" t="str">
            <v>LOM-061</v>
          </cell>
          <cell r="D1064" t="str">
            <v>LOME</v>
          </cell>
          <cell r="E1064" t="str">
            <v>LOME-OUEST 2</v>
          </cell>
          <cell r="F1064" t="str">
            <v>FO</v>
          </cell>
          <cell r="G1064" t="str">
            <v>Grid-DG-Batt.</v>
          </cell>
          <cell r="H1064" t="str">
            <v>OK</v>
          </cell>
          <cell r="I1064" t="str">
            <v>NO</v>
          </cell>
          <cell r="J1064" t="str">
            <v>NO</v>
          </cell>
          <cell r="K1064" t="str">
            <v>GOLD</v>
          </cell>
          <cell r="L1064" t="str">
            <v>Urbain</v>
          </cell>
          <cell r="M1064" t="str">
            <v>70997212</v>
          </cell>
          <cell r="N1064" t="str">
            <v>LOME OUEST2</v>
          </cell>
        </row>
        <row r="1065">
          <cell r="A1065" t="str">
            <v>VHE</v>
          </cell>
          <cell r="B1065">
            <v>43901</v>
          </cell>
          <cell r="C1065" t="str">
            <v>PLA-161</v>
          </cell>
          <cell r="D1065" t="str">
            <v>PLATEAUX</v>
          </cell>
          <cell r="E1065" t="str">
            <v>BADOU</v>
          </cell>
          <cell r="F1065" t="str">
            <v>FH</v>
          </cell>
          <cell r="G1065" t="str">
            <v>DG-Solar-Batt.</v>
          </cell>
          <cell r="H1065" t="str">
            <v>OK</v>
          </cell>
          <cell r="I1065" t="str">
            <v>NO</v>
          </cell>
          <cell r="J1065" t="str">
            <v>YES</v>
          </cell>
          <cell r="K1065" t="str">
            <v>BRONZE</v>
          </cell>
          <cell r="L1065" t="str">
            <v>rural</v>
          </cell>
          <cell r="M1065" t="str">
            <v>70997213</v>
          </cell>
          <cell r="N1065" t="str">
            <v>BADOU</v>
          </cell>
        </row>
        <row r="1066">
          <cell r="A1066" t="str">
            <v>VOATTIVE-MOOV</v>
          </cell>
          <cell r="B1066">
            <v>43890</v>
          </cell>
          <cell r="C1066" t="str">
            <v>MAR-078</v>
          </cell>
          <cell r="D1066" t="str">
            <v>MARITIME</v>
          </cell>
          <cell r="E1066" t="str">
            <v>ANEHO</v>
          </cell>
          <cell r="F1066" t="str">
            <v>FH</v>
          </cell>
          <cell r="G1066" t="str">
            <v>Grid-DG-Batt.</v>
          </cell>
          <cell r="H1066" t="str">
            <v>NOK</v>
          </cell>
          <cell r="I1066" t="str">
            <v>NO</v>
          </cell>
          <cell r="J1066" t="str">
            <v>NO</v>
          </cell>
          <cell r="K1066" t="str">
            <v>BRONZE</v>
          </cell>
          <cell r="L1066" t="str">
            <v>rural</v>
          </cell>
          <cell r="M1066">
            <v>0</v>
          </cell>
          <cell r="N1066" t="str">
            <v>ANEHO</v>
          </cell>
        </row>
        <row r="1067">
          <cell r="A1067" t="str">
            <v>VOGAN</v>
          </cell>
          <cell r="B1067"/>
          <cell r="C1067" t="str">
            <v>MAR-030</v>
          </cell>
          <cell r="D1067" t="str">
            <v>MARITIME</v>
          </cell>
          <cell r="E1067" t="str">
            <v>ANEHO</v>
          </cell>
          <cell r="F1067" t="str">
            <v>FH</v>
          </cell>
          <cell r="G1067" t="str">
            <v>Grid-DG-Batt.</v>
          </cell>
          <cell r="H1067" t="str">
            <v>OK</v>
          </cell>
          <cell r="I1067" t="str">
            <v>NO</v>
          </cell>
          <cell r="J1067" t="str">
            <v>NO</v>
          </cell>
          <cell r="K1067" t="str">
            <v>SILVER</v>
          </cell>
          <cell r="L1067" t="str">
            <v>Urbain</v>
          </cell>
          <cell r="M1067" t="str">
            <v>70997214</v>
          </cell>
          <cell r="N1067" t="str">
            <v>ANEHO</v>
          </cell>
        </row>
        <row r="1068">
          <cell r="A1068" t="str">
            <v>VOGAN-AGBOPE</v>
          </cell>
          <cell r="B1068"/>
          <cell r="C1068" t="str">
            <v>MAR-031</v>
          </cell>
          <cell r="D1068" t="str">
            <v>MARITIME</v>
          </cell>
          <cell r="E1068" t="str">
            <v>ANEHO</v>
          </cell>
          <cell r="F1068" t="str">
            <v>FH</v>
          </cell>
          <cell r="G1068" t="str">
            <v>Grid-DG-Batt.</v>
          </cell>
          <cell r="H1068" t="str">
            <v>OK</v>
          </cell>
          <cell r="I1068" t="str">
            <v>NO</v>
          </cell>
          <cell r="J1068" t="str">
            <v>NO</v>
          </cell>
          <cell r="K1068" t="str">
            <v>BRONZE</v>
          </cell>
          <cell r="L1068" t="str">
            <v>Urbain</v>
          </cell>
          <cell r="M1068" t="str">
            <v>70997215</v>
          </cell>
          <cell r="N1068" t="str">
            <v>ANEHO</v>
          </cell>
        </row>
        <row r="1069">
          <cell r="A1069" t="str">
            <v>VOGAN2-MOOV</v>
          </cell>
          <cell r="B1069">
            <v>44811</v>
          </cell>
          <cell r="C1069" t="str">
            <v>MAR-152</v>
          </cell>
          <cell r="D1069" t="str">
            <v>MARITIME</v>
          </cell>
          <cell r="E1069" t="str">
            <v>ANEHO</v>
          </cell>
          <cell r="F1069" t="str">
            <v>FH</v>
          </cell>
          <cell r="G1069" t="str">
            <v>Grid-DG-Batt.</v>
          </cell>
          <cell r="H1069" t="str">
            <v>OK</v>
          </cell>
          <cell r="I1069" t="str">
            <v>NO</v>
          </cell>
          <cell r="J1069" t="str">
            <v>YES</v>
          </cell>
          <cell r="K1069" t="str">
            <v>SILVER</v>
          </cell>
          <cell r="L1069" t="str">
            <v>SubUrbain</v>
          </cell>
          <cell r="M1069" t="e">
            <v>#N/A</v>
          </cell>
          <cell r="N1069" t="str">
            <v>ANEHO</v>
          </cell>
        </row>
        <row r="1070">
          <cell r="A1070" t="str">
            <v>WACEM-MOOV</v>
          </cell>
          <cell r="B1070"/>
          <cell r="C1070" t="str">
            <v>MAR-044</v>
          </cell>
          <cell r="D1070" t="str">
            <v>MARITIME</v>
          </cell>
          <cell r="E1070" t="str">
            <v>ANEHO</v>
          </cell>
          <cell r="F1070" t="str">
            <v>FH</v>
          </cell>
          <cell r="G1070" t="str">
            <v>Grid-DG-Batt.</v>
          </cell>
          <cell r="H1070" t="str">
            <v>OK</v>
          </cell>
          <cell r="I1070" t="str">
            <v>NO</v>
          </cell>
          <cell r="J1070" t="str">
            <v>NO</v>
          </cell>
          <cell r="K1070" t="str">
            <v>BRONZE</v>
          </cell>
          <cell r="L1070" t="str">
            <v>rural</v>
          </cell>
          <cell r="M1070">
            <v>0</v>
          </cell>
          <cell r="N1070" t="str">
            <v>ANEHO</v>
          </cell>
        </row>
        <row r="1071">
          <cell r="A1071" t="str">
            <v>WADANYI</v>
          </cell>
          <cell r="B1071"/>
          <cell r="C1071" t="str">
            <v>PLA-095</v>
          </cell>
          <cell r="D1071" t="str">
            <v>PLATEAUX</v>
          </cell>
          <cell r="E1071" t="str">
            <v>BADOU</v>
          </cell>
          <cell r="F1071" t="str">
            <v>FH</v>
          </cell>
          <cell r="G1071" t="str">
            <v>DG-Solar-Batt.</v>
          </cell>
          <cell r="H1071" t="str">
            <v>OK</v>
          </cell>
          <cell r="I1071" t="str">
            <v>NO</v>
          </cell>
          <cell r="J1071" t="str">
            <v>NO</v>
          </cell>
          <cell r="K1071" t="str">
            <v>BRONZE</v>
          </cell>
          <cell r="L1071" t="str">
            <v>rural</v>
          </cell>
          <cell r="M1071" t="str">
            <v>70997217</v>
          </cell>
          <cell r="N1071" t="str">
            <v>BADOU</v>
          </cell>
        </row>
        <row r="1072">
          <cell r="A1072" t="str">
            <v>WAFO</v>
          </cell>
          <cell r="B1072">
            <v>44127</v>
          </cell>
          <cell r="C1072" t="str">
            <v>LOM-247</v>
          </cell>
          <cell r="D1072" t="str">
            <v>LOME</v>
          </cell>
          <cell r="E1072" t="str">
            <v>LOME-EST</v>
          </cell>
          <cell r="F1072" t="str">
            <v>FO</v>
          </cell>
          <cell r="G1072" t="str">
            <v>Grid-Batt.</v>
          </cell>
          <cell r="H1072" t="str">
            <v>N/A</v>
          </cell>
          <cell r="I1072" t="str">
            <v>NO</v>
          </cell>
          <cell r="J1072" t="str">
            <v>NO</v>
          </cell>
          <cell r="K1072" t="str">
            <v>PLATINUM</v>
          </cell>
          <cell r="L1072" t="str">
            <v>Urbain</v>
          </cell>
          <cell r="M1072" t="str">
            <v>70996517</v>
          </cell>
          <cell r="N1072" t="str">
            <v>LOME EST</v>
          </cell>
        </row>
        <row r="1073">
          <cell r="A1073" t="str">
            <v>WAHALA</v>
          </cell>
          <cell r="B1073"/>
          <cell r="C1073" t="str">
            <v>PLA-132</v>
          </cell>
          <cell r="D1073" t="str">
            <v>PLATEAUX</v>
          </cell>
          <cell r="E1073" t="str">
            <v>NOTSE</v>
          </cell>
          <cell r="F1073" t="str">
            <v>FH</v>
          </cell>
          <cell r="G1073" t="str">
            <v>Grid-DG-Batt.</v>
          </cell>
          <cell r="H1073" t="str">
            <v>OK</v>
          </cell>
          <cell r="I1073" t="str">
            <v>NO</v>
          </cell>
          <cell r="J1073" t="str">
            <v>NO</v>
          </cell>
          <cell r="K1073" t="str">
            <v>BRONZE</v>
          </cell>
          <cell r="L1073" t="str">
            <v>SubUrbain</v>
          </cell>
          <cell r="M1073" t="str">
            <v>70997218</v>
          </cell>
          <cell r="N1073" t="str">
            <v>NOTSE</v>
          </cell>
        </row>
        <row r="1074">
          <cell r="A1074" t="str">
            <v>WAHALA-LAHE</v>
          </cell>
          <cell r="B1074"/>
          <cell r="C1074" t="str">
            <v>PLA-133</v>
          </cell>
          <cell r="D1074" t="str">
            <v>PLATEAUX</v>
          </cell>
          <cell r="E1074" t="str">
            <v>NOTSE</v>
          </cell>
          <cell r="F1074" t="str">
            <v>FH</v>
          </cell>
          <cell r="G1074" t="str">
            <v>Grid-DG-Batt.</v>
          </cell>
          <cell r="H1074" t="str">
            <v>OK</v>
          </cell>
          <cell r="I1074" t="str">
            <v>NO</v>
          </cell>
          <cell r="J1074" t="str">
            <v>NO</v>
          </cell>
          <cell r="K1074" t="str">
            <v>SILVER</v>
          </cell>
          <cell r="L1074" t="str">
            <v>SubUrbain</v>
          </cell>
          <cell r="M1074" t="str">
            <v>70997219</v>
          </cell>
          <cell r="N1074" t="str">
            <v>NOTSE</v>
          </cell>
        </row>
        <row r="1075">
          <cell r="A1075" t="str">
            <v>WARAGNI</v>
          </cell>
          <cell r="B1075"/>
          <cell r="C1075" t="str">
            <v>CEN-068</v>
          </cell>
          <cell r="D1075" t="str">
            <v>CENTRALE</v>
          </cell>
          <cell r="E1075" t="str">
            <v>BLITTA</v>
          </cell>
          <cell r="F1075" t="str">
            <v>FH</v>
          </cell>
          <cell r="G1075" t="str">
            <v>DG-Solar-Batt.</v>
          </cell>
          <cell r="H1075" t="str">
            <v>OK</v>
          </cell>
          <cell r="I1075" t="str">
            <v>NO</v>
          </cell>
          <cell r="J1075" t="str">
            <v>NO</v>
          </cell>
          <cell r="K1075" t="str">
            <v>BRONZE</v>
          </cell>
          <cell r="L1075" t="str">
            <v>rural</v>
          </cell>
          <cell r="M1075" t="str">
            <v>70997220</v>
          </cell>
          <cell r="N1075" t="str">
            <v>BLITTA</v>
          </cell>
        </row>
        <row r="1076">
          <cell r="A1076" t="str">
            <v>WARKANBOU-CENTRE</v>
          </cell>
          <cell r="B1076">
            <v>44630</v>
          </cell>
          <cell r="C1076" t="str">
            <v>SAV-093</v>
          </cell>
          <cell r="D1076" t="str">
            <v>SAVANES</v>
          </cell>
          <cell r="E1076" t="str">
            <v>DAPAONG 1</v>
          </cell>
          <cell r="F1076" t="str">
            <v>FH</v>
          </cell>
          <cell r="G1076" t="str">
            <v>DG-Solar-Batt.</v>
          </cell>
          <cell r="H1076" t="str">
            <v>OK</v>
          </cell>
          <cell r="I1076" t="str">
            <v>NO</v>
          </cell>
          <cell r="J1076" t="str">
            <v>YES</v>
          </cell>
          <cell r="K1076" t="str">
            <v>BRONZE</v>
          </cell>
          <cell r="L1076" t="str">
            <v>rural</v>
          </cell>
          <cell r="M1076" t="str">
            <v>70996497</v>
          </cell>
          <cell r="N1076" t="str">
            <v>DAPAONG</v>
          </cell>
        </row>
        <row r="1077">
          <cell r="A1077" t="str">
            <v>WASSARABO</v>
          </cell>
          <cell r="B1077">
            <v>43727</v>
          </cell>
          <cell r="C1077" t="str">
            <v>CEN-081</v>
          </cell>
          <cell r="D1077" t="str">
            <v>CENTRALE</v>
          </cell>
          <cell r="E1077" t="str">
            <v>TCHAMBA</v>
          </cell>
          <cell r="F1077" t="str">
            <v>FH</v>
          </cell>
          <cell r="G1077" t="str">
            <v>Grid-DG-Batt.</v>
          </cell>
          <cell r="H1077" t="str">
            <v>OK</v>
          </cell>
          <cell r="I1077" t="str">
            <v>NO</v>
          </cell>
          <cell r="J1077" t="str">
            <v>NO</v>
          </cell>
          <cell r="K1077" t="str">
            <v>BRONZE</v>
          </cell>
          <cell r="L1077" t="str">
            <v>rural</v>
          </cell>
          <cell r="M1077" t="str">
            <v>70997221</v>
          </cell>
          <cell r="N1077" t="str">
            <v>TCHAMBA</v>
          </cell>
        </row>
        <row r="1078">
          <cell r="A1078" t="str">
            <v>WELL-CITY</v>
          </cell>
          <cell r="B1078">
            <v>44123</v>
          </cell>
          <cell r="C1078" t="str">
            <v>MAR-138</v>
          </cell>
          <cell r="D1078" t="str">
            <v>LOME</v>
          </cell>
          <cell r="E1078" t="str">
            <v>LOME-NORD</v>
          </cell>
          <cell r="F1078" t="str">
            <v>FH</v>
          </cell>
          <cell r="G1078" t="str">
            <v>Grid-DG-Batt.</v>
          </cell>
          <cell r="H1078" t="str">
            <v>OK</v>
          </cell>
          <cell r="I1078" t="str">
            <v>NO</v>
          </cell>
          <cell r="J1078" t="e">
            <v>#N/A</v>
          </cell>
          <cell r="K1078" t="str">
            <v>SILVER</v>
          </cell>
          <cell r="L1078" t="str">
            <v>SubUrbain</v>
          </cell>
          <cell r="M1078" t="e">
            <v>#N/A</v>
          </cell>
          <cell r="N1078" t="str">
            <v>LOME-NORD</v>
          </cell>
        </row>
        <row r="1079">
          <cell r="A1079" t="str">
            <v>WELLY</v>
          </cell>
          <cell r="B1079"/>
          <cell r="C1079" t="str">
            <v>CEN-077</v>
          </cell>
          <cell r="D1079" t="str">
            <v>CENTRALE</v>
          </cell>
          <cell r="E1079" t="str">
            <v>BLITTA</v>
          </cell>
          <cell r="F1079" t="str">
            <v>FH</v>
          </cell>
          <cell r="G1079" t="str">
            <v>DG-Solar-Batt.</v>
          </cell>
          <cell r="H1079" t="str">
            <v>OK</v>
          </cell>
          <cell r="I1079" t="str">
            <v>NO</v>
          </cell>
          <cell r="J1079" t="str">
            <v>NO</v>
          </cell>
          <cell r="K1079" t="str">
            <v>BRONZE</v>
          </cell>
          <cell r="L1079" t="str">
            <v>rural</v>
          </cell>
          <cell r="M1079" t="str">
            <v>70997223</v>
          </cell>
          <cell r="N1079" t="str">
            <v>BLITTA</v>
          </cell>
        </row>
        <row r="1080">
          <cell r="A1080" t="str">
            <v>WESSOME</v>
          </cell>
          <cell r="B1080"/>
          <cell r="C1080" t="str">
            <v>LOM-075</v>
          </cell>
          <cell r="D1080" t="str">
            <v>LOME</v>
          </cell>
          <cell r="E1080" t="str">
            <v>LOME-OUEST 2</v>
          </cell>
          <cell r="F1080" t="str">
            <v>FH</v>
          </cell>
          <cell r="G1080" t="str">
            <v>Grid-DG-Batt.</v>
          </cell>
          <cell r="H1080" t="str">
            <v>OK</v>
          </cell>
          <cell r="I1080" t="str">
            <v>NO</v>
          </cell>
          <cell r="J1080" t="str">
            <v>NO</v>
          </cell>
          <cell r="K1080" t="str">
            <v>PLATINUM</v>
          </cell>
          <cell r="L1080" t="str">
            <v>Urbain</v>
          </cell>
          <cell r="M1080" t="str">
            <v>70997224</v>
          </cell>
          <cell r="N1080" t="str">
            <v>LOME OUEST2</v>
          </cell>
        </row>
        <row r="1081">
          <cell r="A1081" t="str">
            <v>WESSOME2</v>
          </cell>
          <cell r="B1081">
            <v>43430</v>
          </cell>
          <cell r="C1081" t="str">
            <v>LOM-226</v>
          </cell>
          <cell r="D1081" t="str">
            <v>LOME</v>
          </cell>
          <cell r="E1081" t="str">
            <v>LOME-OUEST 2</v>
          </cell>
          <cell r="F1081" t="str">
            <v>FH</v>
          </cell>
          <cell r="G1081" t="str">
            <v>Grid-Batt.</v>
          </cell>
          <cell r="H1081" t="str">
            <v>N/A</v>
          </cell>
          <cell r="I1081" t="str">
            <v>YES</v>
          </cell>
          <cell r="J1081" t="str">
            <v>NO</v>
          </cell>
          <cell r="K1081" t="str">
            <v>SILVER</v>
          </cell>
          <cell r="L1081" t="str">
            <v>Urbain</v>
          </cell>
          <cell r="M1081">
            <v>0</v>
          </cell>
          <cell r="N1081" t="str">
            <v>LOME OUEST2</v>
          </cell>
        </row>
        <row r="1082">
          <cell r="A1082" t="str">
            <v>WETROPE-MOOV</v>
          </cell>
          <cell r="B1082"/>
          <cell r="C1082" t="str">
            <v>PLA-170</v>
          </cell>
          <cell r="D1082" t="str">
            <v>MARITIME</v>
          </cell>
          <cell r="E1082" t="str">
            <v>KPALIME</v>
          </cell>
          <cell r="F1082" t="str">
            <v>FH</v>
          </cell>
          <cell r="G1082" t="str">
            <v>Grid-DG-Batt.</v>
          </cell>
          <cell r="H1082" t="str">
            <v>OK</v>
          </cell>
          <cell r="I1082" t="str">
            <v>NO</v>
          </cell>
          <cell r="J1082" t="str">
            <v>NO</v>
          </cell>
          <cell r="K1082" t="e">
            <v>#N/A</v>
          </cell>
          <cell r="L1082" t="e">
            <v>#N/A</v>
          </cell>
          <cell r="M1082">
            <v>0</v>
          </cell>
          <cell r="N1082" t="str">
            <v>KPALIME</v>
          </cell>
        </row>
        <row r="1083">
          <cell r="A1083" t="str">
            <v>WISSAN</v>
          </cell>
          <cell r="B1083">
            <v>44847</v>
          </cell>
          <cell r="C1083" t="str">
            <v>CEN-120</v>
          </cell>
          <cell r="D1083" t="str">
            <v>CENTRALE</v>
          </cell>
          <cell r="E1083" t="str">
            <v>BLITTA</v>
          </cell>
          <cell r="F1083" t="str">
            <v>FH</v>
          </cell>
          <cell r="G1083" t="str">
            <v>DG-Solar-Batt.</v>
          </cell>
          <cell r="H1083" t="str">
            <v>OK</v>
          </cell>
          <cell r="I1083" t="str">
            <v>NO</v>
          </cell>
          <cell r="J1083" t="str">
            <v>YES</v>
          </cell>
          <cell r="K1083" t="str">
            <v>BRONZE</v>
          </cell>
          <cell r="L1083" t="str">
            <v>rural</v>
          </cell>
          <cell r="M1083">
            <v>70997257</v>
          </cell>
          <cell r="N1083" t="str">
            <v>BLITTA</v>
          </cell>
        </row>
        <row r="1084">
          <cell r="A1084" t="str">
            <v>WLI</v>
          </cell>
          <cell r="B1084">
            <v>45136</v>
          </cell>
          <cell r="C1084" t="str">
            <v>MAR-165</v>
          </cell>
          <cell r="D1084" t="str">
            <v>MARITIME</v>
          </cell>
          <cell r="E1084" t="str">
            <v>TSEVIE</v>
          </cell>
          <cell r="F1084" t="str">
            <v>FH</v>
          </cell>
          <cell r="G1084" t="str">
            <v>DG-Solar-Batt.</v>
          </cell>
          <cell r="H1084" t="str">
            <v>NOK</v>
          </cell>
          <cell r="I1084" t="str">
            <v>NO</v>
          </cell>
          <cell r="J1084" t="str">
            <v>NO</v>
          </cell>
          <cell r="K1084" t="str">
            <v>BRONZE</v>
          </cell>
          <cell r="L1084" t="str">
            <v>rural</v>
          </cell>
          <cell r="M1084">
            <v>70997337</v>
          </cell>
          <cell r="N1084" t="str">
            <v>TSEVIE</v>
          </cell>
        </row>
        <row r="1085">
          <cell r="A1085" t="str">
            <v>WOAME-MOOV</v>
          </cell>
          <cell r="B1085">
            <v>45220</v>
          </cell>
          <cell r="C1085" t="str">
            <v>PLA-247</v>
          </cell>
          <cell r="D1085" t="str">
            <v>MARITIME</v>
          </cell>
          <cell r="E1085" t="str">
            <v>KPALIME</v>
          </cell>
          <cell r="F1085" t="str">
            <v>FH</v>
          </cell>
          <cell r="G1085" t="str">
            <v>Grid-DG-Batt.</v>
          </cell>
          <cell r="H1085" t="str">
            <v>OK</v>
          </cell>
          <cell r="I1085" t="str">
            <v>NO</v>
          </cell>
          <cell r="J1085" t="str">
            <v>NO</v>
          </cell>
          <cell r="K1085" t="str">
            <v>BRONZE</v>
          </cell>
          <cell r="L1085" t="str">
            <v>RURAL</v>
          </cell>
          <cell r="M1085">
            <v>0</v>
          </cell>
          <cell r="N1085" t="str">
            <v>KPALIME</v>
          </cell>
        </row>
        <row r="1086">
          <cell r="A1086" t="str">
            <v>WOGBA-MOOV</v>
          </cell>
          <cell r="B1086">
            <v>43890</v>
          </cell>
          <cell r="C1086" t="str">
            <v>MAR-079</v>
          </cell>
          <cell r="D1086" t="str">
            <v>MARITIME</v>
          </cell>
          <cell r="E1086" t="str">
            <v>ANEHO</v>
          </cell>
          <cell r="F1086" t="str">
            <v>FH</v>
          </cell>
          <cell r="G1086" t="str">
            <v>Grid-DG-Batt.</v>
          </cell>
          <cell r="H1086" t="str">
            <v>OK</v>
          </cell>
          <cell r="I1086" t="str">
            <v>NO</v>
          </cell>
          <cell r="J1086" t="str">
            <v>NO</v>
          </cell>
          <cell r="K1086" t="str">
            <v>BRONZE</v>
          </cell>
          <cell r="L1086" t="str">
            <v>rural</v>
          </cell>
          <cell r="M1086">
            <v>0</v>
          </cell>
          <cell r="N1086" t="str">
            <v>ANEHO</v>
          </cell>
        </row>
        <row r="1087">
          <cell r="A1087" t="str">
            <v>WOGOU</v>
          </cell>
          <cell r="B1087">
            <v>44635</v>
          </cell>
          <cell r="C1087" t="str">
            <v>SAV-096</v>
          </cell>
          <cell r="D1087" t="str">
            <v>SAVANES</v>
          </cell>
          <cell r="E1087" t="str">
            <v>MANGO</v>
          </cell>
          <cell r="F1087" t="str">
            <v>FH</v>
          </cell>
          <cell r="G1087" t="str">
            <v>DG-Solar-Batt.</v>
          </cell>
          <cell r="H1087" t="str">
            <v>OK</v>
          </cell>
          <cell r="I1087" t="str">
            <v>NO</v>
          </cell>
          <cell r="J1087" t="str">
            <v>YES</v>
          </cell>
          <cell r="K1087" t="str">
            <v>BRONZE</v>
          </cell>
          <cell r="L1087" t="str">
            <v>rural</v>
          </cell>
          <cell r="M1087" t="str">
            <v>70996498</v>
          </cell>
          <cell r="N1087" t="str">
            <v>MANGO</v>
          </cell>
        </row>
        <row r="1088">
          <cell r="A1088" t="str">
            <v>WONOUGBA</v>
          </cell>
          <cell r="B1088"/>
          <cell r="C1088" t="str">
            <v>MAR-069</v>
          </cell>
          <cell r="D1088" t="str">
            <v>MARITIME</v>
          </cell>
          <cell r="E1088" t="str">
            <v>KPALIME</v>
          </cell>
          <cell r="F1088" t="str">
            <v>FH</v>
          </cell>
          <cell r="G1088" t="str">
            <v>DG-Solar-Batt.</v>
          </cell>
          <cell r="H1088" t="str">
            <v>OK</v>
          </cell>
          <cell r="I1088" t="str">
            <v>NO</v>
          </cell>
          <cell r="J1088" t="str">
            <v>NO</v>
          </cell>
          <cell r="K1088" t="str">
            <v>BRONZE</v>
          </cell>
          <cell r="L1088" t="str">
            <v>rural</v>
          </cell>
          <cell r="M1088" t="str">
            <v>70997225</v>
          </cell>
          <cell r="N1088" t="str">
            <v>KPALIME</v>
          </cell>
        </row>
        <row r="1089">
          <cell r="A1089" t="str">
            <v>WONYOME</v>
          </cell>
          <cell r="B1089">
            <v>43440</v>
          </cell>
          <cell r="C1089" t="str">
            <v>LOM-229</v>
          </cell>
          <cell r="D1089" t="str">
            <v>LOME</v>
          </cell>
          <cell r="E1089" t="str">
            <v>LOME-OUEST 2</v>
          </cell>
          <cell r="F1089" t="str">
            <v>FH</v>
          </cell>
          <cell r="G1089" t="str">
            <v>Grid-DG-Batt.</v>
          </cell>
          <cell r="H1089" t="str">
            <v>N/A</v>
          </cell>
          <cell r="I1089" t="str">
            <v>NO</v>
          </cell>
          <cell r="J1089" t="str">
            <v>NO</v>
          </cell>
          <cell r="K1089" t="str">
            <v>GOLD</v>
          </cell>
          <cell r="L1089" t="str">
            <v>Urbain</v>
          </cell>
          <cell r="M1089" t="str">
            <v>70997226</v>
          </cell>
          <cell r="N1089" t="str">
            <v>LOME OUEST2</v>
          </cell>
        </row>
        <row r="1090">
          <cell r="A1090" t="str">
            <v>WONYOME2</v>
          </cell>
          <cell r="B1090">
            <v>43395</v>
          </cell>
          <cell r="C1090" t="str">
            <v>LOM-221</v>
          </cell>
          <cell r="D1090" t="str">
            <v>LOME</v>
          </cell>
          <cell r="E1090" t="str">
            <v>LOME-OUEST 2</v>
          </cell>
          <cell r="F1090" t="str">
            <v>FH</v>
          </cell>
          <cell r="G1090" t="str">
            <v>Grid-Batt.</v>
          </cell>
          <cell r="H1090" t="str">
            <v>N/A</v>
          </cell>
          <cell r="I1090" t="str">
            <v>YES</v>
          </cell>
          <cell r="J1090" t="str">
            <v>NO</v>
          </cell>
          <cell r="K1090" t="str">
            <v>SILVER</v>
          </cell>
          <cell r="L1090" t="str">
            <v>Urbain</v>
          </cell>
          <cell r="M1090">
            <v>0</v>
          </cell>
          <cell r="N1090" t="str">
            <v>LOME OUEST2</v>
          </cell>
        </row>
        <row r="1091">
          <cell r="A1091" t="str">
            <v>WORGOU</v>
          </cell>
          <cell r="B1091"/>
          <cell r="C1091" t="str">
            <v>SAV-009</v>
          </cell>
          <cell r="D1091" t="str">
            <v>SAVANES</v>
          </cell>
          <cell r="E1091" t="str">
            <v>DAPAONG 1</v>
          </cell>
          <cell r="F1091" t="str">
            <v>FH</v>
          </cell>
          <cell r="G1091" t="str">
            <v>Grid-DG-Batt.</v>
          </cell>
          <cell r="H1091" t="str">
            <v>OK</v>
          </cell>
          <cell r="I1091" t="str">
            <v>NO</v>
          </cell>
          <cell r="J1091" t="str">
            <v>NO</v>
          </cell>
          <cell r="K1091" t="str">
            <v>SILVER</v>
          </cell>
          <cell r="L1091" t="str">
            <v>SubUrbain</v>
          </cell>
          <cell r="M1091" t="str">
            <v>70997227</v>
          </cell>
          <cell r="N1091" t="str">
            <v>DAPAONG</v>
          </cell>
        </row>
        <row r="1092">
          <cell r="A1092" t="str">
            <v>WOUGOMEDEKPO</v>
          </cell>
          <cell r="B1092">
            <v>44547</v>
          </cell>
          <cell r="C1092" t="str">
            <v>LOM-288</v>
          </cell>
          <cell r="D1092" t="str">
            <v>LOME</v>
          </cell>
          <cell r="E1092" t="str">
            <v>LOME-OUEST 2</v>
          </cell>
          <cell r="F1092" t="str">
            <v>FTTM</v>
          </cell>
          <cell r="G1092" t="str">
            <v>Grid-DG-Batt.</v>
          </cell>
          <cell r="H1092" t="str">
            <v>OK</v>
          </cell>
          <cell r="I1092" t="str">
            <v>NO</v>
          </cell>
          <cell r="J1092" t="str">
            <v>YES</v>
          </cell>
          <cell r="K1092" t="str">
            <v>SILVER</v>
          </cell>
          <cell r="L1092" t="str">
            <v>SubUrbain</v>
          </cell>
          <cell r="M1092" t="str">
            <v>70996499</v>
          </cell>
          <cell r="N1092" t="str">
            <v>LOME OUEST2</v>
          </cell>
        </row>
        <row r="1093">
          <cell r="A1093" t="str">
            <v>WOUGOMEDEKPO-MOOV</v>
          </cell>
          <cell r="B1093">
            <v>43164</v>
          </cell>
          <cell r="C1093" t="str">
            <v>LOM-069</v>
          </cell>
          <cell r="D1093" t="str">
            <v>LOME</v>
          </cell>
          <cell r="E1093" t="str">
            <v>LOME-OUEST 2</v>
          </cell>
          <cell r="F1093" t="str">
            <v>FH</v>
          </cell>
          <cell r="G1093" t="str">
            <v>Grid-DG-Batt.</v>
          </cell>
          <cell r="H1093" t="str">
            <v>OK</v>
          </cell>
          <cell r="I1093" t="str">
            <v>NO</v>
          </cell>
          <cell r="J1093" t="str">
            <v>YES</v>
          </cell>
          <cell r="K1093" t="str">
            <v>GOLD</v>
          </cell>
          <cell r="L1093" t="str">
            <v>Urbain</v>
          </cell>
          <cell r="M1093">
            <v>70997228</v>
          </cell>
          <cell r="N1093" t="str">
            <v>LOME OUEST2</v>
          </cell>
        </row>
        <row r="1094">
          <cell r="A1094" t="str">
            <v>YAKA</v>
          </cell>
          <cell r="B1094">
            <v>44742</v>
          </cell>
          <cell r="C1094" t="str">
            <v>KAR-137</v>
          </cell>
          <cell r="D1094" t="str">
            <v>KARA</v>
          </cell>
          <cell r="E1094" t="str">
            <v>KARA-EST</v>
          </cell>
          <cell r="F1094" t="str">
            <v>FH</v>
          </cell>
          <cell r="G1094" t="str">
            <v>Grid-DG-Batt.</v>
          </cell>
          <cell r="H1094" t="str">
            <v>OK</v>
          </cell>
          <cell r="I1094" t="str">
            <v>NO</v>
          </cell>
          <cell r="J1094" t="str">
            <v>YES</v>
          </cell>
          <cell r="K1094" t="str">
            <v>BRONZE</v>
          </cell>
          <cell r="L1094" t="str">
            <v>rural</v>
          </cell>
          <cell r="M1094" t="str">
            <v>70996500</v>
          </cell>
          <cell r="N1094" t="str">
            <v>KARA EST</v>
          </cell>
        </row>
        <row r="1095">
          <cell r="A1095" t="str">
            <v>YAKEDJI</v>
          </cell>
          <cell r="B1095"/>
          <cell r="C1095" t="str">
            <v>KAR-092</v>
          </cell>
          <cell r="D1095" t="str">
            <v>KARA</v>
          </cell>
          <cell r="E1095" t="str">
            <v>KABOU</v>
          </cell>
          <cell r="F1095" t="str">
            <v>FH</v>
          </cell>
          <cell r="G1095" t="str">
            <v>DG-Solar-Batt.</v>
          </cell>
          <cell r="H1095" t="str">
            <v>OK</v>
          </cell>
          <cell r="I1095" t="str">
            <v>NO</v>
          </cell>
          <cell r="J1095" t="str">
            <v>NO</v>
          </cell>
          <cell r="K1095" t="str">
            <v>BRONZE</v>
          </cell>
          <cell r="L1095" t="str">
            <v>rural</v>
          </cell>
          <cell r="M1095" t="str">
            <v>70997229</v>
          </cell>
          <cell r="N1095" t="str">
            <v>KABOU</v>
          </cell>
        </row>
        <row r="1096">
          <cell r="A1096" t="str">
            <v>YAKLE</v>
          </cell>
          <cell r="B1096">
            <v>43720</v>
          </cell>
          <cell r="C1096" t="str">
            <v>KAR-097</v>
          </cell>
          <cell r="D1096" t="str">
            <v>KARA</v>
          </cell>
          <cell r="E1096" t="str">
            <v>KANTE</v>
          </cell>
          <cell r="F1096" t="str">
            <v>FH</v>
          </cell>
          <cell r="G1096" t="str">
            <v>DG-Solar-Batt.</v>
          </cell>
          <cell r="H1096" t="str">
            <v>OK</v>
          </cell>
          <cell r="I1096" t="str">
            <v>NO</v>
          </cell>
          <cell r="J1096" t="str">
            <v>NO</v>
          </cell>
          <cell r="K1096" t="str">
            <v>BRONZE</v>
          </cell>
          <cell r="L1096" t="str">
            <v>rural</v>
          </cell>
          <cell r="M1096" t="str">
            <v>70997230</v>
          </cell>
          <cell r="N1096" t="str">
            <v>KANTE</v>
          </cell>
        </row>
        <row r="1097">
          <cell r="A1097" t="str">
            <v>YALOUMBE</v>
          </cell>
          <cell r="B1097"/>
          <cell r="C1097" t="str">
            <v>CEN-069</v>
          </cell>
          <cell r="D1097" t="str">
            <v>CENTRALE</v>
          </cell>
          <cell r="E1097" t="str">
            <v>BLITTA</v>
          </cell>
          <cell r="F1097" t="str">
            <v>FO</v>
          </cell>
          <cell r="G1097" t="str">
            <v>Grid-DG-Batt.</v>
          </cell>
          <cell r="H1097" t="str">
            <v>OK</v>
          </cell>
          <cell r="I1097" t="str">
            <v>NO</v>
          </cell>
          <cell r="J1097" t="str">
            <v>NO</v>
          </cell>
          <cell r="K1097" t="str">
            <v>BRONZE</v>
          </cell>
          <cell r="L1097" t="str">
            <v>rural</v>
          </cell>
          <cell r="M1097" t="str">
            <v>70997231</v>
          </cell>
          <cell r="N1097" t="str">
            <v>BLITTA</v>
          </cell>
        </row>
        <row r="1098">
          <cell r="A1098" t="str">
            <v>YANDA</v>
          </cell>
          <cell r="B1098"/>
          <cell r="C1098" t="str">
            <v>PLA-038</v>
          </cell>
          <cell r="D1098" t="str">
            <v>CENTRALE</v>
          </cell>
          <cell r="E1098" t="str">
            <v>BLITTA</v>
          </cell>
          <cell r="F1098" t="str">
            <v>FH</v>
          </cell>
          <cell r="G1098" t="str">
            <v>DG-Solar-Batt.</v>
          </cell>
          <cell r="H1098" t="str">
            <v>OK</v>
          </cell>
          <cell r="I1098" t="str">
            <v>NO</v>
          </cell>
          <cell r="J1098" t="str">
            <v>NO</v>
          </cell>
          <cell r="K1098" t="str">
            <v>BRONZE</v>
          </cell>
          <cell r="L1098" t="str">
            <v>rural</v>
          </cell>
          <cell r="M1098" t="str">
            <v>70997232</v>
          </cell>
          <cell r="N1098" t="str">
            <v>ELAVAGNON</v>
          </cell>
        </row>
        <row r="1099">
          <cell r="A1099" t="str">
            <v>YEBOU-YEBOU-MOOV</v>
          </cell>
          <cell r="B1099">
            <v>45282</v>
          </cell>
          <cell r="C1099" t="str">
            <v>PLA-250</v>
          </cell>
          <cell r="D1099" t="str">
            <v>PLATEAUX</v>
          </cell>
          <cell r="E1099" t="str">
            <v>ATAKPAME-EST</v>
          </cell>
          <cell r="F1099" t="str">
            <v>FH</v>
          </cell>
          <cell r="G1099" t="str">
            <v>Grid-DG-Batt.</v>
          </cell>
          <cell r="H1099" t="str">
            <v>OK</v>
          </cell>
          <cell r="I1099" t="str">
            <v>NO</v>
          </cell>
          <cell r="J1099" t="str">
            <v>NO</v>
          </cell>
          <cell r="K1099" t="str">
            <v>BRONZE</v>
          </cell>
          <cell r="L1099" t="str">
            <v>Rural</v>
          </cell>
          <cell r="M1099">
            <v>0</v>
          </cell>
          <cell r="N1099" t="str">
            <v>ELAVAGNON</v>
          </cell>
        </row>
        <row r="1100">
          <cell r="A1100" t="str">
            <v>YEGUE</v>
          </cell>
          <cell r="B1100"/>
          <cell r="C1100" t="str">
            <v>CEN-078</v>
          </cell>
          <cell r="D1100" t="str">
            <v>CENTRALE</v>
          </cell>
          <cell r="E1100" t="str">
            <v>BLITTA</v>
          </cell>
          <cell r="F1100" t="str">
            <v>FH</v>
          </cell>
          <cell r="G1100" t="str">
            <v>Grid-DG-Solar-Batt.</v>
          </cell>
          <cell r="H1100" t="str">
            <v>OK</v>
          </cell>
          <cell r="I1100" t="str">
            <v>NO</v>
          </cell>
          <cell r="J1100" t="str">
            <v>NO</v>
          </cell>
          <cell r="K1100" t="str">
            <v>BRONZE</v>
          </cell>
          <cell r="L1100" t="str">
            <v>rural</v>
          </cell>
          <cell r="M1100" t="str">
            <v>70997233</v>
          </cell>
          <cell r="N1100" t="str">
            <v>BLITTA</v>
          </cell>
        </row>
        <row r="1101">
          <cell r="A1101" t="str">
            <v>YEMBOUATE</v>
          </cell>
          <cell r="B1101"/>
          <cell r="C1101" t="str">
            <v>SAV-020</v>
          </cell>
          <cell r="D1101" t="str">
            <v>SAVANES</v>
          </cell>
          <cell r="E1101" t="str">
            <v>DAPAONG 1</v>
          </cell>
          <cell r="F1101" t="str">
            <v>FH</v>
          </cell>
          <cell r="G1101" t="str">
            <v>Grid-DG-Solar-Batt.</v>
          </cell>
          <cell r="H1101" t="str">
            <v>NOK</v>
          </cell>
          <cell r="I1101" t="str">
            <v>NO</v>
          </cell>
          <cell r="J1101" t="str">
            <v>NO</v>
          </cell>
          <cell r="K1101" t="str">
            <v>SILVER</v>
          </cell>
          <cell r="L1101" t="str">
            <v>rural</v>
          </cell>
          <cell r="M1101" t="str">
            <v>70997234</v>
          </cell>
          <cell r="N1101" t="str">
            <v>DAPAONG</v>
          </cell>
        </row>
        <row r="1102">
          <cell r="A1102" t="str">
            <v>YOBO</v>
          </cell>
          <cell r="B1102">
            <v>44739</v>
          </cell>
          <cell r="C1102" t="str">
            <v>MAR-142</v>
          </cell>
          <cell r="D1102" t="str">
            <v>MARITIME</v>
          </cell>
          <cell r="E1102" t="str">
            <v>TSEVIE</v>
          </cell>
          <cell r="F1102" t="str">
            <v>FH</v>
          </cell>
          <cell r="G1102" t="str">
            <v>Grid-DG-Batt.</v>
          </cell>
          <cell r="H1102" t="str">
            <v>OK</v>
          </cell>
          <cell r="I1102" t="str">
            <v>NO</v>
          </cell>
          <cell r="J1102" t="str">
            <v>YES</v>
          </cell>
          <cell r="K1102" t="str">
            <v>BRONZE</v>
          </cell>
          <cell r="L1102" t="str">
            <v>rural</v>
          </cell>
          <cell r="M1102" t="str">
            <v>70996424</v>
          </cell>
          <cell r="N1102" t="str">
            <v>TSEVIE</v>
          </cell>
        </row>
        <row r="1103">
          <cell r="A1103" t="str">
            <v>YOKELE-MOOV</v>
          </cell>
          <cell r="B1103"/>
          <cell r="C1103" t="str">
            <v>PLA-024</v>
          </cell>
          <cell r="D1103" t="str">
            <v>MARITIME</v>
          </cell>
          <cell r="E1103" t="str">
            <v>KPALIME</v>
          </cell>
          <cell r="F1103" t="str">
            <v>FH</v>
          </cell>
          <cell r="G1103" t="str">
            <v>Grid-DG-Batt.</v>
          </cell>
          <cell r="H1103" t="str">
            <v>OK</v>
          </cell>
          <cell r="I1103" t="str">
            <v>NO</v>
          </cell>
          <cell r="J1103" t="str">
            <v>NO</v>
          </cell>
          <cell r="K1103" t="str">
            <v>BRONZE</v>
          </cell>
          <cell r="L1103" t="str">
            <v>Urbain</v>
          </cell>
          <cell r="M1103">
            <v>70997235</v>
          </cell>
          <cell r="N1103" t="str">
            <v>KPALIME</v>
          </cell>
        </row>
        <row r="1104">
          <cell r="A1104" t="str">
            <v>YOKOE</v>
          </cell>
          <cell r="B1104"/>
          <cell r="C1104" t="str">
            <v>LOM-081</v>
          </cell>
          <cell r="D1104" t="str">
            <v>LOME</v>
          </cell>
          <cell r="E1104" t="str">
            <v>LOME-OUEST 2</v>
          </cell>
          <cell r="F1104" t="str">
            <v>FO</v>
          </cell>
          <cell r="G1104" t="str">
            <v>Grid-DG-Batt.</v>
          </cell>
          <cell r="H1104" t="str">
            <v>OK</v>
          </cell>
          <cell r="I1104" t="str">
            <v>NO</v>
          </cell>
          <cell r="J1104" t="str">
            <v>NO</v>
          </cell>
          <cell r="K1104" t="str">
            <v>GOLD</v>
          </cell>
          <cell r="L1104" t="str">
            <v>Urbain</v>
          </cell>
          <cell r="M1104" t="str">
            <v>70997236</v>
          </cell>
          <cell r="N1104" t="str">
            <v>LOME OUEST2</v>
          </cell>
        </row>
        <row r="1105">
          <cell r="A1105" t="str">
            <v>YOKOE2</v>
          </cell>
          <cell r="B1105">
            <v>43440</v>
          </cell>
          <cell r="C1105" t="str">
            <v>LOM-230</v>
          </cell>
          <cell r="D1105" t="str">
            <v>LOME</v>
          </cell>
          <cell r="E1105" t="str">
            <v>LOME-OUEST 2</v>
          </cell>
          <cell r="F1105" t="str">
            <v>FH</v>
          </cell>
          <cell r="G1105" t="str">
            <v>Grid-Batt.</v>
          </cell>
          <cell r="H1105" t="str">
            <v>N/A</v>
          </cell>
          <cell r="I1105" t="str">
            <v>YES</v>
          </cell>
          <cell r="J1105" t="str">
            <v>NO</v>
          </cell>
          <cell r="K1105" t="str">
            <v>SILVER</v>
          </cell>
          <cell r="L1105" t="str">
            <v>Urbain</v>
          </cell>
          <cell r="M1105">
            <v>0</v>
          </cell>
          <cell r="N1105" t="str">
            <v>LOME OUEST2</v>
          </cell>
        </row>
        <row r="1106">
          <cell r="A1106" t="str">
            <v>YOKOE-KOPEGAN</v>
          </cell>
          <cell r="B1106">
            <v>44721</v>
          </cell>
          <cell r="C1106" t="str">
            <v>LOM-315</v>
          </cell>
          <cell r="D1106" t="str">
            <v>LOME</v>
          </cell>
          <cell r="E1106" t="str">
            <v>LOME-OUEST 2</v>
          </cell>
          <cell r="F1106" t="str">
            <v>FTTM</v>
          </cell>
          <cell r="G1106" t="str">
            <v>Grid-DG-Batt.</v>
          </cell>
          <cell r="H1106" t="str">
            <v>OK</v>
          </cell>
          <cell r="I1106" t="str">
            <v>NO</v>
          </cell>
          <cell r="J1106" t="str">
            <v>YES</v>
          </cell>
          <cell r="K1106" t="str">
            <v>SILVER</v>
          </cell>
          <cell r="L1106" t="str">
            <v>SubUrbain</v>
          </cell>
          <cell r="M1106" t="str">
            <v>70996425</v>
          </cell>
          <cell r="N1106" t="str">
            <v>LOME OUEST2</v>
          </cell>
        </row>
        <row r="1107">
          <cell r="A1107" t="str">
            <v>YOLOUM</v>
          </cell>
          <cell r="B1107"/>
          <cell r="C1107" t="str">
            <v>CEN-064</v>
          </cell>
          <cell r="D1107" t="str">
            <v>CENTRALE</v>
          </cell>
          <cell r="E1107" t="str">
            <v>BLITTA</v>
          </cell>
          <cell r="F1107" t="str">
            <v>FH</v>
          </cell>
          <cell r="G1107" t="str">
            <v>Grid-DG-Batt.</v>
          </cell>
          <cell r="H1107" t="str">
            <v>OK</v>
          </cell>
          <cell r="I1107" t="str">
            <v>NO</v>
          </cell>
          <cell r="J1107" t="str">
            <v>YES</v>
          </cell>
          <cell r="K1107" t="str">
            <v>BRONZE</v>
          </cell>
          <cell r="L1107" t="str">
            <v>rural</v>
          </cell>
          <cell r="M1107" t="str">
            <v>70997237</v>
          </cell>
          <cell r="N1107" t="str">
            <v>BLITTA</v>
          </cell>
        </row>
        <row r="1108">
          <cell r="A1108" t="str">
            <v>YOMETCHIN</v>
          </cell>
          <cell r="B1108">
            <v>45058</v>
          </cell>
          <cell r="C1108" t="str">
            <v>MAR-155</v>
          </cell>
          <cell r="D1108" t="str">
            <v>MARITIME</v>
          </cell>
          <cell r="E1108" t="str">
            <v>TSEVIE</v>
          </cell>
          <cell r="F1108" t="str">
            <v>FH</v>
          </cell>
          <cell r="G1108" t="str">
            <v>Grid-DG-Batt.</v>
          </cell>
          <cell r="H1108" t="str">
            <v>OK</v>
          </cell>
          <cell r="I1108" t="str">
            <v>NO</v>
          </cell>
          <cell r="J1108" t="str">
            <v>NO</v>
          </cell>
          <cell r="K1108" t="str">
            <v>BRONZE</v>
          </cell>
          <cell r="L1108" t="str">
            <v>rural</v>
          </cell>
          <cell r="M1108">
            <v>0</v>
          </cell>
          <cell r="N1108" t="str">
            <v>TSEVIE</v>
          </cell>
        </row>
        <row r="1109">
          <cell r="A1109" t="str">
            <v>YOTO-KOPE</v>
          </cell>
          <cell r="B1109">
            <v>43472</v>
          </cell>
          <cell r="C1109" t="str">
            <v>MAR-001</v>
          </cell>
          <cell r="D1109" t="str">
            <v>MARITIME</v>
          </cell>
          <cell r="E1109" t="str">
            <v>TSEVIE</v>
          </cell>
          <cell r="F1109" t="str">
            <v>FH</v>
          </cell>
          <cell r="G1109" t="str">
            <v>DG-Solar-Batt.</v>
          </cell>
          <cell r="H1109" t="str">
            <v>OK</v>
          </cell>
          <cell r="I1109" t="str">
            <v>NO</v>
          </cell>
          <cell r="J1109" t="str">
            <v>NO</v>
          </cell>
          <cell r="K1109" t="str">
            <v>BRONZE</v>
          </cell>
          <cell r="L1109" t="str">
            <v>rural</v>
          </cell>
          <cell r="M1109" t="str">
            <v>70997238</v>
          </cell>
          <cell r="N1109" t="str">
            <v>TSEVIE</v>
          </cell>
        </row>
        <row r="1110">
          <cell r="A1110" t="str">
            <v>YOVOKOME</v>
          </cell>
          <cell r="B1110">
            <v>45280</v>
          </cell>
          <cell r="C1110" t="str">
            <v>LOM-378</v>
          </cell>
          <cell r="D1110" t="str">
            <v>LOME</v>
          </cell>
          <cell r="E1110" t="str">
            <v>LOME-SUD</v>
          </cell>
          <cell r="F1110" t="str">
            <v>FH</v>
          </cell>
          <cell r="G1110" t="str">
            <v>Grid-DG-Batt.</v>
          </cell>
          <cell r="H1110" t="str">
            <v>OK</v>
          </cell>
          <cell r="I1110" t="str">
            <v>NO</v>
          </cell>
          <cell r="J1110">
            <v>0</v>
          </cell>
          <cell r="K1110" t="str">
            <v>SILVER</v>
          </cell>
          <cell r="L1110" t="str">
            <v>Urban</v>
          </cell>
          <cell r="M1110">
            <v>0</v>
          </cell>
          <cell r="N1110" t="str">
            <v>LOME SUD</v>
          </cell>
        </row>
        <row r="1111">
          <cell r="A1111" t="str">
            <v>ZAFI</v>
          </cell>
          <cell r="B1111">
            <v>43899</v>
          </cell>
          <cell r="C1111" t="str">
            <v>MAR-082</v>
          </cell>
          <cell r="D1111" t="str">
            <v>MARITIME</v>
          </cell>
          <cell r="E1111" t="str">
            <v>TSEVIE</v>
          </cell>
          <cell r="F1111" t="str">
            <v>FH</v>
          </cell>
          <cell r="G1111" t="str">
            <v>Grid-DG-Batt.</v>
          </cell>
          <cell r="H1111" t="str">
            <v>OK</v>
          </cell>
          <cell r="I1111" t="str">
            <v>NO</v>
          </cell>
          <cell r="J1111" t="str">
            <v>NO</v>
          </cell>
          <cell r="K1111" t="str">
            <v>BRONZE</v>
          </cell>
          <cell r="L1111" t="str">
            <v>rural</v>
          </cell>
          <cell r="M1111" t="str">
            <v>70997239</v>
          </cell>
          <cell r="N1111" t="str">
            <v>TSEVIE</v>
          </cell>
        </row>
        <row r="1112">
          <cell r="A1112" t="str">
            <v>ZANGUERA1</v>
          </cell>
          <cell r="B1112"/>
          <cell r="C1112" t="str">
            <v>LOM-062</v>
          </cell>
          <cell r="D1112" t="str">
            <v>LOME</v>
          </cell>
          <cell r="E1112" t="str">
            <v>LOME-OUEST 2</v>
          </cell>
          <cell r="F1112" t="str">
            <v>FO</v>
          </cell>
          <cell r="G1112" t="str">
            <v>Grid-DG-Batt.</v>
          </cell>
          <cell r="H1112" t="str">
            <v>NOK</v>
          </cell>
          <cell r="I1112" t="str">
            <v>YES</v>
          </cell>
          <cell r="J1112" t="str">
            <v>NO</v>
          </cell>
          <cell r="K1112" t="str">
            <v>GOLD</v>
          </cell>
          <cell r="L1112" t="str">
            <v>Urbain</v>
          </cell>
          <cell r="M1112" t="str">
            <v>70996447</v>
          </cell>
          <cell r="N1112" t="str">
            <v>LOME OUEST2</v>
          </cell>
        </row>
        <row r="1113">
          <cell r="A1113" t="str">
            <v>ZANGUERA2</v>
          </cell>
          <cell r="B1113"/>
          <cell r="C1113" t="str">
            <v>LOM-053</v>
          </cell>
          <cell r="D1113" t="str">
            <v>LOME</v>
          </cell>
          <cell r="E1113" t="str">
            <v>LOME-OUEST 1</v>
          </cell>
          <cell r="F1113" t="str">
            <v>FO</v>
          </cell>
          <cell r="G1113" t="str">
            <v>Grid-DG-Batt.</v>
          </cell>
          <cell r="H1113" t="str">
            <v>OK</v>
          </cell>
          <cell r="I1113" t="str">
            <v>NO</v>
          </cell>
          <cell r="J1113" t="str">
            <v>NO</v>
          </cell>
          <cell r="K1113" t="str">
            <v>GOLD</v>
          </cell>
          <cell r="L1113" t="str">
            <v>Urbain</v>
          </cell>
          <cell r="M1113" t="str">
            <v>70997240</v>
          </cell>
          <cell r="N1113" t="str">
            <v>LOME OUEST1</v>
          </cell>
        </row>
        <row r="1114">
          <cell r="A1114" t="str">
            <v>ZANGUERA3</v>
          </cell>
          <cell r="B1114">
            <v>44595</v>
          </cell>
          <cell r="C1114" t="str">
            <v>LOM-316</v>
          </cell>
          <cell r="D1114" t="str">
            <v>LOME</v>
          </cell>
          <cell r="E1114" t="str">
            <v>LOME-OUEST 1</v>
          </cell>
          <cell r="F1114" t="str">
            <v>FTTM</v>
          </cell>
          <cell r="G1114" t="str">
            <v>Grid-DG-Batt.</v>
          </cell>
          <cell r="H1114" t="str">
            <v>N/A</v>
          </cell>
          <cell r="I1114" t="str">
            <v>NO</v>
          </cell>
          <cell r="J1114" t="e">
            <v>#N/A</v>
          </cell>
          <cell r="K1114" t="str">
            <v>SILVER</v>
          </cell>
          <cell r="L1114" t="str">
            <v>SubUrbain</v>
          </cell>
          <cell r="M1114" t="str">
            <v>70996418</v>
          </cell>
          <cell r="N1114" t="str">
            <v>LOME-OUEST1</v>
          </cell>
        </row>
        <row r="1115">
          <cell r="A1115" t="str">
            <v>ZANGUERA-MOOV</v>
          </cell>
          <cell r="B1115">
            <v>43145</v>
          </cell>
          <cell r="C1115" t="str">
            <v>LOM-054</v>
          </cell>
          <cell r="D1115" t="str">
            <v>LOME</v>
          </cell>
          <cell r="E1115" t="str">
            <v>LOME-OUEST 1</v>
          </cell>
          <cell r="F1115" t="str">
            <v>FH</v>
          </cell>
          <cell r="G1115" t="str">
            <v>Grid-DG-Batt.</v>
          </cell>
          <cell r="H1115" t="str">
            <v>OK</v>
          </cell>
          <cell r="I1115" t="str">
            <v>YES</v>
          </cell>
          <cell r="J1115" t="str">
            <v>NO</v>
          </cell>
          <cell r="K1115" t="str">
            <v>GOLD</v>
          </cell>
          <cell r="L1115" t="str">
            <v>Urbain</v>
          </cell>
          <cell r="M1115">
            <v>0</v>
          </cell>
          <cell r="N1115" t="str">
            <v>LOME OUEST1</v>
          </cell>
        </row>
        <row r="1116">
          <cell r="A1116" t="str">
            <v>ZANGUERA-PEAGE</v>
          </cell>
          <cell r="B1116"/>
          <cell r="C1116" t="str">
            <v>LOM-055</v>
          </cell>
          <cell r="D1116" t="str">
            <v>LOME</v>
          </cell>
          <cell r="E1116" t="str">
            <v>LOME-OUEST 1</v>
          </cell>
          <cell r="F1116" t="str">
            <v>FO</v>
          </cell>
          <cell r="G1116" t="str">
            <v>Grid-DG-Batt.</v>
          </cell>
          <cell r="H1116" t="str">
            <v>OK</v>
          </cell>
          <cell r="I1116" t="str">
            <v>NO</v>
          </cell>
          <cell r="J1116" t="str">
            <v>NO</v>
          </cell>
          <cell r="K1116" t="str">
            <v>SILVER</v>
          </cell>
          <cell r="L1116" t="str">
            <v>Urbain</v>
          </cell>
          <cell r="M1116" t="str">
            <v>70997241</v>
          </cell>
          <cell r="N1116" t="str">
            <v>LOME OUEST1</v>
          </cell>
        </row>
        <row r="1117">
          <cell r="A1117" t="str">
            <v>ZEGLE</v>
          </cell>
          <cell r="B1117">
            <v>44016</v>
          </cell>
          <cell r="C1117" t="str">
            <v>MAR-084</v>
          </cell>
          <cell r="D1117" t="str">
            <v>MARITIME</v>
          </cell>
          <cell r="E1117" t="str">
            <v>TSEVIE</v>
          </cell>
          <cell r="F1117" t="str">
            <v>FH</v>
          </cell>
          <cell r="G1117" t="str">
            <v>Grid-DG-Batt.</v>
          </cell>
          <cell r="H1117" t="str">
            <v>OK</v>
          </cell>
          <cell r="I1117" t="str">
            <v>NO</v>
          </cell>
          <cell r="J1117" t="str">
            <v>NO</v>
          </cell>
          <cell r="K1117" t="str">
            <v>SILVER</v>
          </cell>
          <cell r="L1117" t="str">
            <v>Urbain</v>
          </cell>
          <cell r="M1117" t="str">
            <v>70997242</v>
          </cell>
          <cell r="N1117" t="str">
            <v>TSEVIE</v>
          </cell>
        </row>
        <row r="1118">
          <cell r="A1118" t="str">
            <v>ZIWONOU</v>
          </cell>
          <cell r="B1118"/>
          <cell r="C1118" t="str">
            <v>PLA-066</v>
          </cell>
          <cell r="D1118" t="str">
            <v>MARITIME</v>
          </cell>
          <cell r="E1118" t="str">
            <v>KPALIME</v>
          </cell>
          <cell r="F1118" t="str">
            <v>FH</v>
          </cell>
          <cell r="G1118" t="str">
            <v>DG-Solar-Batt.</v>
          </cell>
          <cell r="H1118" t="str">
            <v>OK</v>
          </cell>
          <cell r="I1118" t="str">
            <v>NO</v>
          </cell>
          <cell r="J1118" t="str">
            <v>NO</v>
          </cell>
          <cell r="K1118" t="str">
            <v>BRONZE</v>
          </cell>
          <cell r="L1118" t="str">
            <v>rural</v>
          </cell>
          <cell r="M1118" t="str">
            <v>70997243</v>
          </cell>
          <cell r="N1118" t="str">
            <v>KPALIME</v>
          </cell>
        </row>
        <row r="1119">
          <cell r="A1119" t="str">
            <v>ZOGBEDJI</v>
          </cell>
          <cell r="B1119"/>
          <cell r="C1119" t="str">
            <v>LOM-004</v>
          </cell>
          <cell r="D1119" t="str">
            <v>LOME</v>
          </cell>
          <cell r="E1119" t="str">
            <v>LOME-CENTRE</v>
          </cell>
          <cell r="F1119" t="str">
            <v>FH</v>
          </cell>
          <cell r="G1119" t="str">
            <v>Grid-DG-Batt.</v>
          </cell>
          <cell r="H1119" t="str">
            <v>OK</v>
          </cell>
          <cell r="I1119" t="str">
            <v>NO</v>
          </cell>
          <cell r="J1119" t="str">
            <v>NO</v>
          </cell>
          <cell r="K1119" t="str">
            <v>GOLD</v>
          </cell>
          <cell r="L1119" t="str">
            <v>Urbain</v>
          </cell>
          <cell r="M1119" t="str">
            <v>70997244</v>
          </cell>
          <cell r="N1119" t="str">
            <v>LOME CENTRE</v>
          </cell>
        </row>
        <row r="1120">
          <cell r="A1120" t="str">
            <v>ZOGBEGAN</v>
          </cell>
          <cell r="B1120"/>
          <cell r="C1120" t="str">
            <v>PLA-076</v>
          </cell>
          <cell r="D1120" t="str">
            <v>PLATEAUX</v>
          </cell>
          <cell r="E1120" t="str">
            <v>BADOU</v>
          </cell>
          <cell r="F1120" t="str">
            <v>FH</v>
          </cell>
          <cell r="G1120" t="str">
            <v>Grid-DG-Batt.</v>
          </cell>
          <cell r="H1120" t="str">
            <v>OK</v>
          </cell>
          <cell r="I1120" t="str">
            <v>NO</v>
          </cell>
          <cell r="J1120" t="str">
            <v>NO</v>
          </cell>
          <cell r="K1120" t="str">
            <v>SILVER</v>
          </cell>
          <cell r="L1120" t="str">
            <v>rural</v>
          </cell>
          <cell r="M1120" t="str">
            <v>70997245</v>
          </cell>
          <cell r="N1120" t="str">
            <v>BADOU</v>
          </cell>
        </row>
        <row r="1121">
          <cell r="A1121" t="str">
            <v>ZOMAI-MOOV</v>
          </cell>
          <cell r="B1121"/>
          <cell r="C1121" t="str">
            <v>PLA-025</v>
          </cell>
          <cell r="D1121" t="str">
            <v>MARITIME</v>
          </cell>
          <cell r="E1121" t="str">
            <v>KPALIME</v>
          </cell>
          <cell r="F1121" t="str">
            <v>FH</v>
          </cell>
          <cell r="G1121" t="str">
            <v>Grid-DG-Batt.</v>
          </cell>
          <cell r="H1121" t="str">
            <v>NOK</v>
          </cell>
          <cell r="I1121" t="str">
            <v>NO</v>
          </cell>
          <cell r="J1121" t="str">
            <v>NO</v>
          </cell>
          <cell r="K1121" t="str">
            <v>BRONZE</v>
          </cell>
          <cell r="L1121" t="str">
            <v>Urbain</v>
          </cell>
          <cell r="M1121">
            <v>70997246</v>
          </cell>
          <cell r="N1121" t="str">
            <v>KPALIME</v>
          </cell>
        </row>
        <row r="1122">
          <cell r="A1122" t="str">
            <v>ZONGO1</v>
          </cell>
          <cell r="B1122"/>
          <cell r="C1122" t="str">
            <v>LOM-031</v>
          </cell>
          <cell r="D1122" t="str">
            <v>LOME</v>
          </cell>
          <cell r="E1122" t="str">
            <v>LOME-NORD</v>
          </cell>
          <cell r="F1122" t="str">
            <v>FO</v>
          </cell>
          <cell r="G1122" t="str">
            <v>Grid-DG-Batt.</v>
          </cell>
          <cell r="H1122" t="str">
            <v>OK</v>
          </cell>
          <cell r="I1122" t="str">
            <v>YES</v>
          </cell>
          <cell r="J1122" t="str">
            <v>NO</v>
          </cell>
          <cell r="K1122" t="str">
            <v>GOLD</v>
          </cell>
          <cell r="L1122" t="str">
            <v>Urbain</v>
          </cell>
          <cell r="M1122" t="str">
            <v>70997247</v>
          </cell>
          <cell r="N1122" t="str">
            <v>LOME NORD</v>
          </cell>
        </row>
        <row r="1123">
          <cell r="A1123" t="str">
            <v>ZONGO2</v>
          </cell>
          <cell r="B1123"/>
          <cell r="C1123" t="str">
            <v>LOM-032</v>
          </cell>
          <cell r="D1123" t="str">
            <v>LOME</v>
          </cell>
          <cell r="E1123" t="str">
            <v>LOME-OUEST 1</v>
          </cell>
          <cell r="F1123" t="str">
            <v>FO</v>
          </cell>
          <cell r="G1123" t="str">
            <v>Grid-DG-Batt.</v>
          </cell>
          <cell r="H1123" t="str">
            <v>NOK</v>
          </cell>
          <cell r="I1123" t="str">
            <v>NO</v>
          </cell>
          <cell r="J1123" t="str">
            <v>NO</v>
          </cell>
          <cell r="K1123" t="str">
            <v>GOLD</v>
          </cell>
          <cell r="L1123" t="str">
            <v>Urbain</v>
          </cell>
          <cell r="M1123" t="str">
            <v>70997248</v>
          </cell>
          <cell r="N1123" t="str">
            <v>LOME OUEST1</v>
          </cell>
        </row>
        <row r="1124">
          <cell r="A1124" t="str">
            <v>ZONGO3</v>
          </cell>
          <cell r="B1124">
            <v>44543</v>
          </cell>
          <cell r="C1124" t="str">
            <v>LOM-284</v>
          </cell>
          <cell r="D1124" t="str">
            <v>LOME</v>
          </cell>
          <cell r="E1124" t="str">
            <v>LOME-OUEST 1</v>
          </cell>
          <cell r="F1124" t="str">
            <v>FH</v>
          </cell>
          <cell r="G1124" t="str">
            <v>Grid-DG-Batt.</v>
          </cell>
          <cell r="H1124" t="str">
            <v>OK</v>
          </cell>
          <cell r="I1124" t="str">
            <v>NO</v>
          </cell>
          <cell r="J1124" t="str">
            <v>YES</v>
          </cell>
          <cell r="K1124" t="str">
            <v>SILVER</v>
          </cell>
          <cell r="L1124" t="str">
            <v>Urbain</v>
          </cell>
          <cell r="M1124">
            <v>0</v>
          </cell>
          <cell r="N1124" t="str">
            <v>LOME OUEST1</v>
          </cell>
        </row>
        <row r="1125">
          <cell r="A1125" t="str">
            <v>ZOOTI</v>
          </cell>
          <cell r="B1125">
            <v>43791</v>
          </cell>
          <cell r="C1125" t="str">
            <v>MAR-071</v>
          </cell>
          <cell r="D1125" t="str">
            <v>MARITIME</v>
          </cell>
          <cell r="E1125" t="str">
            <v>ANEHO</v>
          </cell>
          <cell r="F1125" t="str">
            <v>FH</v>
          </cell>
          <cell r="G1125" t="str">
            <v>DG-Solar-Batt.</v>
          </cell>
          <cell r="H1125" t="str">
            <v>NOK</v>
          </cell>
          <cell r="I1125" t="str">
            <v>NO</v>
          </cell>
          <cell r="J1125" t="str">
            <v>NO</v>
          </cell>
          <cell r="K1125" t="str">
            <v>BRONZE</v>
          </cell>
          <cell r="L1125" t="str">
            <v>rural</v>
          </cell>
          <cell r="M1125" t="str">
            <v>70997249</v>
          </cell>
          <cell r="N1125" t="str">
            <v>ANEHO</v>
          </cell>
        </row>
        <row r="1126">
          <cell r="A1126" t="str">
            <v>ZOPOMAHE</v>
          </cell>
          <cell r="B1126">
            <v>44601</v>
          </cell>
          <cell r="C1126" t="str">
            <v>LOM-317</v>
          </cell>
          <cell r="D1126" t="str">
            <v>LOME</v>
          </cell>
          <cell r="E1126" t="str">
            <v>LOME-OUEST 1</v>
          </cell>
          <cell r="F1126" t="str">
            <v>FTTM</v>
          </cell>
          <cell r="G1126" t="str">
            <v>Grid-DG-Batt.</v>
          </cell>
          <cell r="H1126" t="str">
            <v>N/A</v>
          </cell>
          <cell r="I1126" t="str">
            <v>NO</v>
          </cell>
          <cell r="J1126" t="e">
            <v>#N/A</v>
          </cell>
          <cell r="K1126" t="str">
            <v>SILVER</v>
          </cell>
          <cell r="L1126" t="str">
            <v>SubUrbain</v>
          </cell>
          <cell r="M1126">
            <v>93949046</v>
          </cell>
          <cell r="N1126" t="str">
            <v>LOME-OUEST1</v>
          </cell>
        </row>
        <row r="1127">
          <cell r="A1127" t="str">
            <v>ZOSSIME</v>
          </cell>
          <cell r="B1127"/>
          <cell r="C1127" t="str">
            <v>LOM-056</v>
          </cell>
          <cell r="D1127" t="str">
            <v>LOME</v>
          </cell>
          <cell r="E1127" t="str">
            <v>LOME-OUEST 1</v>
          </cell>
          <cell r="F1127" t="str">
            <v>FO</v>
          </cell>
          <cell r="G1127" t="str">
            <v>Grid-DG-Batt.</v>
          </cell>
          <cell r="H1127" t="str">
            <v>OK</v>
          </cell>
          <cell r="I1127" t="str">
            <v>NO</v>
          </cell>
          <cell r="J1127" t="str">
            <v>NO</v>
          </cell>
          <cell r="K1127" t="str">
            <v>GOLD</v>
          </cell>
          <cell r="L1127" t="str">
            <v>Urbain</v>
          </cell>
          <cell r="M1127">
            <v>0</v>
          </cell>
          <cell r="N1127" t="str">
            <v>LOME OUEST1</v>
          </cell>
        </row>
        <row r="1131">
          <cell r="G1131" t="str">
            <v xml:space="preserve">  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</sheetNames>
    <sheetDataSet>
      <sheetData sheetId="0">
        <row r="1">
          <cell r="A1" t="str">
            <v>Société</v>
          </cell>
          <cell r="B1" t="str">
            <v>ID</v>
          </cell>
          <cell r="C1" t="str">
            <v>Région</v>
          </cell>
          <cell r="D1" t="str">
            <v>Site Name</v>
          </cell>
          <cell r="E1" t="str">
            <v>Contact 
du site</v>
          </cell>
          <cell r="F1" t="str">
            <v>Type d'appareil</v>
          </cell>
          <cell r="G1" t="str">
            <v>Date d'appel</v>
          </cell>
          <cell r="H1" t="str">
            <v>1er appel</v>
          </cell>
          <cell r="I1" t="str">
            <v>2e appel 
(10 min après le 1er)</v>
          </cell>
          <cell r="J1" t="str">
            <v>3e appel 
(10 min après le 2e)</v>
          </cell>
          <cell r="K1" t="str">
            <v>Heure d'appel</v>
          </cell>
          <cell r="L1" t="str">
            <v>Observation de l'appelant
(Gardien considéré comme absent du site 
après le 3e appel donc après 20 min)</v>
          </cell>
          <cell r="M1" t="str">
            <v>Observations</v>
          </cell>
        </row>
        <row r="2">
          <cell r="A2" t="str">
            <v>MRG</v>
          </cell>
          <cell r="B2" t="str">
            <v>LOM-169</v>
          </cell>
          <cell r="C2" t="str">
            <v>LOME</v>
          </cell>
          <cell r="D2" t="str">
            <v>ABLOGAME</v>
          </cell>
          <cell r="E2">
            <v>70996518</v>
          </cell>
          <cell r="F2" t="str">
            <v>2G</v>
          </cell>
          <cell r="G2"/>
          <cell r="H2"/>
          <cell r="I2"/>
          <cell r="J2"/>
          <cell r="K2"/>
          <cell r="L2"/>
          <cell r="M2"/>
        </row>
        <row r="3">
          <cell r="A3" t="str">
            <v>MRG</v>
          </cell>
          <cell r="B3"/>
          <cell r="C3" t="str">
            <v>LOME</v>
          </cell>
          <cell r="D3" t="str">
            <v>ABLOGAME E-GOUV</v>
          </cell>
          <cell r="E3">
            <v>70997328</v>
          </cell>
          <cell r="F3" t="str">
            <v>2G</v>
          </cell>
          <cell r="G3"/>
          <cell r="H3"/>
          <cell r="I3"/>
          <cell r="J3"/>
          <cell r="K3"/>
          <cell r="L3"/>
          <cell r="M3"/>
        </row>
        <row r="4">
          <cell r="A4" t="str">
            <v>MRG</v>
          </cell>
          <cell r="B4" t="str">
            <v>PLA-208</v>
          </cell>
          <cell r="C4" t="str">
            <v>PLATEAUX</v>
          </cell>
          <cell r="D4" t="str">
            <v>ABOTCHI</v>
          </cell>
          <cell r="E4">
            <v>70997361</v>
          </cell>
          <cell r="F4" t="str">
            <v>Android</v>
          </cell>
          <cell r="G4"/>
          <cell r="H4"/>
          <cell r="I4"/>
          <cell r="J4"/>
          <cell r="K4"/>
          <cell r="L4"/>
          <cell r="M4"/>
        </row>
        <row r="5">
          <cell r="A5" t="str">
            <v>MRG</v>
          </cell>
          <cell r="B5"/>
          <cell r="C5" t="str">
            <v>PLATEAUX</v>
          </cell>
          <cell r="D5" t="str">
            <v>ABOTCHI KOPE</v>
          </cell>
          <cell r="E5">
            <v>70997360</v>
          </cell>
          <cell r="F5" t="str">
            <v>2G</v>
          </cell>
          <cell r="G5"/>
          <cell r="H5"/>
          <cell r="I5"/>
          <cell r="J5"/>
          <cell r="K5"/>
          <cell r="L5"/>
          <cell r="M5"/>
        </row>
        <row r="6">
          <cell r="A6" t="str">
            <v>MRG</v>
          </cell>
          <cell r="B6" t="str">
            <v>LOM-184</v>
          </cell>
          <cell r="C6" t="str">
            <v>LOME</v>
          </cell>
          <cell r="D6" t="str">
            <v>ADAKPAME</v>
          </cell>
          <cell r="E6">
            <v>70996543</v>
          </cell>
          <cell r="F6" t="str">
            <v>2G</v>
          </cell>
          <cell r="G6"/>
          <cell r="H6"/>
          <cell r="I6"/>
          <cell r="J6"/>
          <cell r="K6"/>
          <cell r="L6"/>
          <cell r="M6"/>
        </row>
        <row r="7">
          <cell r="A7" t="str">
            <v>MRG</v>
          </cell>
          <cell r="B7"/>
          <cell r="C7"/>
          <cell r="D7" t="str">
            <v>ADAKPAME 1</v>
          </cell>
          <cell r="E7"/>
          <cell r="F7"/>
          <cell r="G7"/>
          <cell r="H7"/>
          <cell r="I7"/>
          <cell r="J7"/>
          <cell r="K7"/>
          <cell r="L7"/>
          <cell r="M7"/>
        </row>
        <row r="8">
          <cell r="A8" t="str">
            <v>MRG</v>
          </cell>
          <cell r="B8"/>
          <cell r="C8"/>
          <cell r="D8" t="str">
            <v>ADAKPAME 2</v>
          </cell>
          <cell r="E8"/>
          <cell r="F8"/>
          <cell r="G8"/>
          <cell r="H8"/>
          <cell r="I8"/>
          <cell r="J8"/>
          <cell r="K8"/>
          <cell r="L8"/>
          <cell r="M8"/>
        </row>
        <row r="9">
          <cell r="A9" t="str">
            <v>MRG</v>
          </cell>
          <cell r="B9" t="str">
            <v>LOM-291</v>
          </cell>
          <cell r="C9" t="str">
            <v>LOME</v>
          </cell>
          <cell r="D9" t="str">
            <v>Adakpamé 2</v>
          </cell>
          <cell r="E9">
            <v>70996449</v>
          </cell>
          <cell r="F9" t="str">
            <v>2G</v>
          </cell>
          <cell r="G9"/>
          <cell r="H9"/>
          <cell r="I9"/>
          <cell r="J9"/>
          <cell r="K9"/>
          <cell r="L9"/>
          <cell r="M9"/>
        </row>
        <row r="10">
          <cell r="A10" t="str">
            <v>MRG</v>
          </cell>
          <cell r="B10" t="str">
            <v>LOM-176</v>
          </cell>
          <cell r="C10" t="str">
            <v>LOME</v>
          </cell>
          <cell r="D10" t="str">
            <v>ADAMAVO</v>
          </cell>
          <cell r="E10">
            <v>70996519</v>
          </cell>
          <cell r="F10" t="str">
            <v>2G</v>
          </cell>
          <cell r="G10"/>
          <cell r="H10"/>
          <cell r="I10"/>
          <cell r="J10"/>
          <cell r="K10"/>
          <cell r="L10"/>
          <cell r="M10"/>
        </row>
        <row r="11">
          <cell r="A11" t="str">
            <v>MRG</v>
          </cell>
          <cell r="B11"/>
          <cell r="C11"/>
          <cell r="D11" t="str">
            <v xml:space="preserve">ADAMAVO </v>
          </cell>
          <cell r="E11"/>
          <cell r="F11"/>
          <cell r="G11"/>
          <cell r="H11"/>
          <cell r="I11"/>
          <cell r="J11"/>
          <cell r="K11"/>
          <cell r="L11"/>
          <cell r="M11"/>
        </row>
        <row r="12">
          <cell r="A12" t="str">
            <v>MRG</v>
          </cell>
          <cell r="B12" t="str">
            <v>LOM-185</v>
          </cell>
          <cell r="C12" t="str">
            <v>LOME</v>
          </cell>
          <cell r="D12" t="str">
            <v>ADAMAVO 2</v>
          </cell>
          <cell r="E12">
            <v>70996544</v>
          </cell>
          <cell r="F12" t="str">
            <v>Android</v>
          </cell>
          <cell r="G12"/>
          <cell r="H12"/>
          <cell r="I12"/>
          <cell r="J12"/>
          <cell r="K12"/>
          <cell r="L12"/>
          <cell r="M12"/>
        </row>
        <row r="13">
          <cell r="A13" t="str">
            <v>MRG</v>
          </cell>
          <cell r="B13" t="str">
            <v>LOM-177</v>
          </cell>
          <cell r="C13" t="str">
            <v>LOME</v>
          </cell>
          <cell r="D13" t="str">
            <v>ADAMAVO 3</v>
          </cell>
          <cell r="E13">
            <v>70996545</v>
          </cell>
          <cell r="F13" t="str">
            <v>2G</v>
          </cell>
          <cell r="G13"/>
          <cell r="H13"/>
          <cell r="I13"/>
          <cell r="J13"/>
          <cell r="K13"/>
          <cell r="L13"/>
          <cell r="M13"/>
        </row>
        <row r="14">
          <cell r="A14" t="str">
            <v>MRG</v>
          </cell>
          <cell r="B14" t="str">
            <v>LOM-331</v>
          </cell>
          <cell r="C14" t="str">
            <v>LOME</v>
          </cell>
          <cell r="D14" t="str">
            <v>ADAMAVO 4</v>
          </cell>
          <cell r="E14">
            <v>70997309</v>
          </cell>
          <cell r="F14" t="str">
            <v>2G</v>
          </cell>
          <cell r="G14"/>
          <cell r="H14"/>
          <cell r="I14"/>
          <cell r="J14"/>
          <cell r="K14"/>
          <cell r="L14"/>
          <cell r="M14"/>
        </row>
        <row r="15">
          <cell r="A15" t="str">
            <v>EASY CONCEPT</v>
          </cell>
          <cell r="B15" t="str">
            <v>PLA-128</v>
          </cell>
          <cell r="C15" t="str">
            <v>PLATEAUX</v>
          </cell>
          <cell r="D15" t="str">
            <v>ADANKA</v>
          </cell>
          <cell r="E15">
            <v>70996546</v>
          </cell>
          <cell r="F15" t="str">
            <v>2G</v>
          </cell>
          <cell r="G15"/>
          <cell r="H15"/>
          <cell r="I15"/>
          <cell r="J15"/>
          <cell r="K15"/>
          <cell r="L15"/>
          <cell r="M15"/>
        </row>
        <row r="16">
          <cell r="A16" t="str">
            <v>MRG</v>
          </cell>
          <cell r="B16" t="str">
            <v>PLA-189</v>
          </cell>
          <cell r="C16" t="str">
            <v>PLATEAUX</v>
          </cell>
          <cell r="D16" t="str">
            <v>ADANYIHOHOE</v>
          </cell>
          <cell r="E16">
            <v>70996404</v>
          </cell>
          <cell r="F16" t="str">
            <v>Android</v>
          </cell>
          <cell r="G16"/>
          <cell r="H16"/>
          <cell r="I16"/>
          <cell r="J16"/>
          <cell r="K16"/>
          <cell r="L16"/>
          <cell r="M16"/>
        </row>
        <row r="17">
          <cell r="A17" t="str">
            <v>MRG</v>
          </cell>
          <cell r="B17" t="str">
            <v>LOM-147</v>
          </cell>
          <cell r="C17" t="str">
            <v>LOME</v>
          </cell>
          <cell r="D17" t="str">
            <v>ADAWLATO 3</v>
          </cell>
          <cell r="E17">
            <v>70996547</v>
          </cell>
          <cell r="F17" t="str">
            <v>2G</v>
          </cell>
          <cell r="G17"/>
          <cell r="H17"/>
          <cell r="I17"/>
          <cell r="J17"/>
          <cell r="K17"/>
          <cell r="L17"/>
          <cell r="M17"/>
        </row>
        <row r="18">
          <cell r="A18" t="str">
            <v>MRG</v>
          </cell>
          <cell r="B18" t="str">
            <v>KAR-100</v>
          </cell>
          <cell r="C18" t="str">
            <v>KARA</v>
          </cell>
          <cell r="D18" t="str">
            <v>ADELO</v>
          </cell>
          <cell r="E18">
            <v>70996548</v>
          </cell>
          <cell r="F18" t="str">
            <v>Android</v>
          </cell>
          <cell r="G18"/>
          <cell r="H18"/>
          <cell r="I18"/>
          <cell r="J18"/>
          <cell r="K18"/>
          <cell r="L18"/>
          <cell r="M18"/>
        </row>
        <row r="19">
          <cell r="A19" t="str">
            <v>MRG</v>
          </cell>
          <cell r="B19" t="str">
            <v>PLA-061</v>
          </cell>
          <cell r="C19" t="str">
            <v>PLATEAUX</v>
          </cell>
          <cell r="D19" t="str">
            <v>ADETA</v>
          </cell>
          <cell r="E19">
            <v>70996549</v>
          </cell>
          <cell r="F19" t="str">
            <v>2G</v>
          </cell>
          <cell r="G19"/>
          <cell r="H19"/>
          <cell r="I19"/>
          <cell r="J19"/>
          <cell r="K19"/>
          <cell r="L19"/>
          <cell r="M19"/>
        </row>
        <row r="20">
          <cell r="A20" t="str">
            <v>MRG</v>
          </cell>
          <cell r="B20"/>
          <cell r="C20" t="str">
            <v>PLATEAUX</v>
          </cell>
          <cell r="D20" t="str">
            <v>ADETA2</v>
          </cell>
          <cell r="E20">
            <v>70997362</v>
          </cell>
          <cell r="F20" t="str">
            <v>2G</v>
          </cell>
          <cell r="G20"/>
          <cell r="H20"/>
          <cell r="I20"/>
          <cell r="J20"/>
          <cell r="K20"/>
          <cell r="L20"/>
          <cell r="M20"/>
        </row>
        <row r="21">
          <cell r="A21" t="str">
            <v>MRG</v>
          </cell>
          <cell r="B21" t="str">
            <v>LOM-002</v>
          </cell>
          <cell r="C21" t="str">
            <v>LOME</v>
          </cell>
          <cell r="D21" t="str">
            <v>ADETICOPE 1</v>
          </cell>
          <cell r="E21">
            <v>70997317</v>
          </cell>
          <cell r="F21" t="str">
            <v>2G</v>
          </cell>
          <cell r="G21"/>
          <cell r="H21"/>
          <cell r="I21"/>
          <cell r="J21"/>
          <cell r="K21"/>
          <cell r="L21"/>
          <cell r="M21"/>
        </row>
        <row r="22">
          <cell r="A22" t="str">
            <v>MRG</v>
          </cell>
          <cell r="B22" t="str">
            <v>LOM-002</v>
          </cell>
          <cell r="C22" t="str">
            <v>LOME</v>
          </cell>
          <cell r="D22" t="str">
            <v>ADETICOPE 1</v>
          </cell>
          <cell r="E22">
            <v>70996520</v>
          </cell>
          <cell r="F22" t="str">
            <v>2G</v>
          </cell>
          <cell r="G22"/>
          <cell r="H22"/>
          <cell r="I22"/>
          <cell r="J22"/>
          <cell r="K22"/>
          <cell r="L22"/>
          <cell r="M22"/>
        </row>
        <row r="23">
          <cell r="A23" t="str">
            <v>MRG</v>
          </cell>
          <cell r="B23" t="str">
            <v>LOM-021</v>
          </cell>
          <cell r="C23" t="str">
            <v>LOME</v>
          </cell>
          <cell r="D23" t="str">
            <v>ADETICOPE 2</v>
          </cell>
          <cell r="E23">
            <v>70996550</v>
          </cell>
          <cell r="F23" t="str">
            <v>2G</v>
          </cell>
          <cell r="G23"/>
          <cell r="H23"/>
          <cell r="I23"/>
          <cell r="J23"/>
          <cell r="K23"/>
          <cell r="L23"/>
          <cell r="M23"/>
        </row>
        <row r="24">
          <cell r="A24" t="str">
            <v>MRG</v>
          </cell>
          <cell r="B24" t="str">
            <v>LOM-211</v>
          </cell>
          <cell r="C24" t="str">
            <v>LOME</v>
          </cell>
          <cell r="D24" t="str">
            <v>ADETICOPE 3</v>
          </cell>
          <cell r="E24">
            <v>70996551</v>
          </cell>
          <cell r="F24" t="str">
            <v>2G</v>
          </cell>
          <cell r="G24"/>
          <cell r="H24"/>
          <cell r="I24"/>
          <cell r="J24"/>
          <cell r="K24"/>
          <cell r="L24"/>
          <cell r="M24"/>
        </row>
        <row r="25">
          <cell r="A25" t="str">
            <v>MRG</v>
          </cell>
          <cell r="B25"/>
          <cell r="C25" t="str">
            <v>LOME</v>
          </cell>
          <cell r="D25" t="str">
            <v>ADETICOPE 4</v>
          </cell>
          <cell r="E25">
            <v>70996552</v>
          </cell>
          <cell r="F25" t="str">
            <v>2G</v>
          </cell>
          <cell r="G25"/>
          <cell r="H25"/>
          <cell r="I25"/>
          <cell r="J25"/>
          <cell r="K25"/>
          <cell r="L25"/>
          <cell r="M25"/>
        </row>
        <row r="26">
          <cell r="A26" t="str">
            <v>MRG</v>
          </cell>
          <cell r="B26" t="str">
            <v>LOM-356</v>
          </cell>
          <cell r="C26" t="str">
            <v>LOME</v>
          </cell>
          <cell r="D26" t="str">
            <v>ADETICOPE 5</v>
          </cell>
          <cell r="E26">
            <v>70997310</v>
          </cell>
          <cell r="F26" t="str">
            <v>2G</v>
          </cell>
          <cell r="G26"/>
          <cell r="H26"/>
          <cell r="I26"/>
          <cell r="J26"/>
          <cell r="K26"/>
          <cell r="L26"/>
          <cell r="M26"/>
        </row>
        <row r="27">
          <cell r="A27" t="str">
            <v>MRG</v>
          </cell>
          <cell r="B27" t="str">
            <v>LOM-293</v>
          </cell>
          <cell r="C27" t="str">
            <v>LOME</v>
          </cell>
          <cell r="D27" t="str">
            <v>ADETICOPE 7</v>
          </cell>
          <cell r="E27">
            <v>70996450</v>
          </cell>
          <cell r="F27" t="str">
            <v>2G</v>
          </cell>
          <cell r="G27"/>
          <cell r="H27"/>
          <cell r="I27"/>
          <cell r="J27"/>
          <cell r="K27"/>
          <cell r="L27"/>
          <cell r="M27"/>
        </row>
        <row r="28">
          <cell r="A28" t="str">
            <v>MRG</v>
          </cell>
          <cell r="B28" t="str">
            <v>LOM-210</v>
          </cell>
          <cell r="C28" t="str">
            <v>LOME</v>
          </cell>
          <cell r="D28" t="str">
            <v>Adétikopé Agouté</v>
          </cell>
          <cell r="E28">
            <v>70996426</v>
          </cell>
          <cell r="F28" t="str">
            <v>2G</v>
          </cell>
          <cell r="G28"/>
          <cell r="H28"/>
          <cell r="I28"/>
          <cell r="J28"/>
          <cell r="K28"/>
          <cell r="L28"/>
          <cell r="M28"/>
        </row>
        <row r="29">
          <cell r="A29" t="str">
            <v>MRG</v>
          </cell>
          <cell r="B29" t="str">
            <v>LOM-292</v>
          </cell>
          <cell r="C29" t="str">
            <v>LOME</v>
          </cell>
          <cell r="D29" t="str">
            <v>ADETIOCOPE AGBEKOVI</v>
          </cell>
          <cell r="E29">
            <v>70996451</v>
          </cell>
          <cell r="F29" t="str">
            <v>2G</v>
          </cell>
          <cell r="G29"/>
          <cell r="H29"/>
          <cell r="I29"/>
          <cell r="J29"/>
          <cell r="K29"/>
          <cell r="L29"/>
          <cell r="M29"/>
        </row>
        <row r="30">
          <cell r="A30" t="str">
            <v>MRG</v>
          </cell>
          <cell r="B30" t="str">
            <v>LOM-128</v>
          </cell>
          <cell r="C30" t="str">
            <v>LOME</v>
          </cell>
          <cell r="D30" t="str">
            <v>ADEWI</v>
          </cell>
          <cell r="E30">
            <v>70996521</v>
          </cell>
          <cell r="F30" t="str">
            <v>2G</v>
          </cell>
          <cell r="G30"/>
          <cell r="H30"/>
          <cell r="I30"/>
          <cell r="J30"/>
          <cell r="K30"/>
          <cell r="L30"/>
          <cell r="M30"/>
        </row>
        <row r="31">
          <cell r="A31" t="str">
            <v>MRG</v>
          </cell>
          <cell r="B31" t="str">
            <v>LOM-076</v>
          </cell>
          <cell r="C31" t="str">
            <v>LOME</v>
          </cell>
          <cell r="D31" t="str">
            <v>ADIDOGOME 1</v>
          </cell>
          <cell r="E31">
            <v>70996522</v>
          </cell>
          <cell r="F31" t="str">
            <v>2G</v>
          </cell>
          <cell r="G31"/>
          <cell r="H31"/>
          <cell r="I31"/>
          <cell r="J31"/>
          <cell r="K31"/>
          <cell r="L31"/>
          <cell r="M31"/>
        </row>
        <row r="32">
          <cell r="A32" t="str">
            <v>MRG</v>
          </cell>
          <cell r="B32" t="str">
            <v>LOM-070</v>
          </cell>
          <cell r="C32" t="str">
            <v>LOME</v>
          </cell>
          <cell r="D32" t="str">
            <v>ADIDOGOME2</v>
          </cell>
          <cell r="E32">
            <v>70996553</v>
          </cell>
          <cell r="F32" t="str">
            <v>2G</v>
          </cell>
          <cell r="G32"/>
          <cell r="H32"/>
          <cell r="I32"/>
          <cell r="J32"/>
          <cell r="K32"/>
          <cell r="L32"/>
          <cell r="M32"/>
        </row>
        <row r="33">
          <cell r="A33" t="str">
            <v>EASY CONCEPT</v>
          </cell>
          <cell r="B33" t="str">
            <v>LOM-357</v>
          </cell>
          <cell r="C33" t="str">
            <v>LOME</v>
          </cell>
          <cell r="D33" t="str">
            <v>ADIDOGOME4</v>
          </cell>
          <cell r="E33">
            <v>70997311</v>
          </cell>
          <cell r="F33" t="str">
            <v>2G</v>
          </cell>
          <cell r="G33"/>
          <cell r="H33"/>
          <cell r="I33"/>
          <cell r="J33"/>
          <cell r="K33"/>
          <cell r="L33"/>
          <cell r="M33"/>
        </row>
        <row r="34">
          <cell r="A34" t="str">
            <v>EASY CONCEPT</v>
          </cell>
          <cell r="B34"/>
          <cell r="C34" t="str">
            <v>PLATEAUX</v>
          </cell>
          <cell r="D34" t="str">
            <v>ADIME</v>
          </cell>
          <cell r="E34">
            <v>70997357</v>
          </cell>
          <cell r="F34" t="str">
            <v>2G</v>
          </cell>
          <cell r="G34"/>
          <cell r="H34"/>
          <cell r="I34"/>
          <cell r="J34"/>
          <cell r="K34"/>
          <cell r="L34"/>
          <cell r="M34"/>
        </row>
        <row r="35">
          <cell r="A35" t="str">
            <v>3SCA</v>
          </cell>
          <cell r="B35" t="str">
            <v>PLA-210</v>
          </cell>
          <cell r="C35" t="str">
            <v>PLATEAUX</v>
          </cell>
          <cell r="D35" t="str">
            <v>ADJAGOUDA KOPE</v>
          </cell>
          <cell r="E35">
            <v>70997265</v>
          </cell>
          <cell r="F35" t="str">
            <v>2G</v>
          </cell>
          <cell r="G35"/>
          <cell r="H35"/>
          <cell r="I35"/>
          <cell r="J35"/>
          <cell r="K35"/>
          <cell r="L35"/>
          <cell r="M35"/>
        </row>
        <row r="36">
          <cell r="A36" t="str">
            <v>MRG</v>
          </cell>
          <cell r="B36" t="str">
            <v>CEN-036</v>
          </cell>
          <cell r="C36" t="str">
            <v>CENTRALE</v>
          </cell>
          <cell r="D36" t="str">
            <v>ADJENGRE</v>
          </cell>
          <cell r="E36">
            <v>70996554</v>
          </cell>
          <cell r="F36" t="str">
            <v>2G</v>
          </cell>
          <cell r="G36"/>
          <cell r="H36"/>
          <cell r="I36"/>
          <cell r="J36"/>
          <cell r="K36"/>
          <cell r="L36"/>
          <cell r="M36"/>
        </row>
        <row r="37">
          <cell r="A37" t="str">
            <v>MRG</v>
          </cell>
          <cell r="B37" t="str">
            <v>CEN-121</v>
          </cell>
          <cell r="C37" t="str">
            <v>CENTRALE</v>
          </cell>
          <cell r="D37" t="str">
            <v>ADJENGRE MARCHE</v>
          </cell>
          <cell r="E37">
            <v>70997378</v>
          </cell>
          <cell r="F37" t="str">
            <v>2G</v>
          </cell>
          <cell r="G37"/>
          <cell r="H37"/>
          <cell r="I37"/>
          <cell r="J37"/>
          <cell r="K37"/>
          <cell r="L37"/>
          <cell r="M37"/>
        </row>
        <row r="38">
          <cell r="A38" t="str">
            <v>MRG</v>
          </cell>
          <cell r="B38" t="str">
            <v>LOM-286</v>
          </cell>
          <cell r="C38" t="str">
            <v>MARITIME</v>
          </cell>
          <cell r="D38" t="str">
            <v>ADJOGUIDI</v>
          </cell>
          <cell r="E38">
            <v>70996405</v>
          </cell>
          <cell r="F38" t="str">
            <v>Android</v>
          </cell>
          <cell r="G38"/>
          <cell r="H38"/>
          <cell r="I38"/>
          <cell r="J38"/>
          <cell r="K38"/>
          <cell r="L38"/>
          <cell r="M38"/>
        </row>
        <row r="39">
          <cell r="A39" t="str">
            <v>MRG</v>
          </cell>
          <cell r="B39" t="str">
            <v>LOM-005</v>
          </cell>
          <cell r="C39" t="str">
            <v>LOME</v>
          </cell>
          <cell r="D39" t="str">
            <v>ADJOUGBA</v>
          </cell>
          <cell r="E39">
            <v>70997346</v>
          </cell>
          <cell r="F39" t="str">
            <v>2G</v>
          </cell>
          <cell r="G39"/>
          <cell r="H39"/>
          <cell r="I39"/>
          <cell r="J39"/>
          <cell r="K39"/>
          <cell r="L39"/>
          <cell r="M39"/>
        </row>
        <row r="40">
          <cell r="A40" t="str">
            <v>3SCA</v>
          </cell>
          <cell r="B40" t="str">
            <v>LOM-319</v>
          </cell>
          <cell r="C40" t="str">
            <v>LOME</v>
          </cell>
          <cell r="D40" t="str">
            <v>ADJOUGBA 3</v>
          </cell>
          <cell r="E40">
            <v>70997312</v>
          </cell>
          <cell r="F40" t="str">
            <v>2G</v>
          </cell>
          <cell r="G40"/>
          <cell r="H40"/>
          <cell r="I40"/>
          <cell r="J40"/>
          <cell r="K40"/>
          <cell r="L40"/>
          <cell r="M40"/>
        </row>
        <row r="41">
          <cell r="A41" t="str">
            <v>MRG</v>
          </cell>
          <cell r="B41"/>
          <cell r="C41" t="str">
            <v>PLATEAUX</v>
          </cell>
          <cell r="D41" t="str">
            <v>ADOMI ABRA</v>
          </cell>
          <cell r="E41">
            <v>70997324</v>
          </cell>
          <cell r="F41" t="str">
            <v>Android</v>
          </cell>
          <cell r="G41"/>
          <cell r="H41"/>
          <cell r="I41"/>
          <cell r="J41"/>
          <cell r="K41"/>
          <cell r="L41"/>
          <cell r="M41"/>
        </row>
        <row r="42">
          <cell r="A42" t="str">
            <v>MRG</v>
          </cell>
          <cell r="B42" t="str">
            <v>PLA-153</v>
          </cell>
          <cell r="C42" t="str">
            <v>PLATEAUX</v>
          </cell>
          <cell r="D42" t="str">
            <v>ADOUGBELAN</v>
          </cell>
          <cell r="E42">
            <v>70996555</v>
          </cell>
          <cell r="F42" t="str">
            <v>2G</v>
          </cell>
          <cell r="G42"/>
          <cell r="H42"/>
          <cell r="I42"/>
          <cell r="J42"/>
          <cell r="K42"/>
          <cell r="L42"/>
          <cell r="M42"/>
        </row>
        <row r="43">
          <cell r="A43" t="str">
            <v>MRG</v>
          </cell>
          <cell r="B43" t="str">
            <v>LOM-266</v>
          </cell>
          <cell r="C43" t="str">
            <v>LOME</v>
          </cell>
          <cell r="D43" t="str">
            <v>Adzové</v>
          </cell>
          <cell r="E43">
            <v>70996452</v>
          </cell>
          <cell r="F43" t="str">
            <v>2G</v>
          </cell>
          <cell r="G43"/>
          <cell r="H43"/>
          <cell r="I43"/>
          <cell r="J43"/>
          <cell r="K43"/>
          <cell r="L43"/>
          <cell r="M43"/>
        </row>
        <row r="44">
          <cell r="A44" t="str">
            <v>3SCA</v>
          </cell>
          <cell r="B44"/>
          <cell r="C44"/>
          <cell r="D44" t="str">
            <v xml:space="preserve">ADZOVE </v>
          </cell>
          <cell r="E44"/>
          <cell r="F44"/>
          <cell r="G44"/>
          <cell r="H44"/>
          <cell r="I44"/>
          <cell r="J44"/>
          <cell r="K44"/>
          <cell r="L44"/>
          <cell r="M44"/>
        </row>
        <row r="45">
          <cell r="A45" t="str">
            <v>3SCA</v>
          </cell>
          <cell r="B45" t="str">
            <v>LOM-205</v>
          </cell>
          <cell r="C45" t="str">
            <v>LOME</v>
          </cell>
          <cell r="D45" t="str">
            <v>AEROPORT 2</v>
          </cell>
          <cell r="E45">
            <v>70996557</v>
          </cell>
          <cell r="F45" t="str">
            <v>2G</v>
          </cell>
          <cell r="G45"/>
          <cell r="H45"/>
          <cell r="I45"/>
          <cell r="J45"/>
          <cell r="K45"/>
          <cell r="L45"/>
          <cell r="M45"/>
        </row>
        <row r="46">
          <cell r="A46" t="str">
            <v>3SCA</v>
          </cell>
          <cell r="B46" t="str">
            <v>LOM-326</v>
          </cell>
          <cell r="C46" t="str">
            <v>LOME</v>
          </cell>
          <cell r="D46" t="str">
            <v>AEROPORT 3</v>
          </cell>
          <cell r="E46">
            <v>70997313</v>
          </cell>
          <cell r="F46" t="str">
            <v>2G</v>
          </cell>
          <cell r="G46"/>
          <cell r="H46"/>
          <cell r="I46"/>
          <cell r="J46"/>
          <cell r="K46"/>
          <cell r="L46"/>
          <cell r="M46"/>
        </row>
        <row r="47">
          <cell r="A47" t="str">
            <v>EASY CONCEPT</v>
          </cell>
          <cell r="B47" t="str">
            <v>LOM-204</v>
          </cell>
          <cell r="C47" t="str">
            <v>LOME</v>
          </cell>
          <cell r="D47" t="str">
            <v>AEROPORT1</v>
          </cell>
          <cell r="E47">
            <v>70996556</v>
          </cell>
          <cell r="F47" t="str">
            <v>2G</v>
          </cell>
          <cell r="G47"/>
          <cell r="H47"/>
          <cell r="I47"/>
          <cell r="J47"/>
          <cell r="K47"/>
          <cell r="L47"/>
          <cell r="M47"/>
        </row>
        <row r="48">
          <cell r="A48" t="str">
            <v>EASY CONCEPT</v>
          </cell>
          <cell r="B48" t="str">
            <v>MAR-032</v>
          </cell>
          <cell r="C48" t="str">
            <v>MARITIME</v>
          </cell>
          <cell r="D48" t="str">
            <v>AFAGNAN</v>
          </cell>
          <cell r="E48">
            <v>70996558</v>
          </cell>
          <cell r="F48" t="str">
            <v>2G</v>
          </cell>
          <cell r="G48"/>
          <cell r="H48"/>
          <cell r="I48"/>
          <cell r="J48"/>
          <cell r="K48"/>
          <cell r="L48"/>
          <cell r="M48"/>
        </row>
        <row r="49">
          <cell r="A49" t="str">
            <v>MRG</v>
          </cell>
          <cell r="B49" t="str">
            <v>MAR-032</v>
          </cell>
          <cell r="C49" t="str">
            <v>MARITIME</v>
          </cell>
          <cell r="D49" t="str">
            <v>Afagnan (site technique)</v>
          </cell>
          <cell r="E49">
            <v>70996453</v>
          </cell>
          <cell r="F49" t="str">
            <v>2G</v>
          </cell>
          <cell r="G49"/>
          <cell r="H49"/>
          <cell r="I49"/>
          <cell r="J49"/>
          <cell r="K49"/>
          <cell r="L49"/>
          <cell r="M49"/>
        </row>
        <row r="50">
          <cell r="A50" t="str">
            <v>MRG</v>
          </cell>
          <cell r="B50" t="str">
            <v>MAR-032</v>
          </cell>
          <cell r="C50" t="str">
            <v>MARITIME</v>
          </cell>
          <cell r="D50" t="str">
            <v>AFAGNAN TGT</v>
          </cell>
          <cell r="E50">
            <v>70997391</v>
          </cell>
          <cell r="F50" t="str">
            <v>2G</v>
          </cell>
          <cell r="G50"/>
          <cell r="H50"/>
          <cell r="I50"/>
          <cell r="J50"/>
          <cell r="K50"/>
          <cell r="L50"/>
          <cell r="M50"/>
        </row>
        <row r="51">
          <cell r="A51" t="str">
            <v>MRG</v>
          </cell>
          <cell r="B51" t="str">
            <v>CEN-055</v>
          </cell>
          <cell r="C51" t="str">
            <v>CENTRALE</v>
          </cell>
          <cell r="D51" t="str">
            <v>AFATCHALA KOPE</v>
          </cell>
          <cell r="E51">
            <v>70996559</v>
          </cell>
          <cell r="F51" t="str">
            <v>Android</v>
          </cell>
          <cell r="G51"/>
          <cell r="H51"/>
          <cell r="I51"/>
          <cell r="J51"/>
          <cell r="K51"/>
          <cell r="L51"/>
          <cell r="M51"/>
        </row>
        <row r="52">
          <cell r="A52" t="str">
            <v>MRG</v>
          </cell>
          <cell r="B52" t="str">
            <v>CEN-045</v>
          </cell>
          <cell r="C52" t="str">
            <v>CENTRALE</v>
          </cell>
          <cell r="D52" t="str">
            <v>AFEMKABYE</v>
          </cell>
          <cell r="E52">
            <v>70996560</v>
          </cell>
          <cell r="F52" t="str">
            <v>Android</v>
          </cell>
          <cell r="G52"/>
          <cell r="H52"/>
          <cell r="I52"/>
          <cell r="J52"/>
          <cell r="K52"/>
          <cell r="L52"/>
          <cell r="M52"/>
        </row>
        <row r="53">
          <cell r="A53" t="str">
            <v>MRG</v>
          </cell>
          <cell r="B53" t="str">
            <v>LOM-321</v>
          </cell>
          <cell r="C53" t="str">
            <v>LOME</v>
          </cell>
          <cell r="D53" t="str">
            <v>AFIDENYIGBA 2</v>
          </cell>
          <cell r="E53">
            <v>70997314</v>
          </cell>
          <cell r="F53" t="str">
            <v>2G</v>
          </cell>
          <cell r="G53"/>
          <cell r="H53"/>
          <cell r="I53"/>
          <cell r="J53"/>
          <cell r="K53"/>
          <cell r="L53"/>
          <cell r="M53"/>
        </row>
        <row r="54">
          <cell r="A54" t="str">
            <v>MRG</v>
          </cell>
          <cell r="B54" t="str">
            <v>LOM-197</v>
          </cell>
          <cell r="C54" t="str">
            <v>LOME</v>
          </cell>
          <cell r="D54" t="str">
            <v>AFIDENYIGBAN</v>
          </cell>
          <cell r="E54">
            <v>70996523</v>
          </cell>
          <cell r="F54" t="str">
            <v>2G</v>
          </cell>
          <cell r="G54"/>
          <cell r="H54"/>
          <cell r="I54"/>
          <cell r="J54"/>
          <cell r="K54"/>
          <cell r="L54"/>
          <cell r="M54"/>
        </row>
        <row r="55">
          <cell r="A55" t="str">
            <v>MRG</v>
          </cell>
          <cell r="B55" t="str">
            <v>PLA-077</v>
          </cell>
          <cell r="C55" t="str">
            <v>PLATEAUX</v>
          </cell>
          <cell r="D55" t="str">
            <v>AFODJI</v>
          </cell>
          <cell r="E55">
            <v>70996561</v>
          </cell>
          <cell r="F55" t="str">
            <v>Android</v>
          </cell>
          <cell r="G55"/>
          <cell r="H55"/>
          <cell r="I55"/>
          <cell r="J55"/>
          <cell r="K55"/>
          <cell r="L55"/>
          <cell r="M55"/>
        </row>
        <row r="56">
          <cell r="A56" t="str">
            <v>EASY CONCEPT</v>
          </cell>
          <cell r="B56" t="str">
            <v>PLA-078</v>
          </cell>
          <cell r="C56" t="str">
            <v>PLATEAUX</v>
          </cell>
          <cell r="D56" t="str">
            <v>AFOLE</v>
          </cell>
          <cell r="E56">
            <v>70996562</v>
          </cell>
          <cell r="F56" t="str">
            <v>Android</v>
          </cell>
          <cell r="G56"/>
          <cell r="H56"/>
          <cell r="I56"/>
          <cell r="J56"/>
          <cell r="K56"/>
          <cell r="L56"/>
          <cell r="M56"/>
        </row>
        <row r="57">
          <cell r="A57" t="str">
            <v>EASY CONCEPT</v>
          </cell>
          <cell r="B57" t="str">
            <v>PLA-115</v>
          </cell>
          <cell r="C57" t="str">
            <v>PLATEAUX</v>
          </cell>
          <cell r="D57" t="str">
            <v>AGADJA</v>
          </cell>
          <cell r="E57">
            <v>70996563</v>
          </cell>
          <cell r="F57" t="str">
            <v>2G</v>
          </cell>
          <cell r="G57"/>
          <cell r="H57"/>
          <cell r="I57"/>
          <cell r="J57"/>
          <cell r="K57"/>
          <cell r="L57"/>
          <cell r="M57"/>
        </row>
        <row r="58">
          <cell r="A58" t="str">
            <v>MRG</v>
          </cell>
          <cell r="B58" t="str">
            <v>LOM-103</v>
          </cell>
          <cell r="C58" t="str">
            <v>LOME</v>
          </cell>
          <cell r="D58" t="str">
            <v>AGBALEPEDOGAN 1</v>
          </cell>
          <cell r="E58">
            <v>70996564</v>
          </cell>
          <cell r="F58" t="str">
            <v>2G</v>
          </cell>
          <cell r="G58"/>
          <cell r="H58"/>
          <cell r="I58"/>
          <cell r="J58"/>
          <cell r="K58"/>
          <cell r="L58"/>
          <cell r="M58"/>
        </row>
        <row r="59">
          <cell r="A59" t="str">
            <v>MRG</v>
          </cell>
          <cell r="B59" t="str">
            <v>LOM-016</v>
          </cell>
          <cell r="C59" t="str">
            <v>LOME</v>
          </cell>
          <cell r="D59" t="str">
            <v>AGBALEPEDOGAN 2</v>
          </cell>
          <cell r="E59">
            <v>70996565</v>
          </cell>
          <cell r="F59" t="str">
            <v>2G</v>
          </cell>
          <cell r="G59"/>
          <cell r="H59"/>
          <cell r="I59"/>
          <cell r="J59"/>
          <cell r="K59"/>
          <cell r="L59"/>
          <cell r="M59"/>
        </row>
        <row r="60">
          <cell r="A60" t="str">
            <v>EASY CONCEPT</v>
          </cell>
          <cell r="B60" t="str">
            <v>CEN-025</v>
          </cell>
          <cell r="C60" t="str">
            <v>CENTRALE</v>
          </cell>
          <cell r="D60" t="str">
            <v>AGBAMASSOMOU</v>
          </cell>
          <cell r="E60">
            <v>70996566</v>
          </cell>
          <cell r="F60" t="str">
            <v>Android</v>
          </cell>
          <cell r="G60"/>
          <cell r="H60"/>
          <cell r="I60"/>
          <cell r="J60"/>
          <cell r="K60"/>
          <cell r="L60"/>
          <cell r="M60"/>
        </row>
        <row r="61">
          <cell r="A61" t="str">
            <v>3SCA</v>
          </cell>
          <cell r="B61" t="str">
            <v>KAR-093</v>
          </cell>
          <cell r="C61" t="str">
            <v>KARA</v>
          </cell>
          <cell r="D61" t="str">
            <v>AGBANDAOUDE</v>
          </cell>
          <cell r="E61">
            <v>70996567</v>
          </cell>
          <cell r="F61" t="str">
            <v>Android</v>
          </cell>
          <cell r="G61"/>
          <cell r="H61"/>
          <cell r="I61"/>
          <cell r="J61"/>
          <cell r="K61"/>
          <cell r="L61"/>
          <cell r="M61"/>
        </row>
        <row r="62">
          <cell r="A62" t="str">
            <v>3SCA</v>
          </cell>
          <cell r="B62" t="str">
            <v>PLA-032</v>
          </cell>
          <cell r="C62" t="str">
            <v>CENTRALE</v>
          </cell>
          <cell r="D62" t="str">
            <v>AGBANDI 1</v>
          </cell>
          <cell r="E62">
            <v>70996568</v>
          </cell>
          <cell r="F62" t="str">
            <v>2G</v>
          </cell>
          <cell r="G62"/>
          <cell r="H62"/>
          <cell r="I62"/>
          <cell r="J62"/>
          <cell r="K62"/>
          <cell r="L62"/>
          <cell r="M62"/>
        </row>
        <row r="63">
          <cell r="A63" t="str">
            <v>MRG</v>
          </cell>
          <cell r="B63" t="str">
            <v>PLA-169</v>
          </cell>
          <cell r="C63" t="str">
            <v>CENTRALE</v>
          </cell>
          <cell r="D63" t="str">
            <v>AGBANDI 2</v>
          </cell>
          <cell r="E63">
            <v>70996569</v>
          </cell>
          <cell r="F63" t="str">
            <v>2G</v>
          </cell>
          <cell r="G63"/>
          <cell r="H63"/>
          <cell r="I63"/>
          <cell r="J63"/>
          <cell r="K63"/>
          <cell r="L63"/>
          <cell r="M63"/>
        </row>
        <row r="64">
          <cell r="A64" t="str">
            <v>MRG</v>
          </cell>
          <cell r="B64" t="str">
            <v>CEN-056</v>
          </cell>
          <cell r="C64" t="str">
            <v>CENTRALE</v>
          </cell>
          <cell r="D64" t="str">
            <v>AGBANSIKITI</v>
          </cell>
          <cell r="E64">
            <v>70996570</v>
          </cell>
          <cell r="F64" t="str">
            <v>Android</v>
          </cell>
          <cell r="G64"/>
          <cell r="H64"/>
          <cell r="I64"/>
          <cell r="J64"/>
          <cell r="K64"/>
          <cell r="L64"/>
          <cell r="M64"/>
        </row>
        <row r="65">
          <cell r="A65" t="str">
            <v>MRG</v>
          </cell>
          <cell r="B65" t="str">
            <v>MAR-130</v>
          </cell>
          <cell r="C65" t="str">
            <v>MARITIME</v>
          </cell>
          <cell r="D65" t="str">
            <v>AGBATA</v>
          </cell>
          <cell r="E65">
            <v>70996427</v>
          </cell>
          <cell r="F65" t="str">
            <v>2G</v>
          </cell>
          <cell r="G65"/>
          <cell r="H65"/>
          <cell r="I65"/>
          <cell r="J65"/>
          <cell r="K65"/>
          <cell r="L65"/>
          <cell r="M65"/>
        </row>
        <row r="66">
          <cell r="A66" t="str">
            <v>3SCA</v>
          </cell>
          <cell r="B66" t="str">
            <v>LOM-258</v>
          </cell>
          <cell r="C66" t="str">
            <v>MARITIME</v>
          </cell>
          <cell r="D66" t="str">
            <v>AGBATA MOBILE</v>
          </cell>
          <cell r="E66">
            <v>70996571</v>
          </cell>
          <cell r="F66" t="str">
            <v>2G</v>
          </cell>
          <cell r="G66"/>
          <cell r="H66"/>
          <cell r="I66"/>
          <cell r="J66"/>
          <cell r="K66"/>
          <cell r="L66"/>
          <cell r="M66"/>
        </row>
        <row r="67">
          <cell r="A67" t="str">
            <v>MRG</v>
          </cell>
          <cell r="B67" t="str">
            <v>PLA-054</v>
          </cell>
          <cell r="C67" t="str">
            <v>PLATEAUX</v>
          </cell>
          <cell r="D67" t="str">
            <v>AGBATITOE</v>
          </cell>
          <cell r="E67">
            <v>70996572</v>
          </cell>
          <cell r="F67" t="str">
            <v>2G</v>
          </cell>
          <cell r="G67"/>
          <cell r="H67"/>
          <cell r="I67"/>
          <cell r="J67"/>
          <cell r="K67"/>
          <cell r="L67"/>
          <cell r="M67"/>
        </row>
        <row r="68">
          <cell r="A68" t="str">
            <v>MRG</v>
          </cell>
          <cell r="B68" t="str">
            <v>LOM-322</v>
          </cell>
          <cell r="C68" t="str">
            <v>LOME</v>
          </cell>
          <cell r="D68" t="str">
            <v>AGBAVI</v>
          </cell>
          <cell r="E68">
            <v>70997251</v>
          </cell>
          <cell r="F68" t="str">
            <v>2G</v>
          </cell>
          <cell r="G68"/>
          <cell r="H68"/>
          <cell r="I68"/>
          <cell r="J68"/>
          <cell r="K68"/>
          <cell r="L68"/>
          <cell r="M68"/>
        </row>
        <row r="69">
          <cell r="A69" t="str">
            <v>3SCA</v>
          </cell>
          <cell r="B69" t="str">
            <v>LOM-323</v>
          </cell>
          <cell r="C69" t="str">
            <v>LOME</v>
          </cell>
          <cell r="D69" t="str">
            <v>AGBELIKO</v>
          </cell>
          <cell r="E69" t="str">
            <v>92722603/70997315</v>
          </cell>
          <cell r="F69" t="str">
            <v>2G</v>
          </cell>
          <cell r="G69"/>
          <cell r="H69"/>
          <cell r="I69"/>
          <cell r="J69"/>
          <cell r="K69"/>
          <cell r="L69"/>
          <cell r="M69"/>
        </row>
        <row r="70">
          <cell r="A70" t="str">
            <v>MRG</v>
          </cell>
          <cell r="B70" t="str">
            <v>MAR-060</v>
          </cell>
          <cell r="C70" t="str">
            <v>MARITIME</v>
          </cell>
          <cell r="D70" t="str">
            <v>AGBELOUVE</v>
          </cell>
          <cell r="E70">
            <v>70996573</v>
          </cell>
          <cell r="F70" t="str">
            <v>2G</v>
          </cell>
          <cell r="G70"/>
          <cell r="H70"/>
          <cell r="I70"/>
          <cell r="J70"/>
          <cell r="K70"/>
          <cell r="L70"/>
          <cell r="M70"/>
        </row>
        <row r="71">
          <cell r="A71" t="str">
            <v>MRG</v>
          </cell>
          <cell r="B71" t="str">
            <v>LOM-198</v>
          </cell>
          <cell r="C71" t="str">
            <v>LOME</v>
          </cell>
          <cell r="D71" t="str">
            <v>AGBODANKOPE</v>
          </cell>
          <cell r="E71">
            <v>70996575</v>
          </cell>
          <cell r="F71" t="str">
            <v>2G</v>
          </cell>
          <cell r="G71"/>
          <cell r="H71"/>
          <cell r="I71"/>
          <cell r="J71"/>
          <cell r="K71"/>
          <cell r="L71"/>
          <cell r="M71"/>
        </row>
        <row r="72">
          <cell r="A72" t="str">
            <v>MRG</v>
          </cell>
          <cell r="B72" t="str">
            <v>PLA-055</v>
          </cell>
          <cell r="C72" t="str">
            <v>PLATEAUX</v>
          </cell>
          <cell r="D72" t="str">
            <v>AGBODJEKOPE</v>
          </cell>
          <cell r="E72">
            <v>70996576</v>
          </cell>
          <cell r="F72" t="str">
            <v>Android</v>
          </cell>
          <cell r="G72"/>
          <cell r="H72"/>
          <cell r="I72"/>
          <cell r="J72"/>
          <cell r="K72"/>
          <cell r="L72"/>
          <cell r="M72"/>
        </row>
        <row r="73">
          <cell r="A73" t="str">
            <v>MRG</v>
          </cell>
          <cell r="B73" t="str">
            <v>MAR-011</v>
          </cell>
          <cell r="C73" t="str">
            <v>MARITIME</v>
          </cell>
          <cell r="D73" t="str">
            <v>AGBODRAFO</v>
          </cell>
          <cell r="E73">
            <v>70996524</v>
          </cell>
          <cell r="F73" t="str">
            <v>2G</v>
          </cell>
          <cell r="G73"/>
          <cell r="H73"/>
          <cell r="I73"/>
          <cell r="J73"/>
          <cell r="K73"/>
          <cell r="L73"/>
          <cell r="M73"/>
        </row>
        <row r="74">
          <cell r="A74" t="str">
            <v>MRG</v>
          </cell>
          <cell r="B74" t="str">
            <v>PLA-001</v>
          </cell>
          <cell r="C74" t="str">
            <v>PLATEAUX</v>
          </cell>
          <cell r="D74" t="str">
            <v>AGBONOU 1</v>
          </cell>
          <cell r="E74">
            <v>70996577</v>
          </cell>
          <cell r="F74" t="str">
            <v>2G</v>
          </cell>
          <cell r="G74"/>
          <cell r="H74"/>
          <cell r="I74"/>
          <cell r="J74"/>
          <cell r="K74"/>
          <cell r="L74"/>
          <cell r="M74"/>
        </row>
        <row r="75">
          <cell r="A75" t="str">
            <v>MRG</v>
          </cell>
          <cell r="B75" t="str">
            <v>PLA-002</v>
          </cell>
          <cell r="C75" t="str">
            <v>PLATEAUX</v>
          </cell>
          <cell r="D75" t="str">
            <v>AGBONOU 2</v>
          </cell>
          <cell r="E75">
            <v>70996578</v>
          </cell>
          <cell r="F75" t="str">
            <v>2G</v>
          </cell>
          <cell r="G75"/>
          <cell r="H75"/>
          <cell r="I75"/>
          <cell r="J75"/>
          <cell r="K75"/>
          <cell r="L75"/>
          <cell r="M75"/>
        </row>
        <row r="76">
          <cell r="A76" t="str">
            <v>MRG</v>
          </cell>
          <cell r="B76" t="str">
            <v>PLA-211</v>
          </cell>
          <cell r="C76" t="str">
            <v>PLATEAUX</v>
          </cell>
          <cell r="D76" t="str">
            <v>AGBONOU 4</v>
          </cell>
          <cell r="E76">
            <v>70996511</v>
          </cell>
          <cell r="F76" t="str">
            <v>2G</v>
          </cell>
          <cell r="G76"/>
          <cell r="H76"/>
          <cell r="I76"/>
          <cell r="J76"/>
          <cell r="K76"/>
          <cell r="L76"/>
          <cell r="M76"/>
        </row>
        <row r="77">
          <cell r="A77" t="str">
            <v>MRG</v>
          </cell>
          <cell r="B77"/>
          <cell r="C77" t="str">
            <v>PLATEAUX</v>
          </cell>
          <cell r="D77" t="str">
            <v>AGBONOU IDIOTCHE</v>
          </cell>
          <cell r="E77">
            <v>70997353</v>
          </cell>
          <cell r="F77" t="str">
            <v>2G</v>
          </cell>
          <cell r="G77"/>
          <cell r="H77"/>
          <cell r="I77"/>
          <cell r="J77"/>
          <cell r="K77"/>
          <cell r="L77"/>
          <cell r="M77"/>
        </row>
        <row r="78">
          <cell r="A78" t="str">
            <v>MRG</v>
          </cell>
          <cell r="B78"/>
          <cell r="C78" t="str">
            <v>PLATEAUX</v>
          </cell>
          <cell r="D78" t="str">
            <v>AGBOTA</v>
          </cell>
          <cell r="E78">
            <v>70997352</v>
          </cell>
          <cell r="F78" t="str">
            <v>2G</v>
          </cell>
          <cell r="G78"/>
          <cell r="H78"/>
          <cell r="I78"/>
          <cell r="J78"/>
          <cell r="K78"/>
          <cell r="L78"/>
          <cell r="M78"/>
        </row>
        <row r="79">
          <cell r="A79" t="str">
            <v>MRG</v>
          </cell>
          <cell r="B79" t="str">
            <v>LOM-324</v>
          </cell>
          <cell r="C79" t="str">
            <v>LOME</v>
          </cell>
          <cell r="D79" t="str">
            <v>AGODEKA NOVISSI</v>
          </cell>
          <cell r="E79">
            <v>70997316</v>
          </cell>
          <cell r="F79" t="str">
            <v>2G</v>
          </cell>
          <cell r="G79"/>
          <cell r="H79"/>
          <cell r="I79"/>
          <cell r="J79"/>
          <cell r="K79"/>
          <cell r="L79"/>
          <cell r="M79"/>
        </row>
        <row r="80">
          <cell r="A80" t="str">
            <v>MRG</v>
          </cell>
          <cell r="B80" t="str">
            <v>LOM-199</v>
          </cell>
          <cell r="C80" t="str">
            <v>LOME</v>
          </cell>
          <cell r="D80" t="str">
            <v>AGODEKE</v>
          </cell>
          <cell r="E80">
            <v>70996579</v>
          </cell>
          <cell r="F80" t="str">
            <v>2G</v>
          </cell>
          <cell r="G80"/>
          <cell r="H80"/>
          <cell r="I80"/>
          <cell r="J80"/>
          <cell r="K80"/>
          <cell r="L80"/>
          <cell r="M80"/>
        </row>
        <row r="81">
          <cell r="A81" t="str">
            <v>MRG</v>
          </cell>
          <cell r="B81"/>
          <cell r="C81"/>
          <cell r="D81" t="str">
            <v xml:space="preserve">AGODEKE </v>
          </cell>
          <cell r="E81"/>
          <cell r="F81"/>
          <cell r="G81"/>
          <cell r="H81"/>
          <cell r="I81"/>
          <cell r="J81"/>
          <cell r="K81"/>
          <cell r="L81"/>
          <cell r="M81"/>
        </row>
        <row r="82">
          <cell r="A82" t="str">
            <v>3SCA</v>
          </cell>
          <cell r="B82" t="str">
            <v>LOM-005</v>
          </cell>
          <cell r="C82" t="str">
            <v>LOME</v>
          </cell>
          <cell r="D82" t="str">
            <v>AGOE ADJOUGBA</v>
          </cell>
          <cell r="E82">
            <v>70996525</v>
          </cell>
          <cell r="F82" t="str">
            <v>2G</v>
          </cell>
          <cell r="G82"/>
          <cell r="H82"/>
          <cell r="I82"/>
          <cell r="J82"/>
          <cell r="K82"/>
          <cell r="L82"/>
          <cell r="M82"/>
        </row>
        <row r="83">
          <cell r="A83" t="str">
            <v>MRG</v>
          </cell>
          <cell r="B83" t="str">
            <v>LOM-038</v>
          </cell>
          <cell r="C83" t="str">
            <v>LOME</v>
          </cell>
          <cell r="D83" t="str">
            <v>AGOE ASSIYEYE</v>
          </cell>
          <cell r="E83">
            <v>70996647</v>
          </cell>
          <cell r="F83" t="str">
            <v>2G</v>
          </cell>
          <cell r="G83"/>
          <cell r="H83"/>
          <cell r="I83"/>
          <cell r="J83"/>
          <cell r="K83"/>
          <cell r="L83"/>
          <cell r="M83"/>
        </row>
        <row r="84">
          <cell r="A84" t="str">
            <v>MRG</v>
          </cell>
          <cell r="B84"/>
          <cell r="C84" t="str">
            <v>LOME</v>
          </cell>
          <cell r="D84" t="str">
            <v>Agoè Assiyéyé 2</v>
          </cell>
          <cell r="E84">
            <v>70996580</v>
          </cell>
          <cell r="F84" t="str">
            <v>2G</v>
          </cell>
          <cell r="G84"/>
          <cell r="H84"/>
          <cell r="I84"/>
          <cell r="J84"/>
          <cell r="K84"/>
          <cell r="L84"/>
          <cell r="M84"/>
        </row>
        <row r="85">
          <cell r="A85" t="str">
            <v>EASY CONCEPT</v>
          </cell>
          <cell r="B85"/>
          <cell r="C85" t="str">
            <v>LOME</v>
          </cell>
          <cell r="D85" t="str">
            <v>Agoè SUN-AGIP</v>
          </cell>
          <cell r="E85">
            <v>70996581</v>
          </cell>
          <cell r="F85" t="str">
            <v>2G</v>
          </cell>
          <cell r="G85"/>
          <cell r="H85"/>
          <cell r="I85"/>
          <cell r="J85"/>
          <cell r="K85"/>
          <cell r="L85"/>
          <cell r="M85"/>
        </row>
        <row r="86">
          <cell r="A86" t="str">
            <v>EASY CONCEPT</v>
          </cell>
          <cell r="B86" t="str">
            <v>LOM-027</v>
          </cell>
          <cell r="C86" t="str">
            <v>LOME</v>
          </cell>
          <cell r="D86" t="str">
            <v>AGOE-DEMAKPOE</v>
          </cell>
          <cell r="E86">
            <v>70996582</v>
          </cell>
          <cell r="F86" t="str">
            <v>2G</v>
          </cell>
          <cell r="G86"/>
          <cell r="H86"/>
          <cell r="I86"/>
          <cell r="J86"/>
          <cell r="K86"/>
          <cell r="L86"/>
          <cell r="M86"/>
        </row>
        <row r="87">
          <cell r="A87" t="str">
            <v>MRG</v>
          </cell>
          <cell r="B87" t="str">
            <v>MAR-012</v>
          </cell>
          <cell r="C87" t="str">
            <v>MARITIME</v>
          </cell>
          <cell r="D87" t="str">
            <v>AGOEGAN</v>
          </cell>
          <cell r="E87">
            <v>70996583</v>
          </cell>
          <cell r="F87" t="str">
            <v>2G</v>
          </cell>
          <cell r="G87"/>
          <cell r="H87"/>
          <cell r="I87"/>
          <cell r="J87"/>
          <cell r="K87"/>
          <cell r="L87"/>
          <cell r="M87"/>
        </row>
        <row r="88">
          <cell r="A88" t="str">
            <v>3SCA</v>
          </cell>
          <cell r="B88" t="str">
            <v>LOM-035</v>
          </cell>
          <cell r="C88" t="str">
            <v>LOME</v>
          </cell>
          <cell r="D88" t="str">
            <v>AGOE-GBONVE</v>
          </cell>
          <cell r="E88">
            <v>70996584</v>
          </cell>
          <cell r="F88" t="str">
            <v>2G</v>
          </cell>
          <cell r="G88"/>
          <cell r="H88"/>
          <cell r="I88"/>
          <cell r="J88"/>
          <cell r="K88"/>
          <cell r="L88"/>
          <cell r="M88"/>
        </row>
        <row r="89">
          <cell r="A89" t="str">
            <v>MRG</v>
          </cell>
          <cell r="B89" t="str">
            <v>LOM-009</v>
          </cell>
          <cell r="C89" t="str">
            <v>LOME</v>
          </cell>
          <cell r="D89" t="str">
            <v>AGOE-SEMINAIRE</v>
          </cell>
          <cell r="E89">
            <v>70996526</v>
          </cell>
          <cell r="F89" t="str">
            <v>2G</v>
          </cell>
          <cell r="G89"/>
          <cell r="H89"/>
          <cell r="I89"/>
          <cell r="J89"/>
          <cell r="K89"/>
          <cell r="L89"/>
          <cell r="M89"/>
        </row>
        <row r="90">
          <cell r="A90" t="str">
            <v>3SCA</v>
          </cell>
          <cell r="B90"/>
          <cell r="C90" t="str">
            <v>KARA</v>
          </cell>
          <cell r="D90" t="str">
            <v xml:space="preserve">AGOLMA BOURA </v>
          </cell>
          <cell r="E90">
            <v>70997302</v>
          </cell>
          <cell r="F90" t="str">
            <v>2G</v>
          </cell>
          <cell r="G90"/>
          <cell r="H90"/>
          <cell r="I90"/>
          <cell r="J90"/>
          <cell r="K90"/>
          <cell r="L90"/>
          <cell r="M90"/>
        </row>
        <row r="91">
          <cell r="A91" t="str">
            <v>MRG</v>
          </cell>
          <cell r="B91" t="str">
            <v>CEN-095</v>
          </cell>
          <cell r="C91" t="str">
            <v>CENTRALE</v>
          </cell>
          <cell r="D91" t="str">
            <v>AGOMBIO</v>
          </cell>
          <cell r="E91">
            <v>70996406</v>
          </cell>
          <cell r="F91" t="str">
            <v>Android</v>
          </cell>
          <cell r="G91"/>
          <cell r="H91"/>
          <cell r="I91"/>
          <cell r="J91"/>
          <cell r="K91"/>
          <cell r="L91"/>
          <cell r="M91"/>
        </row>
        <row r="92">
          <cell r="A92" t="str">
            <v>MRG</v>
          </cell>
          <cell r="B92" t="str">
            <v>LOM-327</v>
          </cell>
          <cell r="C92" t="str">
            <v>LOME</v>
          </cell>
          <cell r="D92" t="str">
            <v>AGOME_MOOV</v>
          </cell>
          <cell r="E92">
            <v>70997318</v>
          </cell>
          <cell r="F92" t="str">
            <v>2G</v>
          </cell>
          <cell r="G92"/>
          <cell r="H92"/>
          <cell r="I92"/>
          <cell r="J92"/>
          <cell r="K92"/>
          <cell r="L92"/>
          <cell r="M92"/>
        </row>
        <row r="93">
          <cell r="A93" t="str">
            <v>3SCA</v>
          </cell>
          <cell r="B93" t="str">
            <v>MAR-045</v>
          </cell>
          <cell r="C93" t="str">
            <v>MARITIME</v>
          </cell>
          <cell r="D93" t="str">
            <v>AGOME-GLOZOU</v>
          </cell>
          <cell r="E93">
            <v>70996585</v>
          </cell>
          <cell r="F93" t="str">
            <v>Android</v>
          </cell>
          <cell r="G93"/>
          <cell r="H93"/>
          <cell r="I93"/>
          <cell r="J93"/>
          <cell r="K93"/>
          <cell r="L93"/>
          <cell r="M93"/>
        </row>
        <row r="94">
          <cell r="A94" t="str">
            <v>MRG</v>
          </cell>
          <cell r="B94" t="str">
            <v>PLA-008</v>
          </cell>
          <cell r="C94" t="str">
            <v>PLATEAUX</v>
          </cell>
          <cell r="D94" t="str">
            <v>AGOME-KOUTOUKPA</v>
          </cell>
          <cell r="E94">
            <v>70996586</v>
          </cell>
          <cell r="F94" t="str">
            <v>2G</v>
          </cell>
          <cell r="G94"/>
          <cell r="H94"/>
          <cell r="I94"/>
          <cell r="J94"/>
          <cell r="K94"/>
          <cell r="L94"/>
          <cell r="M94"/>
        </row>
        <row r="95">
          <cell r="A95" t="str">
            <v>MRG</v>
          </cell>
          <cell r="B95" t="str">
            <v>MAR-033</v>
          </cell>
          <cell r="C95" t="str">
            <v>MARITIME</v>
          </cell>
          <cell r="D95" t="str">
            <v>AGOME-SEVA</v>
          </cell>
          <cell r="E95">
            <v>70996587</v>
          </cell>
          <cell r="F95" t="str">
            <v>Android</v>
          </cell>
          <cell r="G95"/>
          <cell r="H95"/>
          <cell r="I95"/>
          <cell r="J95"/>
          <cell r="K95"/>
          <cell r="L95"/>
          <cell r="M95"/>
        </row>
        <row r="96">
          <cell r="A96" t="str">
            <v>MRG</v>
          </cell>
          <cell r="B96" t="str">
            <v>LOM-268</v>
          </cell>
          <cell r="C96" t="str">
            <v>LOME</v>
          </cell>
          <cell r="D96" t="str">
            <v>AGOSSITO</v>
          </cell>
          <cell r="E96">
            <v>70996454</v>
          </cell>
          <cell r="F96" t="str">
            <v>2G</v>
          </cell>
          <cell r="G96"/>
          <cell r="H96"/>
          <cell r="I96"/>
          <cell r="J96"/>
          <cell r="K96"/>
          <cell r="L96"/>
          <cell r="M96"/>
        </row>
        <row r="97">
          <cell r="A97" t="str">
            <v>MRG</v>
          </cell>
          <cell r="B97" t="str">
            <v>PLA-199</v>
          </cell>
          <cell r="C97" t="str">
            <v>PLATEAUX</v>
          </cell>
          <cell r="D97" t="str">
            <v>AGOSSOU</v>
          </cell>
          <cell r="E97">
            <v>70996455</v>
          </cell>
          <cell r="F97" t="str">
            <v>Android</v>
          </cell>
          <cell r="G97"/>
          <cell r="H97"/>
          <cell r="I97"/>
          <cell r="J97"/>
          <cell r="K97"/>
          <cell r="L97"/>
          <cell r="M97"/>
        </row>
        <row r="98">
          <cell r="A98" t="str">
            <v>MRG</v>
          </cell>
          <cell r="B98"/>
          <cell r="C98" t="str">
            <v>MARITIME</v>
          </cell>
          <cell r="D98" t="str">
            <v>AGOTIGOME</v>
          </cell>
          <cell r="E98" t="str">
            <v>70996588</v>
          </cell>
          <cell r="F98" t="str">
            <v>Android</v>
          </cell>
          <cell r="G98"/>
          <cell r="H98"/>
          <cell r="I98"/>
          <cell r="J98"/>
          <cell r="K98"/>
          <cell r="L98"/>
          <cell r="M98"/>
        </row>
        <row r="99">
          <cell r="A99" t="str">
            <v>MRG</v>
          </cell>
          <cell r="B99" t="str">
            <v>PLA-046</v>
          </cell>
          <cell r="C99" t="str">
            <v>PLATEAUX</v>
          </cell>
          <cell r="D99" t="str">
            <v>AGOTIME-ADAME</v>
          </cell>
          <cell r="E99">
            <v>70996589</v>
          </cell>
          <cell r="F99" t="str">
            <v>Android</v>
          </cell>
          <cell r="G99"/>
          <cell r="H99"/>
          <cell r="I99"/>
          <cell r="J99"/>
          <cell r="K99"/>
          <cell r="L99"/>
          <cell r="M99"/>
        </row>
        <row r="100">
          <cell r="A100" t="str">
            <v>EASY CONCEPT</v>
          </cell>
          <cell r="B100" t="str">
            <v>PLA-047</v>
          </cell>
          <cell r="C100" t="str">
            <v>PLATEAUX</v>
          </cell>
          <cell r="D100" t="str">
            <v>AGOTIME-ZOUKPE</v>
          </cell>
          <cell r="E100">
            <v>70996590</v>
          </cell>
          <cell r="F100" t="str">
            <v>Android</v>
          </cell>
          <cell r="G100"/>
          <cell r="H100"/>
          <cell r="I100"/>
          <cell r="J100"/>
          <cell r="K100"/>
          <cell r="L100"/>
          <cell r="M100"/>
        </row>
        <row r="101">
          <cell r="A101" t="str">
            <v>EASY CONCEPT</v>
          </cell>
          <cell r="B101" t="str">
            <v>LOM-170</v>
          </cell>
          <cell r="C101" t="str">
            <v>LOME</v>
          </cell>
          <cell r="D101" t="str">
            <v>AGOTRANS</v>
          </cell>
          <cell r="E101">
            <v>70996591</v>
          </cell>
          <cell r="F101" t="str">
            <v>2G</v>
          </cell>
          <cell r="G101"/>
          <cell r="H101"/>
          <cell r="I101"/>
          <cell r="J101"/>
          <cell r="K101"/>
          <cell r="L101"/>
          <cell r="M101"/>
        </row>
        <row r="102">
          <cell r="A102" t="str">
            <v>MRG</v>
          </cell>
          <cell r="B102" t="str">
            <v>PLA-020</v>
          </cell>
          <cell r="C102" t="str">
            <v>PLATEAUX</v>
          </cell>
          <cell r="D102" t="str">
            <v>AGOU</v>
          </cell>
          <cell r="E102">
            <v>70996592</v>
          </cell>
          <cell r="F102" t="str">
            <v>2G</v>
          </cell>
          <cell r="G102"/>
          <cell r="H102"/>
          <cell r="I102"/>
          <cell r="J102"/>
          <cell r="K102"/>
          <cell r="L102"/>
          <cell r="M102"/>
        </row>
        <row r="103">
          <cell r="A103" t="str">
            <v>3SCA</v>
          </cell>
          <cell r="B103" t="str">
            <v>PLA-039</v>
          </cell>
          <cell r="C103" t="str">
            <v xml:space="preserve">PLATEAUX </v>
          </cell>
          <cell r="D103" t="str">
            <v>AGOU KATI</v>
          </cell>
          <cell r="E103">
            <v>70996594</v>
          </cell>
          <cell r="F103" t="str">
            <v>2G</v>
          </cell>
          <cell r="G103"/>
          <cell r="H103"/>
          <cell r="I103"/>
          <cell r="J103"/>
          <cell r="K103"/>
          <cell r="L103"/>
          <cell r="M103"/>
        </row>
        <row r="104">
          <cell r="A104" t="str">
            <v>MRG</v>
          </cell>
          <cell r="B104" t="str">
            <v>PLA-022</v>
          </cell>
          <cell r="C104" t="str">
            <v>PLATEAUX</v>
          </cell>
          <cell r="D104" t="str">
            <v>AGOU NYOGBO</v>
          </cell>
          <cell r="E104">
            <v>70996697</v>
          </cell>
          <cell r="F104" t="str">
            <v>2G</v>
          </cell>
          <cell r="G104"/>
          <cell r="H104"/>
          <cell r="I104"/>
          <cell r="J104"/>
          <cell r="K104"/>
          <cell r="L104"/>
          <cell r="M104"/>
        </row>
        <row r="105">
          <cell r="A105" t="str">
            <v>3SCA</v>
          </cell>
          <cell r="B105" t="str">
            <v>CEN-049</v>
          </cell>
          <cell r="C105" t="str">
            <v>CENTRALE</v>
          </cell>
          <cell r="D105" t="str">
            <v>AGOULOUDE</v>
          </cell>
          <cell r="E105">
            <v>70996595</v>
          </cell>
          <cell r="F105" t="str">
            <v>Android</v>
          </cell>
          <cell r="G105"/>
          <cell r="H105"/>
          <cell r="I105"/>
          <cell r="J105"/>
          <cell r="K105"/>
          <cell r="L105"/>
          <cell r="M105"/>
        </row>
        <row r="106">
          <cell r="A106" t="str">
            <v>MRG</v>
          </cell>
          <cell r="B106" t="str">
            <v>KAR-096</v>
          </cell>
          <cell r="C106" t="str">
            <v>KARA</v>
          </cell>
          <cell r="D106" t="str">
            <v>AGOUNDE</v>
          </cell>
          <cell r="E106">
            <v>70996596</v>
          </cell>
          <cell r="F106" t="str">
            <v>Android</v>
          </cell>
          <cell r="G106"/>
          <cell r="H106"/>
          <cell r="I106"/>
          <cell r="J106"/>
          <cell r="K106"/>
          <cell r="L106"/>
          <cell r="M106"/>
        </row>
        <row r="107">
          <cell r="A107" t="str">
            <v>MRG</v>
          </cell>
          <cell r="B107" t="str">
            <v>PLA-022</v>
          </cell>
          <cell r="C107" t="str">
            <v>PLATEAUX</v>
          </cell>
          <cell r="D107" t="str">
            <v>AGOUNYOGBO</v>
          </cell>
          <cell r="E107">
            <v>70996597</v>
          </cell>
          <cell r="F107" t="str">
            <v>2G</v>
          </cell>
          <cell r="G107"/>
          <cell r="H107"/>
          <cell r="I107"/>
          <cell r="J107"/>
          <cell r="K107"/>
          <cell r="L107"/>
          <cell r="M107"/>
        </row>
        <row r="108">
          <cell r="A108" t="str">
            <v>MRG</v>
          </cell>
          <cell r="B108" t="str">
            <v>MAR-092</v>
          </cell>
          <cell r="C108" t="str">
            <v>MARITIME</v>
          </cell>
          <cell r="D108" t="str">
            <v>AGOVOUDOU</v>
          </cell>
          <cell r="E108">
            <v>70996598</v>
          </cell>
          <cell r="F108" t="str">
            <v>2G</v>
          </cell>
          <cell r="G108"/>
          <cell r="H108"/>
          <cell r="I108"/>
          <cell r="J108"/>
          <cell r="K108"/>
          <cell r="L108"/>
          <cell r="M108"/>
        </row>
        <row r="109">
          <cell r="A109" t="str">
            <v>MRG</v>
          </cell>
          <cell r="B109" t="str">
            <v>PLA-134</v>
          </cell>
          <cell r="C109" t="str">
            <v>PLATEAUX</v>
          </cell>
          <cell r="D109" t="str">
            <v>AHASSOME</v>
          </cell>
          <cell r="E109">
            <v>70996599</v>
          </cell>
          <cell r="F109" t="str">
            <v>Android</v>
          </cell>
          <cell r="G109"/>
          <cell r="H109"/>
          <cell r="I109"/>
          <cell r="J109"/>
          <cell r="K109"/>
          <cell r="L109"/>
          <cell r="M109"/>
        </row>
        <row r="110">
          <cell r="A110" t="str">
            <v>MRG</v>
          </cell>
          <cell r="B110" t="str">
            <v>MAR-039</v>
          </cell>
          <cell r="C110" t="str">
            <v>MARITIME</v>
          </cell>
          <cell r="D110" t="str">
            <v>AHEPE</v>
          </cell>
          <cell r="E110">
            <v>70996600</v>
          </cell>
          <cell r="F110" t="str">
            <v>2G</v>
          </cell>
          <cell r="G110"/>
          <cell r="H110"/>
          <cell r="I110"/>
          <cell r="J110"/>
          <cell r="K110"/>
          <cell r="L110"/>
          <cell r="M110"/>
        </row>
        <row r="111">
          <cell r="A111" t="str">
            <v>EASY CONCEPT</v>
          </cell>
          <cell r="B111" t="str">
            <v>LOM-171</v>
          </cell>
          <cell r="C111" t="str">
            <v>LOME</v>
          </cell>
          <cell r="D111" t="str">
            <v>AHLIGO 1</v>
          </cell>
          <cell r="E111">
            <v>70996438</v>
          </cell>
          <cell r="F111" t="str">
            <v>2G</v>
          </cell>
          <cell r="G111"/>
          <cell r="H111"/>
          <cell r="I111"/>
          <cell r="J111"/>
          <cell r="K111"/>
          <cell r="L111"/>
          <cell r="M111"/>
        </row>
        <row r="112">
          <cell r="A112" t="str">
            <v>MRG</v>
          </cell>
          <cell r="B112" t="str">
            <v>LOM-358</v>
          </cell>
          <cell r="C112" t="str">
            <v>LOME</v>
          </cell>
          <cell r="D112" t="str">
            <v>AHLIGO 2</v>
          </cell>
          <cell r="E112">
            <v>70997319</v>
          </cell>
          <cell r="F112" t="str">
            <v>2G</v>
          </cell>
          <cell r="G112"/>
          <cell r="H112"/>
          <cell r="I112"/>
          <cell r="J112"/>
          <cell r="K112"/>
          <cell r="L112"/>
          <cell r="M112"/>
        </row>
        <row r="113">
          <cell r="A113" t="str">
            <v>EASY CONCEPT</v>
          </cell>
          <cell r="B113" t="str">
            <v>PLA-191</v>
          </cell>
          <cell r="C113" t="str">
            <v>PLATEAUX</v>
          </cell>
          <cell r="D113" t="str">
            <v>AHOMA_MOOV</v>
          </cell>
          <cell r="E113">
            <v>70996601</v>
          </cell>
          <cell r="F113" t="str">
            <v>2G</v>
          </cell>
          <cell r="G113"/>
          <cell r="H113"/>
          <cell r="I113"/>
          <cell r="J113"/>
          <cell r="K113"/>
          <cell r="L113"/>
          <cell r="M113"/>
        </row>
        <row r="114">
          <cell r="A114" t="str">
            <v>3SCA</v>
          </cell>
          <cell r="B114" t="str">
            <v>PLA-096</v>
          </cell>
          <cell r="C114" t="str">
            <v>PLATEAUX</v>
          </cell>
          <cell r="D114" t="str">
            <v>AKA</v>
          </cell>
          <cell r="E114">
            <v>70996602</v>
          </cell>
          <cell r="F114" t="str">
            <v>Android</v>
          </cell>
          <cell r="G114"/>
          <cell r="H114"/>
          <cell r="I114"/>
          <cell r="J114"/>
          <cell r="K114"/>
          <cell r="L114"/>
          <cell r="M114"/>
        </row>
        <row r="115">
          <cell r="A115" t="str">
            <v>3SCA</v>
          </cell>
          <cell r="B115" t="str">
            <v>PLA-091</v>
          </cell>
          <cell r="C115" t="str">
            <v>CENTRALE</v>
          </cell>
          <cell r="D115" t="str">
            <v>AKABA</v>
          </cell>
          <cell r="E115">
            <v>70996603</v>
          </cell>
          <cell r="F115" t="str">
            <v>Android</v>
          </cell>
          <cell r="G115"/>
          <cell r="H115"/>
          <cell r="I115"/>
          <cell r="J115"/>
          <cell r="K115"/>
          <cell r="L115"/>
          <cell r="M115"/>
        </row>
        <row r="116">
          <cell r="A116" t="str">
            <v>3SCA</v>
          </cell>
          <cell r="B116" t="str">
            <v>CEN-103</v>
          </cell>
          <cell r="C116" t="str">
            <v>CENTRALE</v>
          </cell>
          <cell r="D116" t="str">
            <v>AKAMADE2</v>
          </cell>
          <cell r="E116">
            <v>70996407</v>
          </cell>
          <cell r="F116" t="str">
            <v>2G</v>
          </cell>
          <cell r="G116"/>
          <cell r="H116"/>
          <cell r="I116"/>
          <cell r="J116"/>
          <cell r="K116"/>
          <cell r="L116"/>
          <cell r="M116"/>
        </row>
        <row r="117">
          <cell r="A117" t="str">
            <v>3SCA</v>
          </cell>
          <cell r="B117" t="str">
            <v>LOM-294</v>
          </cell>
          <cell r="C117" t="str">
            <v>LOME</v>
          </cell>
          <cell r="D117" t="str">
            <v>Akato</v>
          </cell>
          <cell r="E117">
            <v>70996456</v>
          </cell>
          <cell r="F117" t="str">
            <v>2G</v>
          </cell>
          <cell r="G117"/>
          <cell r="H117"/>
          <cell r="I117"/>
          <cell r="J117"/>
          <cell r="K117"/>
          <cell r="L117"/>
          <cell r="M117"/>
        </row>
        <row r="118">
          <cell r="A118" t="str">
            <v>MRG</v>
          </cell>
          <cell r="B118" t="str">
            <v>CEN-111</v>
          </cell>
          <cell r="C118" t="str">
            <v>CENTRALE</v>
          </cell>
          <cell r="D118" t="str">
            <v>AKAWLOU_MOOV</v>
          </cell>
          <cell r="E118">
            <v>70997263</v>
          </cell>
          <cell r="F118" t="str">
            <v>2G</v>
          </cell>
          <cell r="G118"/>
          <cell r="H118"/>
          <cell r="I118"/>
          <cell r="J118"/>
          <cell r="K118"/>
          <cell r="L118"/>
          <cell r="M118"/>
        </row>
        <row r="119">
          <cell r="A119" t="str">
            <v>MRG</v>
          </cell>
          <cell r="B119" t="str">
            <v>MAR-090</v>
          </cell>
          <cell r="C119" t="str">
            <v>MARITIME</v>
          </cell>
          <cell r="D119" t="str">
            <v>AKEPE</v>
          </cell>
          <cell r="E119">
            <v>70996604</v>
          </cell>
          <cell r="F119" t="str">
            <v>2G</v>
          </cell>
          <cell r="G119"/>
          <cell r="H119"/>
          <cell r="I119"/>
          <cell r="J119"/>
          <cell r="K119"/>
          <cell r="L119"/>
          <cell r="M119"/>
        </row>
        <row r="120">
          <cell r="A120" t="str">
            <v>3SCA</v>
          </cell>
          <cell r="B120" t="str">
            <v>LOM-269</v>
          </cell>
          <cell r="C120" t="str">
            <v>MARITIME</v>
          </cell>
          <cell r="D120" t="str">
            <v>Akepedo péage</v>
          </cell>
          <cell r="E120">
            <v>70996457</v>
          </cell>
          <cell r="F120" t="str">
            <v>2G</v>
          </cell>
          <cell r="G120"/>
          <cell r="H120"/>
          <cell r="I120"/>
          <cell r="J120"/>
          <cell r="K120"/>
          <cell r="L120"/>
          <cell r="M120"/>
        </row>
        <row r="121">
          <cell r="A121" t="str">
            <v>MRG</v>
          </cell>
          <cell r="B121" t="str">
            <v>MAR-162</v>
          </cell>
          <cell r="C121" t="str">
            <v>MARITIME</v>
          </cell>
          <cell r="D121" t="str">
            <v>AKLADJENOU</v>
          </cell>
          <cell r="E121">
            <v>70997393</v>
          </cell>
          <cell r="F121" t="str">
            <v>Android</v>
          </cell>
          <cell r="G121"/>
          <cell r="H121"/>
          <cell r="I121"/>
          <cell r="J121"/>
          <cell r="K121"/>
          <cell r="L121"/>
          <cell r="M121"/>
        </row>
        <row r="122">
          <cell r="A122" t="str">
            <v>3SCA</v>
          </cell>
          <cell r="B122" t="str">
            <v>MAR-026</v>
          </cell>
          <cell r="C122" t="str">
            <v>MARITIME</v>
          </cell>
          <cell r="D122" t="str">
            <v>AKLAKOU</v>
          </cell>
          <cell r="E122">
            <v>70996605</v>
          </cell>
          <cell r="F122" t="str">
            <v>2G</v>
          </cell>
          <cell r="G122"/>
          <cell r="H122"/>
          <cell r="I122"/>
          <cell r="J122"/>
          <cell r="K122"/>
          <cell r="L122"/>
          <cell r="M122"/>
        </row>
        <row r="123">
          <cell r="A123" t="str">
            <v>SSV</v>
          </cell>
          <cell r="B123" t="str">
            <v>LOM-191</v>
          </cell>
          <cell r="C123" t="str">
            <v>LOME</v>
          </cell>
          <cell r="D123" t="str">
            <v>AKODESSEWA</v>
          </cell>
          <cell r="E123">
            <v>70996606</v>
          </cell>
          <cell r="F123" t="str">
            <v>2G</v>
          </cell>
          <cell r="G123"/>
          <cell r="H123"/>
          <cell r="I123"/>
          <cell r="J123"/>
          <cell r="K123"/>
          <cell r="L123"/>
          <cell r="M123"/>
        </row>
        <row r="124">
          <cell r="A124" t="str">
            <v>MRG</v>
          </cell>
          <cell r="B124" t="str">
            <v>LOM-295</v>
          </cell>
          <cell r="C124" t="str">
            <v>LOME</v>
          </cell>
          <cell r="D124" t="str">
            <v>AKOIN</v>
          </cell>
          <cell r="E124">
            <v>70996501</v>
          </cell>
          <cell r="F124" t="str">
            <v>2G</v>
          </cell>
          <cell r="G124"/>
          <cell r="H124"/>
          <cell r="I124"/>
          <cell r="J124"/>
          <cell r="K124"/>
          <cell r="L124"/>
          <cell r="M124"/>
        </row>
        <row r="125">
          <cell r="A125" t="str">
            <v>EASY CONCEPT</v>
          </cell>
          <cell r="B125" t="str">
            <v>MAR-021</v>
          </cell>
          <cell r="C125" t="str">
            <v>MARITIME</v>
          </cell>
          <cell r="D125" t="str">
            <v>AKOUMAPE</v>
          </cell>
          <cell r="E125">
            <v>70996607</v>
          </cell>
          <cell r="F125" t="str">
            <v>2G</v>
          </cell>
          <cell r="G125"/>
          <cell r="H125"/>
          <cell r="I125"/>
          <cell r="J125"/>
          <cell r="K125"/>
          <cell r="L125"/>
          <cell r="M125"/>
        </row>
        <row r="126">
          <cell r="A126" t="str">
            <v>EASY CONCEPT</v>
          </cell>
          <cell r="B126" t="str">
            <v>PLA-122</v>
          </cell>
          <cell r="C126" t="str">
            <v>PLATEAUX</v>
          </cell>
          <cell r="D126" t="str">
            <v>AKPARE</v>
          </cell>
          <cell r="E126">
            <v>70996608</v>
          </cell>
          <cell r="F126" t="str">
            <v>2G</v>
          </cell>
          <cell r="G126"/>
          <cell r="H126"/>
          <cell r="I126"/>
          <cell r="J126"/>
          <cell r="K126"/>
          <cell r="L126"/>
          <cell r="M126"/>
        </row>
        <row r="127">
          <cell r="A127" t="str">
            <v>EASY CONCEPT</v>
          </cell>
          <cell r="B127" t="str">
            <v>MAR-139</v>
          </cell>
          <cell r="C127" t="str">
            <v>MARITIME</v>
          </cell>
          <cell r="D127" t="str">
            <v>AKPLODJIGA</v>
          </cell>
          <cell r="E127">
            <v>70996458</v>
          </cell>
          <cell r="F127" t="str">
            <v>2G</v>
          </cell>
          <cell r="G127"/>
          <cell r="H127"/>
          <cell r="I127"/>
          <cell r="J127"/>
          <cell r="K127"/>
          <cell r="L127"/>
          <cell r="M127"/>
        </row>
        <row r="128">
          <cell r="A128" t="str">
            <v>EASY CONCEPT</v>
          </cell>
          <cell r="B128" t="str">
            <v>SAV-073</v>
          </cell>
          <cell r="C128" t="str">
            <v>SAVANES</v>
          </cell>
          <cell r="D128" t="str">
            <v>AKPOSSOU</v>
          </cell>
          <cell r="E128">
            <v>70996609</v>
          </cell>
          <cell r="F128" t="str">
            <v>2G</v>
          </cell>
          <cell r="G128"/>
          <cell r="H128"/>
          <cell r="I128"/>
          <cell r="J128"/>
          <cell r="K128"/>
          <cell r="L128"/>
          <cell r="M128"/>
        </row>
        <row r="129">
          <cell r="A129" t="str">
            <v>EASY CONCEPT</v>
          </cell>
          <cell r="B129" t="str">
            <v>PLA-187</v>
          </cell>
          <cell r="C129" t="str">
            <v>PLATAUX</v>
          </cell>
          <cell r="D129" t="str">
            <v>ALAOUSSO</v>
          </cell>
          <cell r="E129">
            <v>70996610</v>
          </cell>
          <cell r="F129" t="str">
            <v>Android</v>
          </cell>
          <cell r="G129"/>
          <cell r="H129"/>
          <cell r="I129"/>
          <cell r="J129"/>
          <cell r="K129"/>
          <cell r="L129"/>
          <cell r="M129"/>
        </row>
        <row r="130">
          <cell r="A130" t="str">
            <v>MRG</v>
          </cell>
          <cell r="B130" t="str">
            <v>KAR-075</v>
          </cell>
          <cell r="C130" t="str">
            <v>KARA</v>
          </cell>
          <cell r="D130" t="str">
            <v>ALEDJO</v>
          </cell>
          <cell r="E130">
            <v>70996611</v>
          </cell>
          <cell r="F130" t="str">
            <v>2G</v>
          </cell>
          <cell r="G130"/>
          <cell r="H130"/>
          <cell r="I130"/>
          <cell r="J130"/>
          <cell r="K130"/>
          <cell r="L130"/>
          <cell r="M130"/>
        </row>
        <row r="131">
          <cell r="A131" t="str">
            <v>MRG</v>
          </cell>
          <cell r="B131"/>
          <cell r="C131" t="str">
            <v>KARA</v>
          </cell>
          <cell r="D131" t="str">
            <v>ALEDJO TELECOM</v>
          </cell>
          <cell r="E131">
            <v>70997303</v>
          </cell>
          <cell r="F131" t="str">
            <v>2G</v>
          </cell>
          <cell r="G131"/>
          <cell r="H131"/>
          <cell r="I131"/>
          <cell r="J131"/>
          <cell r="K131"/>
          <cell r="L131"/>
          <cell r="M131"/>
        </row>
        <row r="132">
          <cell r="A132" t="str">
            <v>MRG</v>
          </cell>
          <cell r="B132" t="str">
            <v>CEN-046</v>
          </cell>
          <cell r="C132" t="str">
            <v>CENTRALE</v>
          </cell>
          <cell r="D132" t="str">
            <v>ALEHERIDE</v>
          </cell>
          <cell r="E132">
            <v>70996612</v>
          </cell>
          <cell r="F132" t="str">
            <v>Android</v>
          </cell>
          <cell r="G132"/>
          <cell r="H132"/>
          <cell r="I132"/>
          <cell r="J132"/>
          <cell r="K132"/>
          <cell r="L132"/>
          <cell r="M132"/>
        </row>
        <row r="133">
          <cell r="A133" t="str">
            <v>MRG</v>
          </cell>
          <cell r="B133" t="str">
            <v>CEN-016</v>
          </cell>
          <cell r="C133" t="str">
            <v>CENTRALE</v>
          </cell>
          <cell r="D133" t="str">
            <v>ALIBI1</v>
          </cell>
          <cell r="E133">
            <v>70996613</v>
          </cell>
          <cell r="F133" t="str">
            <v>2G</v>
          </cell>
          <cell r="G133"/>
          <cell r="H133"/>
          <cell r="I133"/>
          <cell r="J133"/>
          <cell r="K133"/>
          <cell r="L133"/>
          <cell r="M133"/>
        </row>
        <row r="134">
          <cell r="A134" t="str">
            <v>3SCA</v>
          </cell>
          <cell r="B134" t="str">
            <v>CEN-017</v>
          </cell>
          <cell r="C134" t="str">
            <v>CENTRALE</v>
          </cell>
          <cell r="D134" t="str">
            <v>ALIBI2</v>
          </cell>
          <cell r="E134">
            <v>70996614</v>
          </cell>
          <cell r="F134" t="str">
            <v>2G</v>
          </cell>
          <cell r="G134"/>
          <cell r="H134"/>
          <cell r="I134"/>
          <cell r="J134"/>
          <cell r="K134"/>
          <cell r="L134"/>
          <cell r="M134"/>
        </row>
        <row r="135">
          <cell r="A135" t="str">
            <v>MRG</v>
          </cell>
          <cell r="B135" t="str">
            <v>PLA-040</v>
          </cell>
          <cell r="C135" t="str">
            <v>PLATEAUX</v>
          </cell>
          <cell r="D135" t="str">
            <v>ALIKPODJI</v>
          </cell>
          <cell r="E135">
            <v>70996615</v>
          </cell>
          <cell r="F135" t="str">
            <v>2G</v>
          </cell>
          <cell r="G135"/>
          <cell r="H135"/>
          <cell r="I135"/>
          <cell r="J135"/>
          <cell r="K135"/>
          <cell r="L135"/>
          <cell r="M135"/>
        </row>
        <row r="136">
          <cell r="A136" t="str">
            <v>MRG</v>
          </cell>
          <cell r="B136" t="str">
            <v>LOM-022</v>
          </cell>
          <cell r="C136" t="str">
            <v>LOME</v>
          </cell>
          <cell r="D136" t="str">
            <v>ALINKA</v>
          </cell>
          <cell r="E136">
            <v>70996616</v>
          </cell>
          <cell r="F136" t="str">
            <v>2G</v>
          </cell>
          <cell r="G136"/>
          <cell r="H136"/>
          <cell r="I136"/>
          <cell r="J136"/>
          <cell r="K136"/>
          <cell r="L136"/>
          <cell r="M136"/>
        </row>
        <row r="137">
          <cell r="A137" t="str">
            <v>EASY CONCEPT</v>
          </cell>
          <cell r="B137"/>
          <cell r="C137" t="str">
            <v>LOME</v>
          </cell>
          <cell r="D137" t="str">
            <v>ALINKA 3</v>
          </cell>
          <cell r="E137">
            <v>70997342</v>
          </cell>
          <cell r="F137" t="str">
            <v>2G</v>
          </cell>
          <cell r="G137"/>
          <cell r="H137"/>
          <cell r="I137"/>
          <cell r="J137"/>
          <cell r="K137"/>
          <cell r="L137"/>
          <cell r="M137"/>
        </row>
        <row r="138">
          <cell r="A138" t="str">
            <v>MRG</v>
          </cell>
          <cell r="B138" t="str">
            <v>LOM-328</v>
          </cell>
          <cell r="C138" t="str">
            <v>LOME</v>
          </cell>
          <cell r="D138" t="str">
            <v>ALOGAVI</v>
          </cell>
          <cell r="E138">
            <v>70997320</v>
          </cell>
          <cell r="F138" t="str">
            <v>2G</v>
          </cell>
          <cell r="G138"/>
          <cell r="H138"/>
          <cell r="I138"/>
          <cell r="J138"/>
          <cell r="K138"/>
          <cell r="L138"/>
          <cell r="M138"/>
        </row>
        <row r="139">
          <cell r="A139" t="str">
            <v>MRG</v>
          </cell>
          <cell r="B139" t="str">
            <v>MAR-051</v>
          </cell>
          <cell r="C139" t="str">
            <v>MARITIME</v>
          </cell>
          <cell r="D139" t="str">
            <v>ALOKOEGBE</v>
          </cell>
          <cell r="E139">
            <v>70996617</v>
          </cell>
          <cell r="F139" t="str">
            <v>Android</v>
          </cell>
          <cell r="G139"/>
          <cell r="H139"/>
          <cell r="I139"/>
          <cell r="J139"/>
          <cell r="K139"/>
          <cell r="L139"/>
          <cell r="M139"/>
        </row>
        <row r="140">
          <cell r="A140" t="str">
            <v>MRG</v>
          </cell>
          <cell r="B140" t="str">
            <v>LOM-057</v>
          </cell>
          <cell r="C140" t="str">
            <v>LOME</v>
          </cell>
          <cell r="D140" t="str">
            <v>AMADAHOME 1</v>
          </cell>
          <cell r="E140">
            <v>70996619</v>
          </cell>
          <cell r="F140" t="str">
            <v>2G</v>
          </cell>
          <cell r="G140"/>
          <cell r="H140"/>
          <cell r="I140"/>
          <cell r="J140"/>
          <cell r="K140"/>
          <cell r="L140"/>
          <cell r="M140"/>
        </row>
        <row r="141">
          <cell r="A141" t="str">
            <v>3SCA</v>
          </cell>
          <cell r="B141" t="str">
            <v>LOM-058</v>
          </cell>
          <cell r="C141" t="str">
            <v>LOME</v>
          </cell>
          <cell r="D141" t="str">
            <v>AMADAHOME 2</v>
          </cell>
          <cell r="E141">
            <v>70996620</v>
          </cell>
          <cell r="F141" t="str">
            <v>2G</v>
          </cell>
          <cell r="G141"/>
          <cell r="H141"/>
          <cell r="I141"/>
          <cell r="J141"/>
          <cell r="K141"/>
          <cell r="L141"/>
          <cell r="M141"/>
        </row>
        <row r="142">
          <cell r="A142" t="str">
            <v>MRG</v>
          </cell>
          <cell r="B142" t="str">
            <v>CEN-047</v>
          </cell>
          <cell r="C142" t="str">
            <v>CENTRALE</v>
          </cell>
          <cell r="D142" t="str">
            <v>AMAOUDE</v>
          </cell>
          <cell r="E142">
            <v>70996621</v>
          </cell>
          <cell r="F142" t="str">
            <v>2G</v>
          </cell>
          <cell r="G142"/>
          <cell r="H142"/>
          <cell r="I142"/>
          <cell r="J142"/>
          <cell r="K142"/>
          <cell r="L142"/>
          <cell r="M142"/>
        </row>
        <row r="143">
          <cell r="A143" t="str">
            <v>MRG</v>
          </cell>
          <cell r="B143" t="str">
            <v>LOM-050</v>
          </cell>
          <cell r="C143" t="str">
            <v>LOME</v>
          </cell>
          <cell r="D143" t="str">
            <v>AMEDENTA</v>
          </cell>
          <cell r="E143">
            <v>70996622</v>
          </cell>
          <cell r="F143" t="str">
            <v>2G</v>
          </cell>
          <cell r="G143"/>
          <cell r="H143"/>
          <cell r="I143"/>
          <cell r="J143"/>
          <cell r="K143"/>
          <cell r="L143"/>
          <cell r="M143"/>
        </row>
        <row r="144">
          <cell r="A144" t="str">
            <v>MRG</v>
          </cell>
          <cell r="B144" t="str">
            <v>LOM-329</v>
          </cell>
          <cell r="C144" t="str">
            <v>LOME</v>
          </cell>
          <cell r="D144" t="str">
            <v>AMEGANSHI KOPE</v>
          </cell>
          <cell r="E144">
            <v>70996508</v>
          </cell>
          <cell r="F144" t="str">
            <v>2G</v>
          </cell>
          <cell r="G144"/>
          <cell r="H144"/>
          <cell r="I144"/>
          <cell r="J144"/>
          <cell r="K144"/>
          <cell r="L144"/>
          <cell r="M144"/>
        </row>
        <row r="145">
          <cell r="A145" t="str">
            <v>MRG</v>
          </cell>
          <cell r="B145" t="str">
            <v>LOM-329</v>
          </cell>
          <cell r="C145" t="str">
            <v>LOME</v>
          </cell>
          <cell r="D145" t="str">
            <v>AMEGANSI KOPE</v>
          </cell>
          <cell r="E145">
            <v>70997321</v>
          </cell>
          <cell r="F145" t="str">
            <v>2G</v>
          </cell>
          <cell r="G145"/>
          <cell r="H145"/>
          <cell r="I145"/>
          <cell r="J145"/>
          <cell r="K145"/>
          <cell r="L145"/>
          <cell r="M145"/>
        </row>
        <row r="146">
          <cell r="A146" t="str">
            <v>MRG</v>
          </cell>
          <cell r="B146" t="str">
            <v>MAR-034</v>
          </cell>
          <cell r="C146" t="str">
            <v>MARITIME</v>
          </cell>
          <cell r="D146" t="str">
            <v>AMEGNRAN</v>
          </cell>
          <cell r="E146">
            <v>70996623</v>
          </cell>
          <cell r="F146" t="str">
            <v>2G</v>
          </cell>
          <cell r="G146"/>
          <cell r="H146"/>
          <cell r="I146"/>
          <cell r="J146"/>
          <cell r="K146"/>
          <cell r="L146"/>
          <cell r="M146"/>
        </row>
        <row r="147">
          <cell r="A147" t="str">
            <v>MRG</v>
          </cell>
          <cell r="B147" t="str">
            <v>PLA-102</v>
          </cell>
          <cell r="C147" t="str">
            <v>PLATEAUX</v>
          </cell>
          <cell r="D147" t="str">
            <v>AMLAME 1</v>
          </cell>
          <cell r="E147">
            <v>70996624</v>
          </cell>
          <cell r="F147" t="str">
            <v>2G</v>
          </cell>
          <cell r="G147"/>
          <cell r="H147"/>
          <cell r="I147"/>
          <cell r="J147"/>
          <cell r="K147"/>
          <cell r="L147"/>
          <cell r="M147"/>
        </row>
        <row r="148">
          <cell r="A148" t="str">
            <v>MRG</v>
          </cell>
          <cell r="B148"/>
          <cell r="C148" t="str">
            <v>PLATEAUX</v>
          </cell>
          <cell r="D148" t="str">
            <v>AMLAME 2</v>
          </cell>
          <cell r="E148">
            <v>70996625</v>
          </cell>
          <cell r="F148" t="str">
            <v>2G</v>
          </cell>
          <cell r="G148"/>
          <cell r="H148"/>
          <cell r="I148"/>
          <cell r="J148"/>
          <cell r="K148"/>
          <cell r="L148"/>
          <cell r="M148"/>
        </row>
        <row r="149">
          <cell r="A149" t="str">
            <v>3SCA</v>
          </cell>
          <cell r="B149"/>
          <cell r="C149" t="str">
            <v>PLATEAUX</v>
          </cell>
          <cell r="D149" t="str">
            <v>AMLAME 3</v>
          </cell>
          <cell r="E149">
            <v>70997358</v>
          </cell>
          <cell r="F149" t="str">
            <v>2G</v>
          </cell>
          <cell r="G149"/>
          <cell r="H149"/>
          <cell r="I149"/>
          <cell r="J149"/>
          <cell r="K149"/>
          <cell r="L149"/>
          <cell r="M149"/>
        </row>
        <row r="150">
          <cell r="A150" t="str">
            <v>3SCA</v>
          </cell>
          <cell r="B150"/>
          <cell r="C150" t="str">
            <v>PLATEAUX</v>
          </cell>
          <cell r="D150" t="str">
            <v>AMOU OBLO 2</v>
          </cell>
          <cell r="E150">
            <v>70997350</v>
          </cell>
          <cell r="F150" t="str">
            <v>2G</v>
          </cell>
          <cell r="G150"/>
          <cell r="H150"/>
          <cell r="I150"/>
          <cell r="J150"/>
          <cell r="K150"/>
          <cell r="L150"/>
          <cell r="M150"/>
        </row>
        <row r="151">
          <cell r="A151" t="str">
            <v>3SCA</v>
          </cell>
          <cell r="B151" t="str">
            <v>PLA-116</v>
          </cell>
          <cell r="C151" t="str">
            <v>PLATEAUX</v>
          </cell>
          <cell r="D151" t="str">
            <v>AMOU-OBLO</v>
          </cell>
          <cell r="E151">
            <v>70996626</v>
          </cell>
          <cell r="F151" t="str">
            <v>2G</v>
          </cell>
          <cell r="G151"/>
          <cell r="H151"/>
          <cell r="I151"/>
          <cell r="J151"/>
          <cell r="K151"/>
          <cell r="L151"/>
          <cell r="M151"/>
        </row>
        <row r="152">
          <cell r="A152" t="str">
            <v>3SCA</v>
          </cell>
          <cell r="B152" t="str">
            <v>PLA-041</v>
          </cell>
          <cell r="C152" t="str">
            <v>PLATEAUX</v>
          </cell>
          <cell r="D152" t="str">
            <v>AMOUSSOUKOPE</v>
          </cell>
          <cell r="E152">
            <v>70996627</v>
          </cell>
          <cell r="F152" t="str">
            <v>Android</v>
          </cell>
          <cell r="G152"/>
          <cell r="H152"/>
          <cell r="I152"/>
          <cell r="J152"/>
          <cell r="K152"/>
          <cell r="L152"/>
          <cell r="M152"/>
        </row>
        <row r="153">
          <cell r="A153" t="str">
            <v>3SCA</v>
          </cell>
          <cell r="B153" t="str">
            <v>PLA-123</v>
          </cell>
          <cell r="C153" t="str">
            <v>PLATEAUX</v>
          </cell>
          <cell r="D153" t="str">
            <v>AMOUTCHOU</v>
          </cell>
          <cell r="E153">
            <v>70996628</v>
          </cell>
          <cell r="F153" t="str">
            <v>2G</v>
          </cell>
          <cell r="G153"/>
          <cell r="H153"/>
          <cell r="I153"/>
          <cell r="J153"/>
          <cell r="K153"/>
          <cell r="L153"/>
          <cell r="M153"/>
        </row>
        <row r="154">
          <cell r="A154" t="str">
            <v>3SCA</v>
          </cell>
          <cell r="B154" t="str">
            <v>MAR-013</v>
          </cell>
          <cell r="C154" t="str">
            <v>MARITIME</v>
          </cell>
          <cell r="D154" t="str">
            <v>ANEHO</v>
          </cell>
          <cell r="E154">
            <v>70996629</v>
          </cell>
          <cell r="F154" t="str">
            <v>2G</v>
          </cell>
          <cell r="G154"/>
          <cell r="H154"/>
          <cell r="I154"/>
          <cell r="J154"/>
          <cell r="K154"/>
          <cell r="L154"/>
          <cell r="M154"/>
        </row>
        <row r="155">
          <cell r="A155" t="str">
            <v>3SCA</v>
          </cell>
          <cell r="B155" t="str">
            <v>MAR-145</v>
          </cell>
          <cell r="C155" t="str">
            <v>MARITIME</v>
          </cell>
          <cell r="D155" t="str">
            <v>ANEHO GLIDJI</v>
          </cell>
          <cell r="E155">
            <v>70997330</v>
          </cell>
          <cell r="F155" t="str">
            <v>2G</v>
          </cell>
          <cell r="G155"/>
          <cell r="H155"/>
          <cell r="I155"/>
          <cell r="J155"/>
          <cell r="K155"/>
          <cell r="L155"/>
          <cell r="M155"/>
        </row>
        <row r="156">
          <cell r="A156" t="str">
            <v>MRG</v>
          </cell>
          <cell r="B156"/>
          <cell r="C156" t="str">
            <v>MARITIME</v>
          </cell>
          <cell r="D156" t="str">
            <v>ANEHO ZEBEVI</v>
          </cell>
          <cell r="E156">
            <v>70997392</v>
          </cell>
          <cell r="F156" t="str">
            <v>2G</v>
          </cell>
          <cell r="G156"/>
          <cell r="H156"/>
          <cell r="I156"/>
          <cell r="J156"/>
          <cell r="K156"/>
          <cell r="L156"/>
          <cell r="M156"/>
        </row>
        <row r="157">
          <cell r="A157" t="str">
            <v>3SCA</v>
          </cell>
          <cell r="B157"/>
          <cell r="C157"/>
          <cell r="D157" t="str">
            <v>ANEHO-JERICHO</v>
          </cell>
          <cell r="E157"/>
          <cell r="F157"/>
          <cell r="G157"/>
          <cell r="H157"/>
          <cell r="I157"/>
          <cell r="J157"/>
          <cell r="K157"/>
          <cell r="L157"/>
          <cell r="M157"/>
        </row>
        <row r="158">
          <cell r="A158" t="str">
            <v>MRG</v>
          </cell>
          <cell r="B158" t="str">
            <v>MAR-014</v>
          </cell>
          <cell r="C158" t="str">
            <v>MARITIME</v>
          </cell>
          <cell r="D158" t="str">
            <v>ANEHO-JERICO</v>
          </cell>
          <cell r="E158">
            <v>70996630</v>
          </cell>
          <cell r="F158" t="str">
            <v>2G</v>
          </cell>
          <cell r="G158"/>
          <cell r="H158"/>
          <cell r="I158"/>
          <cell r="J158"/>
          <cell r="K158"/>
          <cell r="L158"/>
          <cell r="M158"/>
        </row>
        <row r="159">
          <cell r="A159" t="str">
            <v>MRG</v>
          </cell>
          <cell r="B159" t="str">
            <v>MAR-015</v>
          </cell>
          <cell r="C159" t="str">
            <v>MARITIME</v>
          </cell>
          <cell r="D159" t="str">
            <v xml:space="preserve">ANEHO-KPOTA </v>
          </cell>
          <cell r="E159">
            <v>70996631</v>
          </cell>
          <cell r="F159" t="str">
            <v>2G</v>
          </cell>
          <cell r="G159"/>
          <cell r="H159"/>
          <cell r="I159"/>
          <cell r="J159"/>
          <cell r="K159"/>
          <cell r="L159"/>
          <cell r="M159"/>
        </row>
        <row r="160">
          <cell r="A160" t="str">
            <v>MRG</v>
          </cell>
          <cell r="B160" t="str">
            <v>MAR-016</v>
          </cell>
          <cell r="C160" t="str">
            <v>MARITIME</v>
          </cell>
          <cell r="D160" t="str">
            <v>ANEHO-PEAGE</v>
          </cell>
          <cell r="E160">
            <v>70996632</v>
          </cell>
          <cell r="F160" t="str">
            <v>2G</v>
          </cell>
          <cell r="G160"/>
          <cell r="H160"/>
          <cell r="I160"/>
          <cell r="J160"/>
          <cell r="K160"/>
          <cell r="L160"/>
          <cell r="M160"/>
        </row>
        <row r="161">
          <cell r="A161" t="str">
            <v>MRG</v>
          </cell>
          <cell r="B161" t="str">
            <v>MAR-072</v>
          </cell>
          <cell r="C161" t="str">
            <v>MARITIME</v>
          </cell>
          <cell r="D161" t="str">
            <v>ANEHO-YESUVITO</v>
          </cell>
          <cell r="E161">
            <v>70996633</v>
          </cell>
          <cell r="F161" t="str">
            <v>2G</v>
          </cell>
          <cell r="G161"/>
          <cell r="H161"/>
          <cell r="I161"/>
          <cell r="J161"/>
          <cell r="K161"/>
          <cell r="L161"/>
          <cell r="M161"/>
        </row>
        <row r="162">
          <cell r="A162" t="str">
            <v>MRG</v>
          </cell>
          <cell r="B162" t="str">
            <v>LOM-192</v>
          </cell>
          <cell r="C162" t="str">
            <v>LOME</v>
          </cell>
          <cell r="D162" t="str">
            <v>ANFAME</v>
          </cell>
          <cell r="E162">
            <v>70996529</v>
          </cell>
          <cell r="F162" t="str">
            <v>2G</v>
          </cell>
          <cell r="G162"/>
          <cell r="H162"/>
          <cell r="I162"/>
          <cell r="J162"/>
          <cell r="K162"/>
          <cell r="L162"/>
          <cell r="M162"/>
        </row>
        <row r="163">
          <cell r="A163" t="str">
            <v>MRG</v>
          </cell>
          <cell r="B163" t="str">
            <v>MAR-027</v>
          </cell>
          <cell r="C163" t="str">
            <v>MARITIME</v>
          </cell>
          <cell r="D163" t="str">
            <v>ANFOIN</v>
          </cell>
          <cell r="E163">
            <v>70996634</v>
          </cell>
          <cell r="F163" t="str">
            <v>2G</v>
          </cell>
          <cell r="G163"/>
          <cell r="H163"/>
          <cell r="I163"/>
          <cell r="J163"/>
          <cell r="K163"/>
          <cell r="L163"/>
          <cell r="M163"/>
        </row>
        <row r="164">
          <cell r="A164" t="str">
            <v>MRG</v>
          </cell>
          <cell r="B164" t="str">
            <v>PLA-083</v>
          </cell>
          <cell r="C164" t="str">
            <v>PLATEAUX</v>
          </cell>
          <cell r="D164" t="str">
            <v>ANIE</v>
          </cell>
          <cell r="E164">
            <v>70996635</v>
          </cell>
          <cell r="F164" t="str">
            <v>2G</v>
          </cell>
          <cell r="G164"/>
          <cell r="H164"/>
          <cell r="I164"/>
          <cell r="J164"/>
          <cell r="K164"/>
          <cell r="L164"/>
          <cell r="M164"/>
        </row>
        <row r="165">
          <cell r="A165" t="str">
            <v>MRG</v>
          </cell>
          <cell r="B165"/>
          <cell r="C165"/>
          <cell r="D165" t="str">
            <v>ANIE 1</v>
          </cell>
          <cell r="E165"/>
          <cell r="F165"/>
          <cell r="G165"/>
          <cell r="H165"/>
          <cell r="I165"/>
          <cell r="J165"/>
          <cell r="K165"/>
          <cell r="L165"/>
          <cell r="M165"/>
        </row>
        <row r="166">
          <cell r="A166" t="str">
            <v>3SCA</v>
          </cell>
          <cell r="B166"/>
          <cell r="C166" t="str">
            <v>PLATEAUX</v>
          </cell>
          <cell r="D166" t="str">
            <v>ANIE 4</v>
          </cell>
          <cell r="E166">
            <v>70996637</v>
          </cell>
          <cell r="F166" t="str">
            <v>2G</v>
          </cell>
          <cell r="G166"/>
          <cell r="H166"/>
          <cell r="I166"/>
          <cell r="J166"/>
          <cell r="K166"/>
          <cell r="L166"/>
          <cell r="M166"/>
        </row>
        <row r="167">
          <cell r="A167" t="str">
            <v>EASY CONCEPT</v>
          </cell>
          <cell r="B167"/>
          <cell r="C167"/>
          <cell r="D167" t="str">
            <v>ANIE 5</v>
          </cell>
          <cell r="E167"/>
          <cell r="F167"/>
          <cell r="G167"/>
          <cell r="H167"/>
          <cell r="I167"/>
          <cell r="J167"/>
          <cell r="K167"/>
          <cell r="L167"/>
          <cell r="M167"/>
        </row>
        <row r="168">
          <cell r="A168" t="str">
            <v>EASY CONCEPT</v>
          </cell>
          <cell r="B168" t="str">
            <v>PLA-214</v>
          </cell>
          <cell r="C168" t="str">
            <v>PLATEAUX</v>
          </cell>
          <cell r="D168" t="str">
            <v>ANIE 7</v>
          </cell>
          <cell r="E168">
            <v>70996510</v>
          </cell>
          <cell r="F168" t="str">
            <v>2G</v>
          </cell>
          <cell r="G168"/>
          <cell r="H168"/>
          <cell r="I168"/>
          <cell r="J168"/>
          <cell r="K168"/>
          <cell r="L168"/>
          <cell r="M168"/>
        </row>
        <row r="169">
          <cell r="A169" t="str">
            <v>EASY CONCEPT</v>
          </cell>
          <cell r="B169"/>
          <cell r="C169" t="str">
            <v>PLATEAUX</v>
          </cell>
          <cell r="D169" t="str">
            <v>ANIE KABLEKOPE (ANIE5)</v>
          </cell>
          <cell r="E169" t="str">
            <v>70996636</v>
          </cell>
          <cell r="F169" t="str">
            <v>Android</v>
          </cell>
          <cell r="G169"/>
          <cell r="H169"/>
          <cell r="I169"/>
          <cell r="J169"/>
          <cell r="K169"/>
          <cell r="L169"/>
          <cell r="M169"/>
        </row>
        <row r="170">
          <cell r="A170" t="str">
            <v>EASY CONCEPT</v>
          </cell>
          <cell r="B170" t="str">
            <v>PLA-256</v>
          </cell>
          <cell r="C170" t="str">
            <v>PLATEAUX</v>
          </cell>
          <cell r="D170" t="str">
            <v>ANIE KPOTAME</v>
          </cell>
          <cell r="E170"/>
          <cell r="F170" t="str">
            <v>2G</v>
          </cell>
          <cell r="G170"/>
          <cell r="H170"/>
          <cell r="I170"/>
          <cell r="J170"/>
          <cell r="K170"/>
          <cell r="L170"/>
          <cell r="M170"/>
        </row>
        <row r="171">
          <cell r="A171" t="str">
            <v>MRG</v>
          </cell>
          <cell r="B171" t="str">
            <v>PLA-084</v>
          </cell>
          <cell r="C171" t="str">
            <v>PLATEAUX</v>
          </cell>
          <cell r="D171" t="str">
            <v>ANIE MISSION</v>
          </cell>
          <cell r="E171">
            <v>70996638</v>
          </cell>
          <cell r="F171" t="str">
            <v>Android</v>
          </cell>
          <cell r="G171"/>
          <cell r="H171"/>
          <cell r="I171"/>
          <cell r="J171"/>
          <cell r="K171"/>
          <cell r="L171"/>
          <cell r="M171"/>
        </row>
        <row r="172">
          <cell r="A172" t="str">
            <v>MRG</v>
          </cell>
          <cell r="B172"/>
          <cell r="C172"/>
          <cell r="D172" t="str">
            <v xml:space="preserve">ANIE MISSION </v>
          </cell>
          <cell r="E172"/>
          <cell r="F172"/>
          <cell r="G172"/>
          <cell r="H172"/>
          <cell r="I172"/>
          <cell r="J172"/>
          <cell r="K172"/>
          <cell r="L172"/>
          <cell r="M172"/>
        </row>
        <row r="173">
          <cell r="A173" t="str">
            <v>MRG</v>
          </cell>
          <cell r="B173" t="str">
            <v>PLA-085</v>
          </cell>
          <cell r="C173" t="str">
            <v>PLATEAUX</v>
          </cell>
          <cell r="D173" t="str">
            <v>ANIE TCHIMTOYI</v>
          </cell>
          <cell r="E173">
            <v>70996639</v>
          </cell>
          <cell r="F173" t="str">
            <v>2G</v>
          </cell>
          <cell r="G173"/>
          <cell r="H173"/>
          <cell r="I173"/>
          <cell r="J173"/>
          <cell r="K173"/>
          <cell r="L173"/>
          <cell r="M173"/>
        </row>
        <row r="174">
          <cell r="A174" t="str">
            <v>MRG</v>
          </cell>
          <cell r="B174" t="str">
            <v>LOM-017</v>
          </cell>
          <cell r="C174" t="str">
            <v>LOME</v>
          </cell>
          <cell r="D174" t="str">
            <v>ANOME</v>
          </cell>
          <cell r="E174">
            <v>70996640</v>
          </cell>
          <cell r="F174" t="str">
            <v>2G</v>
          </cell>
          <cell r="G174"/>
          <cell r="H174"/>
          <cell r="I174"/>
          <cell r="J174"/>
          <cell r="K174"/>
          <cell r="L174"/>
          <cell r="M174"/>
        </row>
        <row r="175">
          <cell r="A175" t="str">
            <v>3SCA</v>
          </cell>
          <cell r="B175" t="str">
            <v>LOM-272</v>
          </cell>
          <cell r="C175" t="str">
            <v>MARITIME</v>
          </cell>
          <cell r="D175" t="str">
            <v>ANYAVE</v>
          </cell>
          <cell r="E175">
            <v>70996408</v>
          </cell>
          <cell r="F175" t="str">
            <v>2G</v>
          </cell>
          <cell r="G175"/>
          <cell r="H175"/>
          <cell r="I175"/>
          <cell r="J175"/>
          <cell r="K175"/>
          <cell r="L175"/>
          <cell r="M175"/>
        </row>
        <row r="176">
          <cell r="A176" t="str">
            <v>MRG</v>
          </cell>
          <cell r="B176"/>
          <cell r="C176" t="str">
            <v>PLATEAUX</v>
          </cell>
          <cell r="D176" t="str">
            <v>Aou MONO</v>
          </cell>
          <cell r="E176" t="str">
            <v>70996642</v>
          </cell>
          <cell r="F176" t="str">
            <v>Android</v>
          </cell>
          <cell r="G176"/>
          <cell r="H176"/>
          <cell r="I176"/>
          <cell r="J176"/>
          <cell r="K176"/>
          <cell r="L176"/>
          <cell r="M176"/>
        </row>
        <row r="177">
          <cell r="A177" t="str">
            <v>MRG</v>
          </cell>
          <cell r="B177" t="str">
            <v>CEN-037</v>
          </cell>
          <cell r="C177" t="str">
            <v>CENTRALE</v>
          </cell>
          <cell r="D177" t="str">
            <v>AOUDA</v>
          </cell>
          <cell r="E177">
            <v>70996641</v>
          </cell>
          <cell r="F177" t="str">
            <v>2G</v>
          </cell>
          <cell r="G177"/>
          <cell r="H177"/>
          <cell r="I177"/>
          <cell r="J177"/>
          <cell r="K177"/>
          <cell r="L177"/>
          <cell r="M177"/>
        </row>
        <row r="178">
          <cell r="A178" t="str">
            <v>MRG</v>
          </cell>
          <cell r="B178" t="str">
            <v>CEN-096</v>
          </cell>
          <cell r="C178" t="str">
            <v>CENTRALE</v>
          </cell>
          <cell r="D178" t="str">
            <v>AOUMATCHATOM</v>
          </cell>
          <cell r="E178">
            <v>70996459</v>
          </cell>
          <cell r="F178" t="str">
            <v>2G</v>
          </cell>
          <cell r="G178"/>
          <cell r="H178"/>
          <cell r="I178"/>
          <cell r="J178"/>
          <cell r="K178"/>
          <cell r="L178"/>
          <cell r="M178"/>
        </row>
        <row r="179">
          <cell r="A179" t="str">
            <v>MRG</v>
          </cell>
          <cell r="B179"/>
          <cell r="C179" t="str">
            <v>CENTRALE</v>
          </cell>
          <cell r="D179" t="str">
            <v>AOUMATCHATOM</v>
          </cell>
          <cell r="E179" t="str">
            <v>70996459</v>
          </cell>
          <cell r="F179" t="str">
            <v>Android</v>
          </cell>
          <cell r="G179"/>
          <cell r="H179"/>
          <cell r="I179"/>
          <cell r="J179"/>
          <cell r="K179"/>
          <cell r="L179"/>
          <cell r="M179"/>
        </row>
        <row r="180">
          <cell r="A180" t="str">
            <v>EASY CONCEPT</v>
          </cell>
          <cell r="B180" t="str">
            <v>CEN-091</v>
          </cell>
          <cell r="C180" t="str">
            <v>CENTRALE</v>
          </cell>
          <cell r="D180" t="str">
            <v>AOU-MONO</v>
          </cell>
          <cell r="E180" t="str">
            <v>70996642</v>
          </cell>
          <cell r="F180" t="str">
            <v>Android</v>
          </cell>
          <cell r="G180"/>
          <cell r="H180"/>
          <cell r="I180"/>
          <cell r="J180"/>
          <cell r="K180"/>
          <cell r="L180"/>
          <cell r="M180"/>
        </row>
        <row r="181">
          <cell r="A181" t="str">
            <v>EASY CONCEPT</v>
          </cell>
          <cell r="B181" t="str">
            <v>LOM-063</v>
          </cell>
          <cell r="C181" t="str">
            <v>LOME</v>
          </cell>
          <cell r="D181" t="str">
            <v>APEDOKOE</v>
          </cell>
          <cell r="E181">
            <v>70996643</v>
          </cell>
          <cell r="F181" t="str">
            <v>2G</v>
          </cell>
          <cell r="G181"/>
          <cell r="H181"/>
          <cell r="I181"/>
          <cell r="J181"/>
          <cell r="K181"/>
          <cell r="L181"/>
          <cell r="M181"/>
        </row>
        <row r="182">
          <cell r="A182" t="str">
            <v>3SCA</v>
          </cell>
          <cell r="B182" t="str">
            <v>LOM-373</v>
          </cell>
          <cell r="C182" t="str">
            <v>PLATEAUX</v>
          </cell>
          <cell r="D182" t="str">
            <v>APEDOKOE GBOMAME</v>
          </cell>
          <cell r="E182" t="str">
            <v>91 77 58 51</v>
          </cell>
          <cell r="F182" t="str">
            <v>2G</v>
          </cell>
          <cell r="G182"/>
          <cell r="H182"/>
          <cell r="I182"/>
          <cell r="J182"/>
          <cell r="K182"/>
          <cell r="L182"/>
          <cell r="M182"/>
        </row>
        <row r="183">
          <cell r="A183" t="str">
            <v>3SCA</v>
          </cell>
          <cell r="B183" t="str">
            <v>LOM-248</v>
          </cell>
          <cell r="C183" t="str">
            <v>LOME</v>
          </cell>
          <cell r="D183" t="str">
            <v>APESSITO</v>
          </cell>
          <cell r="E183">
            <v>70996428</v>
          </cell>
          <cell r="F183" t="str">
            <v>2G</v>
          </cell>
          <cell r="G183"/>
          <cell r="H183"/>
          <cell r="I183"/>
          <cell r="J183"/>
          <cell r="K183"/>
          <cell r="L183"/>
          <cell r="M183"/>
        </row>
        <row r="184">
          <cell r="A184" t="str">
            <v>MRG</v>
          </cell>
          <cell r="B184" t="str">
            <v>PLA-109</v>
          </cell>
          <cell r="C184" t="str">
            <v>PLATEAUX</v>
          </cell>
          <cell r="D184" t="str">
            <v>ASRAMA</v>
          </cell>
          <cell r="E184">
            <v>70996644</v>
          </cell>
          <cell r="F184" t="str">
            <v>2G</v>
          </cell>
          <cell r="G184"/>
          <cell r="H184"/>
          <cell r="I184"/>
          <cell r="J184"/>
          <cell r="K184"/>
          <cell r="L184"/>
          <cell r="M184"/>
        </row>
        <row r="185">
          <cell r="A185" t="str">
            <v>MRG</v>
          </cell>
          <cell r="B185" t="str">
            <v>MAR-052</v>
          </cell>
          <cell r="C185" t="str">
            <v>MARITIME</v>
          </cell>
          <cell r="D185" t="str">
            <v>ASSAHOUN</v>
          </cell>
          <cell r="E185">
            <v>70996645</v>
          </cell>
          <cell r="F185" t="str">
            <v>2G</v>
          </cell>
          <cell r="G185"/>
          <cell r="H185"/>
          <cell r="I185"/>
          <cell r="J185"/>
          <cell r="K185"/>
          <cell r="L185"/>
          <cell r="M185"/>
        </row>
        <row r="186">
          <cell r="A186" t="str">
            <v>MRG</v>
          </cell>
          <cell r="B186" t="str">
            <v>PLA-215</v>
          </cell>
          <cell r="C186" t="str">
            <v>PLATEAUX</v>
          </cell>
          <cell r="D186" t="str">
            <v>ASSANTE</v>
          </cell>
          <cell r="E186">
            <v>70997359</v>
          </cell>
          <cell r="F186" t="str">
            <v>2G</v>
          </cell>
          <cell r="G186"/>
          <cell r="H186"/>
          <cell r="I186"/>
          <cell r="J186"/>
          <cell r="K186"/>
          <cell r="L186"/>
          <cell r="M186"/>
        </row>
        <row r="187">
          <cell r="A187" t="str">
            <v>MRG</v>
          </cell>
          <cell r="B187"/>
          <cell r="C187" t="str">
            <v>PLATEAUX</v>
          </cell>
          <cell r="D187" t="str">
            <v>ASSANTE</v>
          </cell>
          <cell r="E187">
            <v>70997365</v>
          </cell>
          <cell r="F187" t="str">
            <v>Android</v>
          </cell>
          <cell r="G187"/>
          <cell r="H187"/>
          <cell r="I187"/>
          <cell r="J187"/>
          <cell r="K187"/>
          <cell r="L187"/>
          <cell r="M187"/>
        </row>
        <row r="188">
          <cell r="A188" t="str">
            <v>MRG</v>
          </cell>
          <cell r="B188" t="str">
            <v>LOM-359</v>
          </cell>
          <cell r="C188" t="str">
            <v>LOME</v>
          </cell>
          <cell r="D188" t="str">
            <v>ASSIGANTO</v>
          </cell>
          <cell r="E188">
            <v>70997322</v>
          </cell>
          <cell r="F188" t="str">
            <v>2G</v>
          </cell>
          <cell r="G188"/>
          <cell r="H188"/>
          <cell r="I188"/>
          <cell r="J188"/>
          <cell r="K188"/>
          <cell r="L188"/>
          <cell r="M188"/>
        </row>
        <row r="189">
          <cell r="A189" t="str">
            <v>MRG</v>
          </cell>
          <cell r="B189" t="str">
            <v>LOM-232</v>
          </cell>
          <cell r="C189" t="str">
            <v>LOME</v>
          </cell>
          <cell r="D189" t="str">
            <v>ASSIGOME</v>
          </cell>
          <cell r="E189">
            <v>70996646</v>
          </cell>
          <cell r="F189" t="str">
            <v>2G</v>
          </cell>
          <cell r="G189"/>
          <cell r="H189"/>
          <cell r="I189"/>
          <cell r="J189"/>
          <cell r="K189"/>
          <cell r="L189"/>
          <cell r="M189"/>
        </row>
        <row r="190">
          <cell r="A190" t="str">
            <v>MRG</v>
          </cell>
          <cell r="B190" t="str">
            <v>CEN-070</v>
          </cell>
          <cell r="C190" t="str">
            <v>CENTRALE</v>
          </cell>
          <cell r="D190" t="str">
            <v>ASSOKOKO</v>
          </cell>
          <cell r="E190">
            <v>70996648</v>
          </cell>
          <cell r="F190" t="str">
            <v>2G</v>
          </cell>
          <cell r="G190"/>
          <cell r="H190"/>
          <cell r="I190"/>
          <cell r="J190"/>
          <cell r="K190"/>
          <cell r="L190"/>
          <cell r="M190"/>
        </row>
        <row r="191">
          <cell r="A191" t="str">
            <v>EASY CONCEPT</v>
          </cell>
          <cell r="B191"/>
          <cell r="C191" t="str">
            <v>CENTRALE</v>
          </cell>
          <cell r="D191" t="str">
            <v>ASSOKOKO</v>
          </cell>
          <cell r="E191" t="str">
            <v>70996648</v>
          </cell>
          <cell r="F191" t="str">
            <v>Android</v>
          </cell>
          <cell r="G191"/>
          <cell r="H191"/>
          <cell r="I191"/>
          <cell r="J191"/>
          <cell r="K191"/>
          <cell r="L191"/>
          <cell r="M191"/>
        </row>
        <row r="192">
          <cell r="A192" t="str">
            <v>EASY CONCEPT</v>
          </cell>
          <cell r="B192"/>
          <cell r="C192" t="str">
            <v>MARITIME</v>
          </cell>
          <cell r="D192" t="str">
            <v>ASSOME</v>
          </cell>
          <cell r="E192" t="str">
            <v>70996649</v>
          </cell>
          <cell r="F192" t="str">
            <v>Android</v>
          </cell>
          <cell r="G192"/>
          <cell r="H192"/>
          <cell r="I192"/>
          <cell r="J192"/>
          <cell r="K192"/>
          <cell r="L192"/>
          <cell r="M192"/>
        </row>
        <row r="193">
          <cell r="A193" t="str">
            <v>MRG</v>
          </cell>
          <cell r="B193" t="str">
            <v>MAR-003</v>
          </cell>
          <cell r="C193" t="str">
            <v>MARITIME</v>
          </cell>
          <cell r="D193" t="str">
            <v>ASSOME</v>
          </cell>
          <cell r="E193">
            <v>70996649</v>
          </cell>
          <cell r="F193" t="str">
            <v>2G</v>
          </cell>
          <cell r="G193"/>
          <cell r="H193"/>
          <cell r="I193"/>
          <cell r="J193"/>
          <cell r="K193"/>
          <cell r="L193"/>
          <cell r="M193"/>
        </row>
        <row r="194">
          <cell r="A194" t="str">
            <v>MRG</v>
          </cell>
          <cell r="B194"/>
          <cell r="C194"/>
          <cell r="D194" t="str">
            <v>ASSOME 1</v>
          </cell>
          <cell r="E194"/>
          <cell r="F194"/>
          <cell r="G194"/>
          <cell r="H194"/>
          <cell r="I194"/>
          <cell r="J194"/>
          <cell r="K194"/>
          <cell r="L194"/>
          <cell r="M194"/>
        </row>
        <row r="195">
          <cell r="A195" t="str">
            <v>MRG</v>
          </cell>
          <cell r="B195"/>
          <cell r="C195"/>
          <cell r="D195" t="str">
            <v>ASSOME 2</v>
          </cell>
          <cell r="E195"/>
          <cell r="F195"/>
          <cell r="G195"/>
          <cell r="H195"/>
          <cell r="I195"/>
          <cell r="J195"/>
          <cell r="K195"/>
          <cell r="L195"/>
          <cell r="M195"/>
        </row>
        <row r="196">
          <cell r="A196" t="str">
            <v>3SCA</v>
          </cell>
          <cell r="B196" t="str">
            <v>LOM-330</v>
          </cell>
          <cell r="C196" t="str">
            <v>LOME</v>
          </cell>
          <cell r="D196" t="str">
            <v>ASSOME2</v>
          </cell>
          <cell r="E196">
            <v>70997252</v>
          </cell>
          <cell r="F196" t="str">
            <v>2G</v>
          </cell>
          <cell r="G196"/>
          <cell r="H196"/>
          <cell r="I196"/>
          <cell r="J196"/>
          <cell r="K196"/>
          <cell r="L196"/>
          <cell r="M196"/>
        </row>
        <row r="197">
          <cell r="A197" t="str">
            <v>3SCA</v>
          </cell>
          <cell r="B197" t="str">
            <v>PLA-005</v>
          </cell>
          <cell r="C197" t="str">
            <v>PLATEAUX</v>
          </cell>
          <cell r="D197" t="str">
            <v>ATAKPAME 2</v>
          </cell>
          <cell r="E197">
            <v>70996651</v>
          </cell>
          <cell r="F197" t="str">
            <v>2G</v>
          </cell>
          <cell r="G197"/>
          <cell r="H197"/>
          <cell r="I197"/>
          <cell r="J197"/>
          <cell r="K197"/>
          <cell r="L197"/>
          <cell r="M197"/>
        </row>
        <row r="198">
          <cell r="A198" t="str">
            <v>MRG</v>
          </cell>
          <cell r="B198" t="str">
            <v>PLA-212</v>
          </cell>
          <cell r="C198" t="str">
            <v>PLATEAUX</v>
          </cell>
          <cell r="D198" t="str">
            <v>ATAKPAME EVECHE</v>
          </cell>
          <cell r="E198">
            <v>70997366</v>
          </cell>
          <cell r="F198" t="str">
            <v>2G</v>
          </cell>
          <cell r="G198"/>
          <cell r="H198"/>
          <cell r="I198"/>
          <cell r="J198"/>
          <cell r="K198"/>
          <cell r="L198"/>
          <cell r="M198"/>
        </row>
        <row r="199">
          <cell r="A199" t="str">
            <v>3SCA</v>
          </cell>
          <cell r="B199" t="str">
            <v>PLA-257</v>
          </cell>
          <cell r="C199" t="str">
            <v>PLATEAUX</v>
          </cell>
          <cell r="D199" t="str">
            <v>ATAKPAME KPOTA</v>
          </cell>
          <cell r="E199">
            <v>70996650</v>
          </cell>
          <cell r="F199" t="str">
            <v>2G</v>
          </cell>
          <cell r="G199"/>
          <cell r="H199"/>
          <cell r="I199"/>
          <cell r="J199"/>
          <cell r="K199"/>
          <cell r="L199"/>
          <cell r="M199"/>
        </row>
        <row r="200">
          <cell r="A200" t="str">
            <v>3SCA</v>
          </cell>
          <cell r="B200" t="str">
            <v>PLA-200</v>
          </cell>
          <cell r="C200" t="str">
            <v>PLATEAUX</v>
          </cell>
          <cell r="D200" t="str">
            <v>Atakpamé Sada</v>
          </cell>
          <cell r="E200">
            <v>70996460</v>
          </cell>
          <cell r="F200" t="str">
            <v>2G</v>
          </cell>
          <cell r="G200"/>
          <cell r="H200"/>
          <cell r="I200"/>
          <cell r="J200"/>
          <cell r="K200"/>
          <cell r="L200"/>
          <cell r="M200"/>
        </row>
        <row r="201">
          <cell r="A201" t="str">
            <v>MRG</v>
          </cell>
          <cell r="B201" t="str">
            <v>PLA-006</v>
          </cell>
          <cell r="C201" t="str">
            <v>PLATEAUX</v>
          </cell>
          <cell r="D201" t="str">
            <v>ATAKPAME-KAMINA</v>
          </cell>
          <cell r="E201">
            <v>70996652</v>
          </cell>
          <cell r="F201" t="str">
            <v>2G</v>
          </cell>
          <cell r="G201"/>
          <cell r="H201"/>
          <cell r="I201"/>
          <cell r="J201"/>
          <cell r="K201"/>
          <cell r="L201"/>
          <cell r="M201"/>
        </row>
        <row r="202">
          <cell r="A202" t="str">
            <v>3SCA</v>
          </cell>
          <cell r="B202" t="str">
            <v>PLA-146</v>
          </cell>
          <cell r="C202" t="str">
            <v>PLATEAUX</v>
          </cell>
          <cell r="D202" t="str">
            <v>ATALO</v>
          </cell>
          <cell r="E202">
            <v>70996654</v>
          </cell>
          <cell r="F202" t="str">
            <v>2G</v>
          </cell>
          <cell r="G202"/>
          <cell r="H202"/>
          <cell r="I202"/>
          <cell r="J202"/>
          <cell r="K202"/>
          <cell r="L202"/>
          <cell r="M202"/>
        </row>
        <row r="203">
          <cell r="A203" t="str">
            <v>MRG</v>
          </cell>
          <cell r="B203"/>
          <cell r="C203" t="str">
            <v>KARA</v>
          </cell>
          <cell r="D203" t="str">
            <v>ATALOTE</v>
          </cell>
          <cell r="E203" t="str">
            <v>70996548</v>
          </cell>
          <cell r="F203" t="str">
            <v>Android</v>
          </cell>
          <cell r="G203"/>
          <cell r="H203"/>
          <cell r="I203"/>
          <cell r="J203"/>
          <cell r="K203"/>
          <cell r="L203"/>
          <cell r="M203"/>
        </row>
        <row r="204">
          <cell r="A204" t="str">
            <v>MRG</v>
          </cell>
          <cell r="B204" t="str">
            <v>KAR-047</v>
          </cell>
          <cell r="C204" t="str">
            <v>KARA</v>
          </cell>
          <cell r="D204" t="str">
            <v>ATALOTE</v>
          </cell>
          <cell r="E204">
            <v>70996655</v>
          </cell>
          <cell r="F204" t="str">
            <v>2G</v>
          </cell>
          <cell r="G204"/>
          <cell r="H204"/>
          <cell r="I204"/>
          <cell r="J204"/>
          <cell r="K204"/>
          <cell r="L204"/>
          <cell r="M204"/>
        </row>
        <row r="205">
          <cell r="A205" t="str">
            <v>3SCA</v>
          </cell>
          <cell r="B205"/>
          <cell r="C205"/>
          <cell r="D205" t="str">
            <v>ATCHANVE</v>
          </cell>
          <cell r="E205"/>
          <cell r="F205"/>
          <cell r="G205"/>
          <cell r="H205"/>
          <cell r="I205"/>
          <cell r="J205"/>
          <cell r="K205"/>
          <cell r="L205"/>
          <cell r="M205"/>
        </row>
        <row r="206">
          <cell r="A206" t="str">
            <v>3SCA</v>
          </cell>
          <cell r="B206" t="str">
            <v>PLA-079</v>
          </cell>
          <cell r="C206" t="str">
            <v>PLATEAUX</v>
          </cell>
          <cell r="D206" t="str">
            <v>ATCHINEDJI</v>
          </cell>
          <cell r="E206">
            <v>70996657</v>
          </cell>
          <cell r="F206" t="str">
            <v>2G</v>
          </cell>
          <cell r="G206"/>
          <cell r="H206"/>
          <cell r="I206"/>
          <cell r="J206"/>
          <cell r="K206"/>
          <cell r="L206"/>
          <cell r="M206"/>
        </row>
        <row r="207">
          <cell r="A207" t="str">
            <v>MRG</v>
          </cell>
          <cell r="B207" t="str">
            <v>LOM-088</v>
          </cell>
          <cell r="C207" t="str">
            <v>LOME</v>
          </cell>
          <cell r="D207" t="str">
            <v>ATIEGOU 1</v>
          </cell>
          <cell r="E207">
            <v>70996661</v>
          </cell>
          <cell r="F207" t="str">
            <v>2G</v>
          </cell>
          <cell r="G207"/>
          <cell r="H207"/>
          <cell r="I207"/>
          <cell r="J207"/>
          <cell r="K207"/>
          <cell r="L207"/>
          <cell r="M207"/>
        </row>
        <row r="208">
          <cell r="A208" t="str">
            <v>MRG</v>
          </cell>
          <cell r="B208"/>
          <cell r="C208"/>
          <cell r="D208" t="str">
            <v>ATIEGOU 2</v>
          </cell>
          <cell r="E208"/>
          <cell r="F208"/>
          <cell r="G208"/>
          <cell r="H208"/>
          <cell r="I208"/>
          <cell r="J208"/>
          <cell r="K208"/>
          <cell r="L208"/>
          <cell r="M208"/>
        </row>
        <row r="209">
          <cell r="A209" t="str">
            <v>3SCA</v>
          </cell>
          <cell r="B209" t="str">
            <v>LOM-352</v>
          </cell>
          <cell r="C209" t="str">
            <v>LOME</v>
          </cell>
          <cell r="D209" t="str">
            <v>ATIEGOU 4</v>
          </cell>
          <cell r="E209">
            <v>70997323</v>
          </cell>
          <cell r="F209" t="str">
            <v>2G</v>
          </cell>
          <cell r="G209"/>
          <cell r="H209"/>
          <cell r="I209"/>
          <cell r="J209"/>
          <cell r="K209"/>
          <cell r="L209"/>
          <cell r="M209"/>
        </row>
        <row r="210">
          <cell r="A210" t="str">
            <v>MRG</v>
          </cell>
          <cell r="B210" t="str">
            <v>MAR-081</v>
          </cell>
          <cell r="C210" t="str">
            <v>MARITIME</v>
          </cell>
          <cell r="D210" t="str">
            <v>ATIKOLOE</v>
          </cell>
          <cell r="E210">
            <v>70996658</v>
          </cell>
          <cell r="F210" t="str">
            <v>2G</v>
          </cell>
          <cell r="G210"/>
          <cell r="H210"/>
          <cell r="I210"/>
          <cell r="J210"/>
          <cell r="K210"/>
          <cell r="L210"/>
          <cell r="M210"/>
        </row>
        <row r="211">
          <cell r="A211" t="str">
            <v>MRG</v>
          </cell>
          <cell r="B211"/>
          <cell r="C211" t="str">
            <v>MARITIME</v>
          </cell>
          <cell r="D211" t="str">
            <v>ATIKOLOE</v>
          </cell>
          <cell r="E211" t="str">
            <v>70996658</v>
          </cell>
          <cell r="F211" t="str">
            <v>Android</v>
          </cell>
          <cell r="G211"/>
          <cell r="H211"/>
          <cell r="I211"/>
          <cell r="J211"/>
          <cell r="K211"/>
          <cell r="L211"/>
          <cell r="M211"/>
        </row>
        <row r="212">
          <cell r="A212" t="str">
            <v>3SCA</v>
          </cell>
          <cell r="B212" t="str">
            <v>LOM-387</v>
          </cell>
          <cell r="C212" t="str">
            <v>LOME</v>
          </cell>
          <cell r="D212" t="str">
            <v>Atikoumé</v>
          </cell>
          <cell r="E212">
            <v>70996659</v>
          </cell>
          <cell r="F212" t="str">
            <v>2G</v>
          </cell>
          <cell r="G212"/>
          <cell r="H212"/>
          <cell r="I212"/>
          <cell r="J212"/>
          <cell r="K212"/>
          <cell r="L212"/>
          <cell r="M212"/>
        </row>
        <row r="213">
          <cell r="A213" t="str">
            <v>3SCA</v>
          </cell>
          <cell r="B213" t="str">
            <v>LOM-274</v>
          </cell>
          <cell r="C213" t="str">
            <v>MARITIME</v>
          </cell>
          <cell r="D213" t="str">
            <v>Atiomé</v>
          </cell>
          <cell r="E213">
            <v>70996461</v>
          </cell>
          <cell r="F213" t="str">
            <v>2G</v>
          </cell>
          <cell r="G213"/>
          <cell r="H213"/>
          <cell r="I213"/>
          <cell r="J213"/>
          <cell r="K213"/>
          <cell r="L213"/>
          <cell r="M213"/>
        </row>
        <row r="214">
          <cell r="A214" t="str">
            <v>3SCA</v>
          </cell>
          <cell r="B214" t="str">
            <v>MAR-028</v>
          </cell>
          <cell r="C214" t="str">
            <v>MARITIME</v>
          </cell>
          <cell r="D214" t="str">
            <v>ATOETA</v>
          </cell>
          <cell r="E214">
            <v>70996660</v>
          </cell>
          <cell r="F214" t="str">
            <v>2G</v>
          </cell>
          <cell r="G214"/>
          <cell r="H214"/>
          <cell r="I214"/>
          <cell r="J214"/>
          <cell r="K214"/>
          <cell r="L214"/>
          <cell r="M214"/>
        </row>
        <row r="215">
          <cell r="A215" t="str">
            <v>MRG</v>
          </cell>
          <cell r="B215" t="str">
            <v>LOM-089</v>
          </cell>
          <cell r="C215" t="str">
            <v>LOME</v>
          </cell>
          <cell r="D215" t="str">
            <v>ATTIEGOU 2</v>
          </cell>
          <cell r="E215">
            <v>70996695</v>
          </cell>
          <cell r="F215" t="str">
            <v>2G</v>
          </cell>
          <cell r="G215"/>
          <cell r="H215"/>
          <cell r="I215"/>
          <cell r="J215"/>
          <cell r="K215"/>
          <cell r="L215"/>
          <cell r="M215"/>
        </row>
        <row r="216">
          <cell r="A216" t="str">
            <v>EASY CONCEPT</v>
          </cell>
          <cell r="B216" t="str">
            <v>MAR-062</v>
          </cell>
          <cell r="C216" t="str">
            <v>MARITIME</v>
          </cell>
          <cell r="D216" t="str">
            <v>AVEDJE</v>
          </cell>
          <cell r="E216">
            <v>70996663</v>
          </cell>
          <cell r="F216" t="str">
            <v>2G</v>
          </cell>
          <cell r="G216"/>
          <cell r="H216"/>
          <cell r="I216"/>
          <cell r="J216"/>
          <cell r="K216"/>
          <cell r="L216"/>
          <cell r="M216"/>
        </row>
        <row r="217">
          <cell r="A217" t="str">
            <v>EASY CONCEPT</v>
          </cell>
          <cell r="B217" t="str">
            <v>LOM-072</v>
          </cell>
          <cell r="C217" t="str">
            <v>LOME</v>
          </cell>
          <cell r="D217" t="str">
            <v>AVEDJI 1</v>
          </cell>
          <cell r="E217">
            <v>70996530</v>
          </cell>
          <cell r="F217" t="str">
            <v>2G</v>
          </cell>
          <cell r="G217"/>
          <cell r="H217"/>
          <cell r="I217"/>
          <cell r="J217"/>
          <cell r="K217"/>
          <cell r="L217"/>
          <cell r="M217"/>
        </row>
        <row r="218">
          <cell r="A218" t="str">
            <v>MRG</v>
          </cell>
          <cell r="B218" t="str">
            <v>LOM-073</v>
          </cell>
          <cell r="C218" t="str">
            <v>LOME</v>
          </cell>
          <cell r="D218" t="str">
            <v>AVEDJI 2</v>
          </cell>
          <cell r="E218">
            <v>70996664</v>
          </cell>
          <cell r="F218" t="str">
            <v>2G</v>
          </cell>
          <cell r="G218"/>
          <cell r="H218"/>
          <cell r="I218"/>
          <cell r="J218"/>
          <cell r="K218"/>
          <cell r="L218"/>
          <cell r="M218"/>
        </row>
        <row r="219">
          <cell r="A219" t="str">
            <v>MRG</v>
          </cell>
          <cell r="B219"/>
          <cell r="C219"/>
          <cell r="D219" t="str">
            <v>AVEDZE</v>
          </cell>
          <cell r="E219"/>
          <cell r="F219"/>
          <cell r="G219"/>
          <cell r="H219"/>
          <cell r="I219"/>
          <cell r="J219"/>
          <cell r="K219"/>
          <cell r="L219"/>
          <cell r="M219"/>
        </row>
        <row r="220">
          <cell r="A220" t="str">
            <v>3SCA</v>
          </cell>
          <cell r="B220" t="str">
            <v>MAR-035</v>
          </cell>
          <cell r="C220" t="str">
            <v>MARITIME</v>
          </cell>
          <cell r="D220" t="str">
            <v>AVEEVE</v>
          </cell>
          <cell r="E220">
            <v>70996665</v>
          </cell>
          <cell r="F220" t="str">
            <v>2G</v>
          </cell>
          <cell r="G220"/>
          <cell r="H220"/>
          <cell r="I220"/>
          <cell r="J220"/>
          <cell r="K220"/>
          <cell r="L220"/>
          <cell r="M220"/>
        </row>
        <row r="221">
          <cell r="A221" t="str">
            <v>MRG</v>
          </cell>
          <cell r="B221"/>
          <cell r="C221" t="str">
            <v>MARITIME</v>
          </cell>
          <cell r="D221" t="str">
            <v>AVEEVE</v>
          </cell>
          <cell r="E221" t="str">
            <v>70996665</v>
          </cell>
          <cell r="F221" t="str">
            <v>Android</v>
          </cell>
          <cell r="G221"/>
          <cell r="H221"/>
          <cell r="I221"/>
          <cell r="J221"/>
          <cell r="K221"/>
          <cell r="L221"/>
          <cell r="M221"/>
        </row>
        <row r="222">
          <cell r="A222" t="str">
            <v>MRG</v>
          </cell>
          <cell r="B222" t="str">
            <v>LOM-084</v>
          </cell>
          <cell r="C222" t="str">
            <v>LOME</v>
          </cell>
          <cell r="D222" t="str">
            <v>AVENOU</v>
          </cell>
          <cell r="E222">
            <v>70996666</v>
          </cell>
          <cell r="F222" t="str">
            <v>2G</v>
          </cell>
          <cell r="G222"/>
          <cell r="H222"/>
          <cell r="I222"/>
          <cell r="J222"/>
          <cell r="K222"/>
          <cell r="L222"/>
          <cell r="M222"/>
        </row>
        <row r="223">
          <cell r="A223" t="str">
            <v>MRG</v>
          </cell>
          <cell r="B223" t="str">
            <v>LOM-200</v>
          </cell>
          <cell r="C223" t="str">
            <v>LOME</v>
          </cell>
          <cell r="D223" t="str">
            <v>AVEPOZO</v>
          </cell>
          <cell r="E223">
            <v>70996667</v>
          </cell>
          <cell r="F223" t="str">
            <v>2G</v>
          </cell>
          <cell r="G223"/>
          <cell r="H223"/>
          <cell r="I223"/>
          <cell r="J223"/>
          <cell r="K223"/>
          <cell r="L223"/>
          <cell r="M223"/>
        </row>
        <row r="224">
          <cell r="A224" t="str">
            <v>MRG</v>
          </cell>
          <cell r="B224" t="str">
            <v>MAR-086</v>
          </cell>
          <cell r="C224" t="str">
            <v>MARITIME</v>
          </cell>
          <cell r="D224" t="str">
            <v>AVETA</v>
          </cell>
          <cell r="E224">
            <v>70996429</v>
          </cell>
          <cell r="F224" t="str">
            <v>2G</v>
          </cell>
          <cell r="G224"/>
          <cell r="H224"/>
          <cell r="I224"/>
          <cell r="J224"/>
          <cell r="K224"/>
          <cell r="L224"/>
          <cell r="M224"/>
        </row>
        <row r="225">
          <cell r="A225" t="str">
            <v>MRG</v>
          </cell>
          <cell r="B225"/>
          <cell r="C225" t="str">
            <v xml:space="preserve">GRAND LOMÉ </v>
          </cell>
          <cell r="D225" t="str">
            <v>AVETA</v>
          </cell>
          <cell r="E225" t="str">
            <v>70996429</v>
          </cell>
          <cell r="F225" t="str">
            <v>Android</v>
          </cell>
          <cell r="G225"/>
          <cell r="H225"/>
          <cell r="I225"/>
          <cell r="J225"/>
          <cell r="K225"/>
          <cell r="L225"/>
          <cell r="M225"/>
        </row>
        <row r="226">
          <cell r="A226" t="str">
            <v>3SCA</v>
          </cell>
          <cell r="B226" t="str">
            <v>PLA-042</v>
          </cell>
          <cell r="C226" t="str">
            <v>PLATEAUX</v>
          </cell>
          <cell r="D226" t="str">
            <v>AVETONOU</v>
          </cell>
          <cell r="E226">
            <v>70996668</v>
          </cell>
          <cell r="F226" t="str">
            <v>2G</v>
          </cell>
          <cell r="G226"/>
          <cell r="H226"/>
          <cell r="I226"/>
          <cell r="J226"/>
          <cell r="K226"/>
          <cell r="L226"/>
          <cell r="M226"/>
        </row>
        <row r="227">
          <cell r="A227" t="str">
            <v>SSV</v>
          </cell>
          <cell r="B227" t="str">
            <v>LOM-275</v>
          </cell>
          <cell r="C227" t="str">
            <v>MARITIME</v>
          </cell>
          <cell r="D227" t="str">
            <v>Avinato 2</v>
          </cell>
          <cell r="E227">
            <v>70996462</v>
          </cell>
          <cell r="F227" t="str">
            <v>2G</v>
          </cell>
          <cell r="G227"/>
          <cell r="H227"/>
          <cell r="I227"/>
          <cell r="J227"/>
          <cell r="K227"/>
          <cell r="L227"/>
          <cell r="M227"/>
        </row>
        <row r="228">
          <cell r="A228" t="str">
            <v>MRG</v>
          </cell>
          <cell r="B228" t="str">
            <v>MAR-036</v>
          </cell>
          <cell r="C228" t="str">
            <v>MARITIME</v>
          </cell>
          <cell r="D228" t="str">
            <v>AVOUTOKPA</v>
          </cell>
          <cell r="E228">
            <v>70996670</v>
          </cell>
          <cell r="F228" t="str">
            <v>2G</v>
          </cell>
          <cell r="G228"/>
          <cell r="H228"/>
          <cell r="I228"/>
          <cell r="J228"/>
          <cell r="K228"/>
          <cell r="L228"/>
          <cell r="M228"/>
        </row>
        <row r="229">
          <cell r="A229" t="str">
            <v>MRG</v>
          </cell>
          <cell r="B229"/>
          <cell r="C229" t="str">
            <v>MARITIME</v>
          </cell>
          <cell r="D229" t="str">
            <v>AVOUTOKPA</v>
          </cell>
          <cell r="E229" t="str">
            <v>70996670</v>
          </cell>
          <cell r="F229" t="str">
            <v>Android</v>
          </cell>
          <cell r="G229"/>
          <cell r="H229"/>
          <cell r="I229"/>
          <cell r="J229"/>
          <cell r="K229"/>
          <cell r="L229"/>
          <cell r="M229"/>
        </row>
        <row r="230">
          <cell r="A230" t="str">
            <v>3SCA</v>
          </cell>
          <cell r="B230" t="str">
            <v>PLA-009</v>
          </cell>
          <cell r="C230" t="str">
            <v>PLATEAUX</v>
          </cell>
          <cell r="D230" t="str">
            <v>AWAGOME</v>
          </cell>
          <cell r="E230">
            <v>70996671</v>
          </cell>
          <cell r="F230" t="str">
            <v>2G</v>
          </cell>
          <cell r="G230"/>
          <cell r="H230"/>
          <cell r="I230"/>
          <cell r="J230"/>
          <cell r="K230"/>
          <cell r="L230"/>
          <cell r="M230"/>
        </row>
        <row r="231">
          <cell r="A231" t="str">
            <v>3SCA</v>
          </cell>
          <cell r="B231" t="str">
            <v>KAR-036</v>
          </cell>
          <cell r="C231" t="str">
            <v>KARA</v>
          </cell>
          <cell r="D231" t="str">
            <v>AWANDJELO</v>
          </cell>
          <cell r="E231">
            <v>70996672</v>
          </cell>
          <cell r="F231" t="str">
            <v>2G</v>
          </cell>
          <cell r="G231"/>
          <cell r="H231"/>
          <cell r="I231"/>
          <cell r="J231"/>
          <cell r="K231"/>
          <cell r="L231"/>
          <cell r="M231"/>
        </row>
        <row r="232">
          <cell r="A232" t="str">
            <v>MRG</v>
          </cell>
          <cell r="B232"/>
          <cell r="C232" t="str">
            <v>KARA</v>
          </cell>
          <cell r="D232" t="str">
            <v>AWANDJELO</v>
          </cell>
          <cell r="E232" t="str">
            <v>70996672</v>
          </cell>
          <cell r="F232" t="str">
            <v>Android</v>
          </cell>
          <cell r="G232"/>
          <cell r="H232"/>
          <cell r="I232"/>
          <cell r="J232"/>
          <cell r="K232"/>
          <cell r="L232"/>
          <cell r="M232"/>
        </row>
        <row r="233">
          <cell r="A233" t="str">
            <v>MRG</v>
          </cell>
          <cell r="B233" t="str">
            <v>LOM-077</v>
          </cell>
          <cell r="C233" t="str">
            <v>LOME</v>
          </cell>
          <cell r="D233" t="str">
            <v>AWATAME</v>
          </cell>
          <cell r="E233">
            <v>70996673</v>
          </cell>
          <cell r="F233" t="str">
            <v>2G</v>
          </cell>
          <cell r="G233"/>
          <cell r="H233"/>
          <cell r="I233"/>
          <cell r="J233"/>
          <cell r="K233"/>
          <cell r="L233"/>
          <cell r="M233"/>
        </row>
        <row r="234">
          <cell r="A234" t="str">
            <v>MRG</v>
          </cell>
          <cell r="B234" t="str">
            <v>PLA-067</v>
          </cell>
          <cell r="C234" t="str">
            <v>PLATEAUX</v>
          </cell>
          <cell r="D234" t="str">
            <v>AWOUNADJASSI</v>
          </cell>
          <cell r="E234">
            <v>70996674</v>
          </cell>
          <cell r="F234" t="str">
            <v>2G</v>
          </cell>
          <cell r="G234"/>
          <cell r="H234"/>
          <cell r="I234"/>
          <cell r="J234"/>
          <cell r="K234"/>
          <cell r="L234"/>
          <cell r="M234"/>
        </row>
        <row r="235">
          <cell r="A235" t="str">
            <v>3SCA</v>
          </cell>
          <cell r="B235"/>
          <cell r="C235" t="str">
            <v>MARITIME</v>
          </cell>
          <cell r="D235" t="str">
            <v>AWOUNADJASSI</v>
          </cell>
          <cell r="E235" t="str">
            <v>70996674</v>
          </cell>
          <cell r="F235" t="str">
            <v>Android</v>
          </cell>
          <cell r="G235"/>
          <cell r="H235"/>
          <cell r="I235"/>
          <cell r="J235"/>
          <cell r="K235"/>
          <cell r="L235"/>
          <cell r="M235"/>
        </row>
        <row r="236">
          <cell r="A236" t="str">
            <v>EASY CONCEPT</v>
          </cell>
          <cell r="B236" t="str">
            <v>PLA-060</v>
          </cell>
          <cell r="C236" t="str">
            <v>PLATEAUX</v>
          </cell>
          <cell r="D236" t="str">
            <v>AYAKOPE</v>
          </cell>
          <cell r="E236">
            <v>70996675</v>
          </cell>
          <cell r="F236" t="str">
            <v>2G</v>
          </cell>
          <cell r="G236"/>
          <cell r="H236"/>
          <cell r="I236"/>
          <cell r="J236"/>
          <cell r="K236"/>
          <cell r="L236"/>
          <cell r="M236"/>
        </row>
        <row r="237">
          <cell r="A237" t="str">
            <v>EASY CONCEPT</v>
          </cell>
          <cell r="B237" t="str">
            <v>PLA-201</v>
          </cell>
          <cell r="C237" t="str">
            <v>PLATEAUX</v>
          </cell>
          <cell r="D237" t="str">
            <v>AZAKPE</v>
          </cell>
          <cell r="E237">
            <v>70996463</v>
          </cell>
          <cell r="F237" t="str">
            <v>2G</v>
          </cell>
          <cell r="G237"/>
          <cell r="H237"/>
          <cell r="I237"/>
          <cell r="J237"/>
          <cell r="K237"/>
          <cell r="L237"/>
          <cell r="M237"/>
        </row>
        <row r="238">
          <cell r="A238" t="str">
            <v>EASY CONCEPT</v>
          </cell>
          <cell r="B238" t="str">
            <v>PLA-216</v>
          </cell>
          <cell r="C238" t="str">
            <v>PLATEAUX</v>
          </cell>
          <cell r="D238" t="str">
            <v>AZONAHA</v>
          </cell>
          <cell r="E238">
            <v>70996515</v>
          </cell>
          <cell r="F238" t="str">
            <v>2G</v>
          </cell>
          <cell r="G238"/>
          <cell r="H238"/>
          <cell r="I238"/>
          <cell r="J238"/>
          <cell r="K238"/>
          <cell r="L238"/>
          <cell r="M238"/>
        </row>
        <row r="239">
          <cell r="A239" t="str">
            <v>EASY CONCEPT</v>
          </cell>
          <cell r="B239"/>
          <cell r="C239" t="str">
            <v>PLATEAUX</v>
          </cell>
          <cell r="D239" t="str">
            <v>AZONAHA</v>
          </cell>
          <cell r="E239" t="str">
            <v>70996515</v>
          </cell>
          <cell r="F239" t="str">
            <v>Android</v>
          </cell>
          <cell r="G239"/>
          <cell r="H239"/>
          <cell r="I239"/>
          <cell r="J239"/>
          <cell r="K239"/>
          <cell r="L239"/>
          <cell r="M239"/>
        </row>
        <row r="240">
          <cell r="A240" t="str">
            <v>EASY CONCEPT</v>
          </cell>
          <cell r="B240" t="str">
            <v>PLA-217</v>
          </cell>
          <cell r="C240" t="str">
            <v>PLATEAUX</v>
          </cell>
          <cell r="D240" t="str">
            <v>BABAVE</v>
          </cell>
          <cell r="E240">
            <v>70997367</v>
          </cell>
          <cell r="F240" t="str">
            <v>2G</v>
          </cell>
          <cell r="G240"/>
          <cell r="H240"/>
          <cell r="I240"/>
          <cell r="J240"/>
          <cell r="K240"/>
          <cell r="L240"/>
          <cell r="M240"/>
        </row>
        <row r="241">
          <cell r="A241" t="str">
            <v>EASY CONCEPT</v>
          </cell>
          <cell r="B241"/>
          <cell r="C241" t="str">
            <v>MARITIME</v>
          </cell>
          <cell r="D241" t="str">
            <v>BABAVE</v>
          </cell>
          <cell r="E241">
            <v>70997367</v>
          </cell>
          <cell r="F241" t="str">
            <v>Android</v>
          </cell>
          <cell r="G241"/>
          <cell r="H241"/>
          <cell r="I241"/>
          <cell r="J241"/>
          <cell r="K241"/>
          <cell r="L241"/>
          <cell r="M241"/>
        </row>
        <row r="242">
          <cell r="A242" t="str">
            <v>EASY CONCEPT</v>
          </cell>
          <cell r="B242" t="str">
            <v>SAV-097</v>
          </cell>
          <cell r="C242" t="str">
            <v>SAVANES</v>
          </cell>
          <cell r="D242" t="str">
            <v>BABONA</v>
          </cell>
          <cell r="E242">
            <v>70997271</v>
          </cell>
          <cell r="F242" t="str">
            <v>2G</v>
          </cell>
          <cell r="G242"/>
          <cell r="H242"/>
          <cell r="I242"/>
          <cell r="J242"/>
          <cell r="K242"/>
          <cell r="L242"/>
          <cell r="M242"/>
        </row>
        <row r="243">
          <cell r="A243" t="str">
            <v>SSV</v>
          </cell>
          <cell r="B243" t="str">
            <v>PLA-034</v>
          </cell>
          <cell r="C243" t="str">
            <v>PLATEAUX</v>
          </cell>
          <cell r="D243" t="str">
            <v>BADINKOPE</v>
          </cell>
          <cell r="E243">
            <v>70996676</v>
          </cell>
          <cell r="F243" t="str">
            <v>2G</v>
          </cell>
          <cell r="G243"/>
          <cell r="H243"/>
          <cell r="I243"/>
          <cell r="J243"/>
          <cell r="K243"/>
          <cell r="L243"/>
          <cell r="M243"/>
        </row>
        <row r="244">
          <cell r="A244" t="str">
            <v>SSV</v>
          </cell>
          <cell r="B244"/>
          <cell r="C244" t="str">
            <v>PLATEAUX</v>
          </cell>
          <cell r="D244" t="str">
            <v>BADINKOPE</v>
          </cell>
          <cell r="E244" t="str">
            <v>70996676</v>
          </cell>
          <cell r="F244" t="str">
            <v>Android</v>
          </cell>
          <cell r="G244"/>
          <cell r="H244"/>
          <cell r="I244"/>
          <cell r="J244"/>
          <cell r="K244"/>
          <cell r="L244"/>
          <cell r="M244"/>
        </row>
        <row r="245">
          <cell r="A245" t="str">
            <v>MRG</v>
          </cell>
          <cell r="B245" t="str">
            <v>MAR-053</v>
          </cell>
          <cell r="C245" t="str">
            <v>MARITIME</v>
          </cell>
          <cell r="D245" t="str">
            <v>BADJA</v>
          </cell>
          <cell r="E245">
            <v>70996677</v>
          </cell>
          <cell r="F245" t="str">
            <v>2G</v>
          </cell>
          <cell r="G245"/>
          <cell r="H245"/>
          <cell r="I245"/>
          <cell r="J245"/>
          <cell r="K245"/>
          <cell r="L245"/>
          <cell r="M245"/>
        </row>
        <row r="246">
          <cell r="A246" t="str">
            <v>MRG</v>
          </cell>
          <cell r="B246"/>
          <cell r="C246" t="str">
            <v>MARITIME</v>
          </cell>
          <cell r="D246" t="str">
            <v>BADJA</v>
          </cell>
          <cell r="E246" t="str">
            <v>70996677</v>
          </cell>
          <cell r="F246" t="str">
            <v>Android</v>
          </cell>
          <cell r="G246"/>
          <cell r="H246"/>
          <cell r="I246"/>
          <cell r="J246"/>
          <cell r="K246"/>
          <cell r="L246"/>
          <cell r="M246"/>
        </row>
        <row r="247">
          <cell r="A247" t="str">
            <v>MRG</v>
          </cell>
          <cell r="B247" t="str">
            <v>PLA-073</v>
          </cell>
          <cell r="C247" t="str">
            <v>PLATEAUX</v>
          </cell>
          <cell r="D247" t="str">
            <v>BADOU</v>
          </cell>
          <cell r="E247">
            <v>70996678</v>
          </cell>
          <cell r="F247" t="str">
            <v>2G</v>
          </cell>
          <cell r="G247"/>
          <cell r="H247"/>
          <cell r="I247"/>
          <cell r="J247"/>
          <cell r="K247"/>
          <cell r="L247"/>
          <cell r="M247"/>
        </row>
        <row r="248">
          <cell r="A248" t="str">
            <v>MRG</v>
          </cell>
          <cell r="B248"/>
          <cell r="C248" t="str">
            <v>PLATEAUX</v>
          </cell>
          <cell r="D248" t="str">
            <v>BADOU 2</v>
          </cell>
          <cell r="E248">
            <v>70996680</v>
          </cell>
          <cell r="F248" t="str">
            <v>2G</v>
          </cell>
          <cell r="G248"/>
          <cell r="H248"/>
          <cell r="I248"/>
          <cell r="J248"/>
          <cell r="K248"/>
          <cell r="L248"/>
          <cell r="M248"/>
        </row>
        <row r="249">
          <cell r="A249" t="str">
            <v>MRG</v>
          </cell>
          <cell r="B249"/>
          <cell r="C249" t="str">
            <v>PLATEAUX</v>
          </cell>
          <cell r="D249" t="str">
            <v>BADOU 2</v>
          </cell>
          <cell r="E249" t="str">
            <v>70996678</v>
          </cell>
          <cell r="F249" t="str">
            <v>Android</v>
          </cell>
          <cell r="G249"/>
          <cell r="H249"/>
          <cell r="I249"/>
          <cell r="J249"/>
          <cell r="K249"/>
          <cell r="L249"/>
          <cell r="M249"/>
        </row>
        <row r="250">
          <cell r="A250" t="str">
            <v>EASY CONCEPT</v>
          </cell>
          <cell r="B250" t="str">
            <v>MAR-017</v>
          </cell>
          <cell r="C250" t="str">
            <v>MARITIME</v>
          </cell>
          <cell r="D250" t="str">
            <v>BADOUGBE</v>
          </cell>
          <cell r="E250">
            <v>70996679</v>
          </cell>
          <cell r="F250" t="str">
            <v>2G</v>
          </cell>
          <cell r="G250"/>
          <cell r="H250"/>
          <cell r="I250"/>
          <cell r="J250"/>
          <cell r="K250"/>
          <cell r="L250"/>
          <cell r="M250"/>
        </row>
        <row r="251">
          <cell r="A251" t="str">
            <v>EASY CONCEPT</v>
          </cell>
          <cell r="B251" t="str">
            <v>KAR-069</v>
          </cell>
          <cell r="C251" t="str">
            <v>KARA</v>
          </cell>
          <cell r="D251" t="str">
            <v>BAFILO</v>
          </cell>
          <cell r="E251">
            <v>70996681</v>
          </cell>
          <cell r="F251" t="str">
            <v>2G</v>
          </cell>
          <cell r="G251"/>
          <cell r="H251"/>
          <cell r="I251"/>
          <cell r="J251"/>
          <cell r="K251"/>
          <cell r="L251"/>
          <cell r="M251"/>
        </row>
        <row r="252">
          <cell r="A252" t="str">
            <v>EASY CONCEPT</v>
          </cell>
          <cell r="B252"/>
          <cell r="C252" t="str">
            <v>KARA</v>
          </cell>
          <cell r="D252" t="str">
            <v>BAFILO</v>
          </cell>
          <cell r="E252" t="str">
            <v>70996681</v>
          </cell>
          <cell r="F252" t="str">
            <v>Android</v>
          </cell>
          <cell r="G252"/>
          <cell r="H252"/>
          <cell r="I252"/>
          <cell r="J252"/>
          <cell r="K252"/>
          <cell r="L252"/>
          <cell r="M252"/>
        </row>
        <row r="253">
          <cell r="A253" t="str">
            <v>SSV</v>
          </cell>
          <cell r="B253" t="str">
            <v>KAR-026</v>
          </cell>
          <cell r="C253" t="str">
            <v>KARA</v>
          </cell>
          <cell r="D253" t="str">
            <v>BAGA</v>
          </cell>
          <cell r="E253">
            <v>70996683</v>
          </cell>
          <cell r="F253" t="str">
            <v>2G</v>
          </cell>
          <cell r="G253"/>
          <cell r="H253"/>
          <cell r="I253"/>
          <cell r="J253"/>
          <cell r="K253"/>
          <cell r="L253"/>
          <cell r="M253"/>
        </row>
        <row r="254">
          <cell r="A254" t="str">
            <v>EASY CONCEPT</v>
          </cell>
          <cell r="B254" t="str">
            <v>KAR-088</v>
          </cell>
          <cell r="C254" t="str">
            <v>KARA</v>
          </cell>
          <cell r="D254" t="str">
            <v>BAGHAN</v>
          </cell>
          <cell r="E254">
            <v>70996684</v>
          </cell>
          <cell r="F254" t="str">
            <v>2G</v>
          </cell>
          <cell r="G254"/>
          <cell r="H254"/>
          <cell r="I254"/>
          <cell r="J254"/>
          <cell r="K254"/>
          <cell r="L254"/>
          <cell r="M254"/>
        </row>
        <row r="255">
          <cell r="A255" t="str">
            <v>MRG</v>
          </cell>
          <cell r="B255"/>
          <cell r="C255" t="str">
            <v>KARA</v>
          </cell>
          <cell r="D255" t="str">
            <v>BAGHAN</v>
          </cell>
          <cell r="E255" t="str">
            <v>70996684</v>
          </cell>
          <cell r="F255" t="str">
            <v>Android</v>
          </cell>
          <cell r="G255"/>
          <cell r="H255"/>
          <cell r="I255"/>
          <cell r="J255"/>
          <cell r="K255"/>
          <cell r="L255"/>
          <cell r="M255"/>
        </row>
        <row r="256">
          <cell r="A256" t="str">
            <v>EASY CONCEPT</v>
          </cell>
          <cell r="B256" t="str">
            <v>CEN-057</v>
          </cell>
          <cell r="C256" t="str">
            <v>CENTRALE</v>
          </cell>
          <cell r="D256" t="str">
            <v>BAGO</v>
          </cell>
          <cell r="E256">
            <v>70996685</v>
          </cell>
          <cell r="F256" t="str">
            <v>2G</v>
          </cell>
          <cell r="G256"/>
          <cell r="H256"/>
          <cell r="I256"/>
          <cell r="J256"/>
          <cell r="K256"/>
          <cell r="L256"/>
          <cell r="M256"/>
        </row>
        <row r="257">
          <cell r="A257" t="str">
            <v>EASY CONCEPT</v>
          </cell>
          <cell r="B257"/>
          <cell r="C257" t="str">
            <v>CENTRALE</v>
          </cell>
          <cell r="D257" t="str">
            <v>BAGO</v>
          </cell>
          <cell r="E257" t="str">
            <v>70996685</v>
          </cell>
          <cell r="F257" t="str">
            <v>Android</v>
          </cell>
          <cell r="G257"/>
          <cell r="H257"/>
          <cell r="I257"/>
          <cell r="J257"/>
          <cell r="K257"/>
          <cell r="L257"/>
          <cell r="M257"/>
        </row>
        <row r="258">
          <cell r="A258" t="str">
            <v>EASY CONCEPT</v>
          </cell>
          <cell r="B258" t="str">
            <v>SAV-039</v>
          </cell>
          <cell r="C258" t="str">
            <v>SAVANES</v>
          </cell>
          <cell r="D258" t="str">
            <v>BAGRE</v>
          </cell>
          <cell r="E258">
            <v>70996686</v>
          </cell>
          <cell r="F258" t="str">
            <v>2G</v>
          </cell>
          <cell r="G258"/>
          <cell r="H258"/>
          <cell r="I258"/>
          <cell r="J258"/>
          <cell r="K258"/>
          <cell r="L258"/>
          <cell r="M258"/>
        </row>
        <row r="259">
          <cell r="A259" t="str">
            <v>EASY CONCEPT</v>
          </cell>
          <cell r="B259"/>
          <cell r="C259" t="str">
            <v>SAVANES</v>
          </cell>
          <cell r="D259" t="str">
            <v>BAGRE</v>
          </cell>
          <cell r="E259" t="str">
            <v>70996686</v>
          </cell>
          <cell r="F259" t="str">
            <v>Android</v>
          </cell>
          <cell r="G259"/>
          <cell r="H259"/>
          <cell r="I259"/>
          <cell r="J259"/>
          <cell r="K259"/>
          <cell r="L259"/>
          <cell r="M259"/>
        </row>
        <row r="260">
          <cell r="A260" t="str">
            <v>EASY CONCEPT</v>
          </cell>
          <cell r="B260" t="str">
            <v>LOM-178</v>
          </cell>
          <cell r="C260" t="str">
            <v>LOME</v>
          </cell>
          <cell r="D260" t="str">
            <v>BAGUIDA 1</v>
          </cell>
          <cell r="E260">
            <v>70996531</v>
          </cell>
          <cell r="F260" t="str">
            <v>2G</v>
          </cell>
          <cell r="G260"/>
          <cell r="H260"/>
          <cell r="I260"/>
          <cell r="J260"/>
          <cell r="K260"/>
          <cell r="L260"/>
          <cell r="M260"/>
        </row>
        <row r="261">
          <cell r="A261" t="str">
            <v>3SCA</v>
          </cell>
          <cell r="B261" t="str">
            <v>LOM-179</v>
          </cell>
          <cell r="C261" t="str">
            <v>LOME</v>
          </cell>
          <cell r="D261" t="str">
            <v>BAGUIDA 2</v>
          </cell>
          <cell r="E261">
            <v>70996687</v>
          </cell>
          <cell r="F261" t="str">
            <v>2G</v>
          </cell>
          <cell r="G261"/>
          <cell r="H261"/>
          <cell r="I261"/>
          <cell r="J261"/>
          <cell r="K261"/>
          <cell r="L261"/>
          <cell r="M261"/>
        </row>
        <row r="262">
          <cell r="A262" t="str">
            <v>EASY CONCEPT</v>
          </cell>
          <cell r="B262"/>
          <cell r="C262" t="str">
            <v xml:space="preserve">GRAND LOMÉ </v>
          </cell>
          <cell r="D262" t="str">
            <v>BAGUIDA 2</v>
          </cell>
          <cell r="E262" t="str">
            <v>70996687</v>
          </cell>
          <cell r="F262" t="str">
            <v>Android</v>
          </cell>
          <cell r="G262"/>
          <cell r="H262"/>
          <cell r="I262"/>
          <cell r="J262"/>
          <cell r="K262"/>
          <cell r="L262"/>
          <cell r="M262"/>
        </row>
        <row r="263">
          <cell r="A263" t="str">
            <v>EASY CONCEPT</v>
          </cell>
          <cell r="B263" t="str">
            <v>LOM-180</v>
          </cell>
          <cell r="C263" t="str">
            <v>LOME</v>
          </cell>
          <cell r="D263" t="str">
            <v>BAGUIDA 3</v>
          </cell>
          <cell r="E263">
            <v>70996688</v>
          </cell>
          <cell r="F263" t="str">
            <v>2G</v>
          </cell>
          <cell r="G263"/>
          <cell r="H263"/>
          <cell r="I263"/>
          <cell r="J263"/>
          <cell r="K263"/>
          <cell r="L263"/>
          <cell r="M263"/>
        </row>
        <row r="264">
          <cell r="A264" t="str">
            <v>MRG</v>
          </cell>
          <cell r="B264" t="str">
            <v>LOM-181</v>
          </cell>
          <cell r="C264" t="str">
            <v>LOME</v>
          </cell>
          <cell r="D264" t="str">
            <v>BAGUIDA 4</v>
          </cell>
          <cell r="E264">
            <v>70996689</v>
          </cell>
          <cell r="F264" t="str">
            <v>2G</v>
          </cell>
          <cell r="G264"/>
          <cell r="H264"/>
          <cell r="I264"/>
          <cell r="J264"/>
          <cell r="K264"/>
          <cell r="L264"/>
          <cell r="M264"/>
        </row>
        <row r="265">
          <cell r="A265" t="str">
            <v>MRG</v>
          </cell>
          <cell r="B265" t="str">
            <v>CEN-050</v>
          </cell>
          <cell r="C265" t="str">
            <v>CENTRALE</v>
          </cell>
          <cell r="D265" t="str">
            <v>BALANKA</v>
          </cell>
          <cell r="E265">
            <v>70996690</v>
          </cell>
          <cell r="F265" t="str">
            <v>2G</v>
          </cell>
          <cell r="G265"/>
          <cell r="H265"/>
          <cell r="I265"/>
          <cell r="J265"/>
          <cell r="K265"/>
          <cell r="L265"/>
          <cell r="M265"/>
        </row>
        <row r="266">
          <cell r="A266" t="str">
            <v>MRG</v>
          </cell>
          <cell r="B266" t="str">
            <v>KAR-063</v>
          </cell>
          <cell r="C266" t="str">
            <v>KARA</v>
          </cell>
          <cell r="D266" t="str">
            <v>BANJELI</v>
          </cell>
          <cell r="E266">
            <v>70996691</v>
          </cell>
          <cell r="F266" t="str">
            <v>2G</v>
          </cell>
          <cell r="G266"/>
          <cell r="H266"/>
          <cell r="I266"/>
          <cell r="J266"/>
          <cell r="K266"/>
          <cell r="L266"/>
          <cell r="M266"/>
        </row>
        <row r="267">
          <cell r="A267" t="str">
            <v>MRG</v>
          </cell>
          <cell r="B267" t="str">
            <v>KAR-064</v>
          </cell>
          <cell r="C267" t="str">
            <v>KARA</v>
          </cell>
          <cell r="D267" t="str">
            <v>BAPURE</v>
          </cell>
          <cell r="E267">
            <v>70996692</v>
          </cell>
          <cell r="F267" t="str">
            <v>2G</v>
          </cell>
          <cell r="G267"/>
          <cell r="H267"/>
          <cell r="I267"/>
          <cell r="J267"/>
          <cell r="K267"/>
          <cell r="L267"/>
          <cell r="M267"/>
        </row>
        <row r="268">
          <cell r="A268" t="str">
            <v>MRG</v>
          </cell>
          <cell r="B268" t="str">
            <v>SAV-033</v>
          </cell>
          <cell r="C268" t="str">
            <v>SAVANES</v>
          </cell>
          <cell r="D268" t="str">
            <v>BARKOSSI</v>
          </cell>
          <cell r="E268">
            <v>70996693</v>
          </cell>
          <cell r="F268" t="str">
            <v>2G</v>
          </cell>
          <cell r="G268"/>
          <cell r="H268"/>
          <cell r="I268"/>
          <cell r="J268"/>
          <cell r="K268"/>
          <cell r="L268"/>
          <cell r="M268"/>
        </row>
        <row r="269">
          <cell r="A269" t="str">
            <v>SSV</v>
          </cell>
          <cell r="B269" t="str">
            <v>CEN-002</v>
          </cell>
          <cell r="C269" t="str">
            <v>CENTRALE</v>
          </cell>
          <cell r="D269" t="str">
            <v>BARRIERE</v>
          </cell>
          <cell r="E269">
            <v>70996694</v>
          </cell>
          <cell r="F269" t="str">
            <v>2G</v>
          </cell>
          <cell r="G269"/>
          <cell r="H269"/>
          <cell r="I269"/>
          <cell r="J269"/>
          <cell r="K269"/>
          <cell r="L269"/>
          <cell r="M269"/>
        </row>
        <row r="270">
          <cell r="A270" t="str">
            <v>EASY CONCEPT</v>
          </cell>
          <cell r="B270"/>
          <cell r="C270"/>
          <cell r="D270" t="str">
            <v>BASSADJI 2</v>
          </cell>
          <cell r="E270"/>
          <cell r="F270"/>
          <cell r="G270"/>
          <cell r="H270"/>
          <cell r="I270"/>
          <cell r="J270"/>
          <cell r="K270"/>
          <cell r="L270"/>
          <cell r="M270"/>
        </row>
        <row r="271">
          <cell r="A271" t="str">
            <v>MRG</v>
          </cell>
          <cell r="B271"/>
          <cell r="C271" t="str">
            <v>PLATEAUX</v>
          </cell>
          <cell r="D271" t="str">
            <v>BASSANKOPE</v>
          </cell>
          <cell r="E271" t="str">
            <v>70996697</v>
          </cell>
          <cell r="F271" t="str">
            <v>Android</v>
          </cell>
          <cell r="G271"/>
          <cell r="H271"/>
          <cell r="I271"/>
          <cell r="J271"/>
          <cell r="K271"/>
          <cell r="L271"/>
          <cell r="M271"/>
        </row>
        <row r="272">
          <cell r="A272" t="str">
            <v>EASY CONCEPT</v>
          </cell>
          <cell r="B272" t="str">
            <v>KAR-071</v>
          </cell>
          <cell r="C272" t="str">
            <v>KARA</v>
          </cell>
          <cell r="D272" t="str">
            <v>BASSAR</v>
          </cell>
          <cell r="E272">
            <v>70996698</v>
          </cell>
          <cell r="F272" t="str">
            <v>2G</v>
          </cell>
          <cell r="G272"/>
          <cell r="H272"/>
          <cell r="I272"/>
          <cell r="J272"/>
          <cell r="K272"/>
          <cell r="L272"/>
          <cell r="M272"/>
        </row>
        <row r="273">
          <cell r="A273" t="str">
            <v>EASY CONCEPT</v>
          </cell>
          <cell r="B273"/>
          <cell r="C273"/>
          <cell r="D273" t="str">
            <v>BASSAR 1 TELECOM</v>
          </cell>
          <cell r="E273"/>
          <cell r="F273"/>
          <cell r="G273"/>
          <cell r="H273"/>
          <cell r="I273"/>
          <cell r="J273"/>
          <cell r="K273"/>
          <cell r="L273"/>
          <cell r="M273"/>
        </row>
        <row r="274">
          <cell r="A274" t="str">
            <v>EASY CONCEPT</v>
          </cell>
          <cell r="B274" t="str">
            <v>KAR-148</v>
          </cell>
          <cell r="C274" t="str">
            <v>KARA</v>
          </cell>
          <cell r="D274" t="str">
            <v>BASSAR 2</v>
          </cell>
          <cell r="E274">
            <v>70997291</v>
          </cell>
          <cell r="F274" t="str">
            <v>2G</v>
          </cell>
          <cell r="G274"/>
          <cell r="H274"/>
          <cell r="I274"/>
          <cell r="J274"/>
          <cell r="K274"/>
          <cell r="L274"/>
          <cell r="M274"/>
        </row>
        <row r="275">
          <cell r="A275" t="str">
            <v>EASY CONCEPT</v>
          </cell>
          <cell r="B275"/>
          <cell r="C275"/>
          <cell r="D275" t="str">
            <v xml:space="preserve">BASSAR 2 </v>
          </cell>
          <cell r="E275"/>
          <cell r="F275"/>
          <cell r="G275"/>
          <cell r="H275"/>
          <cell r="I275"/>
          <cell r="J275"/>
          <cell r="K275"/>
          <cell r="L275"/>
          <cell r="M275"/>
        </row>
        <row r="276">
          <cell r="A276" t="str">
            <v>EASY CONCEPT</v>
          </cell>
          <cell r="B276" t="str">
            <v>KAR-127</v>
          </cell>
          <cell r="C276" t="str">
            <v>KARA</v>
          </cell>
          <cell r="D276" t="str">
            <v>BASSAR POSTE</v>
          </cell>
          <cell r="E276">
            <v>70997304</v>
          </cell>
          <cell r="F276" t="str">
            <v>2G</v>
          </cell>
          <cell r="G276"/>
          <cell r="H276"/>
          <cell r="I276"/>
          <cell r="J276"/>
          <cell r="K276"/>
          <cell r="L276"/>
          <cell r="M276"/>
        </row>
        <row r="277">
          <cell r="A277" t="str">
            <v>MRG</v>
          </cell>
          <cell r="B277" t="str">
            <v>KAR-072</v>
          </cell>
          <cell r="C277" t="str">
            <v>KARA</v>
          </cell>
          <cell r="D277" t="str">
            <v>BASSAR-BYAKPABE</v>
          </cell>
          <cell r="E277">
            <v>70996699</v>
          </cell>
          <cell r="F277" t="str">
            <v>2G</v>
          </cell>
          <cell r="G277"/>
          <cell r="H277"/>
          <cell r="I277"/>
          <cell r="J277"/>
          <cell r="K277"/>
          <cell r="L277"/>
          <cell r="M277"/>
        </row>
        <row r="278">
          <cell r="A278" t="str">
            <v>MRG</v>
          </cell>
          <cell r="B278" t="str">
            <v>KAR-073</v>
          </cell>
          <cell r="C278" t="str">
            <v>KARA</v>
          </cell>
          <cell r="D278" t="str">
            <v>BASSAR-DIGBANDI</v>
          </cell>
          <cell r="E278">
            <v>70996700</v>
          </cell>
          <cell r="F278" t="str">
            <v>2G</v>
          </cell>
          <cell r="G278"/>
          <cell r="H278"/>
          <cell r="I278"/>
          <cell r="J278"/>
          <cell r="K278"/>
          <cell r="L278"/>
          <cell r="M278"/>
        </row>
        <row r="279">
          <cell r="A279" t="str">
            <v>3SCA</v>
          </cell>
          <cell r="B279" t="str">
            <v>MAR-054</v>
          </cell>
          <cell r="C279" t="str">
            <v>MARITIME</v>
          </cell>
          <cell r="D279" t="str">
            <v>BATOUME</v>
          </cell>
          <cell r="E279">
            <v>70996701</v>
          </cell>
          <cell r="F279" t="str">
            <v>2G</v>
          </cell>
          <cell r="G279"/>
          <cell r="H279"/>
          <cell r="I279"/>
          <cell r="J279"/>
          <cell r="K279"/>
          <cell r="L279"/>
          <cell r="M279"/>
        </row>
        <row r="280">
          <cell r="A280" t="str">
            <v>EASY CONCEPT</v>
          </cell>
          <cell r="B280" t="str">
            <v>KAR-076</v>
          </cell>
          <cell r="C280" t="str">
            <v>KARA</v>
          </cell>
          <cell r="D280" t="str">
            <v>BEBEDA</v>
          </cell>
          <cell r="E280">
            <v>70996702</v>
          </cell>
          <cell r="F280" t="str">
            <v>2G</v>
          </cell>
          <cell r="G280"/>
          <cell r="H280"/>
          <cell r="I280"/>
          <cell r="J280"/>
          <cell r="K280"/>
          <cell r="L280"/>
          <cell r="M280"/>
        </row>
        <row r="281">
          <cell r="A281" t="str">
            <v>EASY CONCEPT</v>
          </cell>
          <cell r="B281"/>
          <cell r="C281" t="str">
            <v>KARA</v>
          </cell>
          <cell r="D281" t="str">
            <v>BEBEDA</v>
          </cell>
          <cell r="E281" t="str">
            <v>70996702</v>
          </cell>
          <cell r="F281" t="str">
            <v>Android</v>
          </cell>
          <cell r="G281"/>
          <cell r="H281"/>
          <cell r="I281"/>
          <cell r="J281"/>
          <cell r="K281"/>
          <cell r="L281"/>
          <cell r="M281"/>
        </row>
        <row r="282">
          <cell r="A282" t="str">
            <v>3SCA</v>
          </cell>
          <cell r="B282" t="str">
            <v>LOM-164</v>
          </cell>
          <cell r="C282" t="str">
            <v>LOME</v>
          </cell>
          <cell r="D282" t="str">
            <v>BE-BISS</v>
          </cell>
          <cell r="E282">
            <v>70996533</v>
          </cell>
          <cell r="F282" t="str">
            <v>2G</v>
          </cell>
          <cell r="G282"/>
          <cell r="H282"/>
          <cell r="I282"/>
          <cell r="J282"/>
          <cell r="K282"/>
          <cell r="L282"/>
          <cell r="M282"/>
        </row>
        <row r="283">
          <cell r="A283" t="str">
            <v>SSV</v>
          </cell>
          <cell r="B283"/>
          <cell r="C283" t="str">
            <v>LOME</v>
          </cell>
          <cell r="D283" t="str">
            <v>BE-KLIKAME</v>
          </cell>
          <cell r="E283">
            <v>70996890</v>
          </cell>
          <cell r="F283" t="str">
            <v>2G</v>
          </cell>
          <cell r="G283"/>
          <cell r="H283"/>
          <cell r="I283"/>
          <cell r="J283"/>
          <cell r="K283"/>
          <cell r="L283"/>
          <cell r="M283"/>
        </row>
        <row r="284">
          <cell r="A284" t="str">
            <v>SSV</v>
          </cell>
          <cell r="B284" t="str">
            <v>LOM-172</v>
          </cell>
          <cell r="C284" t="str">
            <v>LOME</v>
          </cell>
          <cell r="D284" t="str">
            <v>BEKPOTA</v>
          </cell>
          <cell r="E284">
            <v>70996703</v>
          </cell>
          <cell r="F284" t="str">
            <v>2G</v>
          </cell>
          <cell r="G284"/>
          <cell r="H284"/>
          <cell r="I284"/>
          <cell r="J284"/>
          <cell r="K284"/>
          <cell r="L284"/>
          <cell r="M284"/>
        </row>
        <row r="285">
          <cell r="A285" t="str">
            <v>EASY CONCEPT</v>
          </cell>
          <cell r="B285"/>
          <cell r="C285"/>
          <cell r="D285" t="str">
            <v>BE-KPOTA 1</v>
          </cell>
          <cell r="E285"/>
          <cell r="F285"/>
          <cell r="G285"/>
          <cell r="H285"/>
          <cell r="I285"/>
          <cell r="J285"/>
          <cell r="K285"/>
          <cell r="L285"/>
          <cell r="M285"/>
        </row>
        <row r="286">
          <cell r="A286" t="str">
            <v>EASY CONCEPT</v>
          </cell>
          <cell r="B286" t="str">
            <v>LOM-206</v>
          </cell>
          <cell r="C286" t="str">
            <v>LOME</v>
          </cell>
          <cell r="D286" t="str">
            <v>BEKPOTA 2</v>
          </cell>
          <cell r="E286">
            <v>70996704</v>
          </cell>
          <cell r="F286" t="str">
            <v>2G</v>
          </cell>
          <cell r="G286"/>
          <cell r="H286"/>
          <cell r="I286"/>
          <cell r="J286"/>
          <cell r="K286"/>
          <cell r="L286"/>
          <cell r="M286"/>
        </row>
        <row r="287">
          <cell r="A287" t="str">
            <v>SSV</v>
          </cell>
          <cell r="B287"/>
          <cell r="C287"/>
          <cell r="D287" t="str">
            <v>BE-KPOTA 2</v>
          </cell>
          <cell r="E287"/>
          <cell r="F287"/>
          <cell r="G287"/>
          <cell r="H287"/>
          <cell r="I287"/>
          <cell r="J287"/>
          <cell r="K287"/>
          <cell r="L287"/>
          <cell r="M287"/>
        </row>
        <row r="288">
          <cell r="A288" t="str">
            <v>SSV</v>
          </cell>
          <cell r="B288"/>
          <cell r="C288"/>
          <cell r="D288" t="str">
            <v>BENIGLATO</v>
          </cell>
          <cell r="E288"/>
          <cell r="F288"/>
          <cell r="G288"/>
          <cell r="H288"/>
          <cell r="I288"/>
          <cell r="J288"/>
          <cell r="K288"/>
          <cell r="L288"/>
          <cell r="M288"/>
        </row>
        <row r="289">
          <cell r="A289" t="str">
            <v>EASY CONCEPT</v>
          </cell>
          <cell r="B289"/>
          <cell r="C289" t="str">
            <v>LOME</v>
          </cell>
          <cell r="D289" t="str">
            <v>BE-POSTE</v>
          </cell>
          <cell r="E289">
            <v>70996532</v>
          </cell>
          <cell r="F289" t="str">
            <v>2G</v>
          </cell>
          <cell r="G289"/>
          <cell r="H289"/>
          <cell r="I289"/>
          <cell r="J289"/>
          <cell r="K289"/>
          <cell r="L289"/>
          <cell r="M289"/>
        </row>
        <row r="290">
          <cell r="A290" t="str">
            <v>EASY CONCEPT</v>
          </cell>
          <cell r="B290" t="str">
            <v>SAV-098</v>
          </cell>
          <cell r="C290" t="str">
            <v>SAVANES</v>
          </cell>
          <cell r="D290" t="str">
            <v>BIANKOURI</v>
          </cell>
          <cell r="E290">
            <v>70997253</v>
          </cell>
          <cell r="F290" t="str">
            <v>2G</v>
          </cell>
          <cell r="G290"/>
          <cell r="H290"/>
          <cell r="I290"/>
          <cell r="J290"/>
          <cell r="K290"/>
          <cell r="L290"/>
          <cell r="M290"/>
        </row>
        <row r="291">
          <cell r="A291" t="str">
            <v>EASY CONCEPT</v>
          </cell>
          <cell r="B291" t="str">
            <v>KAR-115</v>
          </cell>
          <cell r="C291" t="str">
            <v>KARA</v>
          </cell>
          <cell r="D291" t="str">
            <v>BIDJANDE</v>
          </cell>
          <cell r="E291">
            <v>70996706</v>
          </cell>
          <cell r="F291" t="str">
            <v>2G</v>
          </cell>
          <cell r="G291"/>
          <cell r="H291"/>
          <cell r="I291"/>
          <cell r="J291"/>
          <cell r="K291"/>
          <cell r="L291"/>
          <cell r="M291"/>
        </row>
        <row r="292">
          <cell r="A292" t="str">
            <v>EASY CONCEPT</v>
          </cell>
          <cell r="B292" t="str">
            <v>PLA-220</v>
          </cell>
          <cell r="C292" t="str">
            <v>PLATEAUX</v>
          </cell>
          <cell r="D292" t="str">
            <v>BIEWO KOPE</v>
          </cell>
          <cell r="E292">
            <v>70997254</v>
          </cell>
          <cell r="F292" t="str">
            <v>2G</v>
          </cell>
          <cell r="G292"/>
          <cell r="H292"/>
          <cell r="I292"/>
          <cell r="J292"/>
          <cell r="K292"/>
          <cell r="L292"/>
          <cell r="M292"/>
        </row>
        <row r="293">
          <cell r="A293" t="str">
            <v>SSV</v>
          </cell>
          <cell r="B293" t="str">
            <v>KAR-089</v>
          </cell>
          <cell r="C293" t="str">
            <v>KARA</v>
          </cell>
          <cell r="D293" t="str">
            <v>BITCHABE</v>
          </cell>
          <cell r="E293">
            <v>70996707</v>
          </cell>
          <cell r="F293" t="str">
            <v>2G</v>
          </cell>
          <cell r="G293"/>
          <cell r="H293"/>
          <cell r="I293"/>
          <cell r="J293"/>
          <cell r="K293"/>
          <cell r="L293"/>
          <cell r="M293"/>
        </row>
        <row r="294">
          <cell r="A294" t="str">
            <v>SSV</v>
          </cell>
          <cell r="B294"/>
          <cell r="C294" t="str">
            <v>KARA</v>
          </cell>
          <cell r="D294" t="str">
            <v>BITCHABE</v>
          </cell>
          <cell r="E294" t="str">
            <v>70996707</v>
          </cell>
          <cell r="F294" t="str">
            <v>Android</v>
          </cell>
          <cell r="G294"/>
          <cell r="H294"/>
          <cell r="I294"/>
          <cell r="J294"/>
          <cell r="K294"/>
          <cell r="L294"/>
          <cell r="M294"/>
        </row>
        <row r="295">
          <cell r="A295" t="str">
            <v>SSV</v>
          </cell>
          <cell r="B295" t="str">
            <v>CEN-065</v>
          </cell>
          <cell r="C295" t="str">
            <v>CENTRALE</v>
          </cell>
          <cell r="D295" t="str">
            <v>BLITTA</v>
          </cell>
          <cell r="E295">
            <v>70996708</v>
          </cell>
          <cell r="F295" t="str">
            <v>2G</v>
          </cell>
          <cell r="G295"/>
          <cell r="H295"/>
          <cell r="I295"/>
          <cell r="J295"/>
          <cell r="K295"/>
          <cell r="L295"/>
          <cell r="M295"/>
        </row>
        <row r="296">
          <cell r="A296" t="str">
            <v>SSV</v>
          </cell>
          <cell r="B296" t="str">
            <v>CEN-113</v>
          </cell>
          <cell r="C296" t="str">
            <v>CENTRALE</v>
          </cell>
          <cell r="D296" t="str">
            <v>BLITTA LYCEE</v>
          </cell>
          <cell r="E296">
            <v>70996512</v>
          </cell>
          <cell r="F296" t="str">
            <v>2G</v>
          </cell>
          <cell r="G296"/>
          <cell r="H296"/>
          <cell r="I296"/>
          <cell r="J296"/>
          <cell r="K296"/>
          <cell r="L296"/>
          <cell r="M296"/>
        </row>
        <row r="297">
          <cell r="A297" t="str">
            <v>EASY CONCEPT</v>
          </cell>
          <cell r="B297" t="str">
            <v>CEN-066</v>
          </cell>
          <cell r="C297" t="str">
            <v>CENTRALE</v>
          </cell>
          <cell r="D297" t="str">
            <v>BLITTAGARE</v>
          </cell>
          <cell r="E297">
            <v>70996709</v>
          </cell>
          <cell r="F297" t="str">
            <v>2G</v>
          </cell>
          <cell r="G297"/>
          <cell r="H297"/>
          <cell r="I297"/>
          <cell r="J297"/>
          <cell r="K297"/>
          <cell r="L297"/>
          <cell r="M297"/>
        </row>
        <row r="298">
          <cell r="A298" t="str">
            <v>EASY CONCEPT</v>
          </cell>
          <cell r="B298" t="str">
            <v>PLA-173</v>
          </cell>
          <cell r="C298" t="str">
            <v>PLATEAUX</v>
          </cell>
          <cell r="D298" t="str">
            <v>BOCCO</v>
          </cell>
          <cell r="E298">
            <v>70996710</v>
          </cell>
          <cell r="F298" t="str">
            <v>2G</v>
          </cell>
          <cell r="G298"/>
          <cell r="H298"/>
          <cell r="I298"/>
          <cell r="J298"/>
          <cell r="K298"/>
          <cell r="L298"/>
          <cell r="M298"/>
        </row>
        <row r="299">
          <cell r="A299" t="str">
            <v>EASY CONCEPT</v>
          </cell>
          <cell r="B299" t="str">
            <v>PLA-129</v>
          </cell>
          <cell r="C299" t="str">
            <v>PLATEAUX</v>
          </cell>
          <cell r="D299" t="str">
            <v>BODJE</v>
          </cell>
          <cell r="E299">
            <v>70996711</v>
          </cell>
          <cell r="F299" t="str">
            <v>2G</v>
          </cell>
          <cell r="G299"/>
          <cell r="H299"/>
          <cell r="I299"/>
          <cell r="J299"/>
          <cell r="K299"/>
          <cell r="L299"/>
          <cell r="M299"/>
        </row>
        <row r="300">
          <cell r="A300" t="str">
            <v>SSV</v>
          </cell>
          <cell r="B300"/>
          <cell r="C300" t="str">
            <v>MARITIME</v>
          </cell>
          <cell r="D300" t="str">
            <v>BODJE</v>
          </cell>
          <cell r="E300" t="str">
            <v>70996711</v>
          </cell>
          <cell r="F300" t="str">
            <v>Android</v>
          </cell>
          <cell r="G300"/>
          <cell r="H300"/>
          <cell r="I300"/>
          <cell r="J300"/>
          <cell r="K300"/>
          <cell r="L300"/>
          <cell r="M300"/>
        </row>
        <row r="301">
          <cell r="A301" t="str">
            <v>SSV</v>
          </cell>
          <cell r="B301"/>
          <cell r="C301" t="str">
            <v>CENTRALE</v>
          </cell>
          <cell r="D301" t="str">
            <v>BODJONDE</v>
          </cell>
          <cell r="E301">
            <v>70997280</v>
          </cell>
          <cell r="F301" t="str">
            <v>2G</v>
          </cell>
          <cell r="G301"/>
          <cell r="H301"/>
          <cell r="I301"/>
          <cell r="J301"/>
          <cell r="K301"/>
          <cell r="L301"/>
          <cell r="M301"/>
        </row>
        <row r="302">
          <cell r="A302" t="str">
            <v>EASY CONCEPT</v>
          </cell>
          <cell r="B302" t="str">
            <v>KAR-018</v>
          </cell>
          <cell r="C302" t="str">
            <v>KARA</v>
          </cell>
          <cell r="D302" t="str">
            <v>BOHOU</v>
          </cell>
          <cell r="E302">
            <v>70996712</v>
          </cell>
          <cell r="F302" t="str">
            <v>2G</v>
          </cell>
          <cell r="G302"/>
          <cell r="H302"/>
          <cell r="I302"/>
          <cell r="J302"/>
          <cell r="K302"/>
          <cell r="L302"/>
          <cell r="M302"/>
        </row>
        <row r="303">
          <cell r="A303" t="str">
            <v>EASY CONCEPT</v>
          </cell>
          <cell r="B303" t="str">
            <v>LOM-276</v>
          </cell>
          <cell r="C303" t="str">
            <v>MARITIME</v>
          </cell>
          <cell r="D303" t="str">
            <v>BOKPOKO</v>
          </cell>
          <cell r="E303">
            <v>70996464</v>
          </cell>
          <cell r="F303" t="str">
            <v>2G</v>
          </cell>
          <cell r="G303"/>
          <cell r="H303"/>
          <cell r="I303"/>
          <cell r="J303"/>
          <cell r="K303"/>
          <cell r="L303"/>
          <cell r="M303"/>
        </row>
        <row r="304">
          <cell r="A304" t="str">
            <v>MRG</v>
          </cell>
          <cell r="B304" t="str">
            <v>SAV-026</v>
          </cell>
          <cell r="C304" t="str">
            <v>SAVANES</v>
          </cell>
          <cell r="D304" t="str">
            <v>BOMBOUAKA</v>
          </cell>
          <cell r="E304">
            <v>70996713</v>
          </cell>
          <cell r="F304" t="str">
            <v>2G</v>
          </cell>
          <cell r="G304"/>
          <cell r="H304"/>
          <cell r="I304"/>
          <cell r="J304"/>
          <cell r="K304"/>
          <cell r="L304"/>
          <cell r="M304"/>
        </row>
        <row r="305">
          <cell r="A305" t="str">
            <v>MRG</v>
          </cell>
          <cell r="B305"/>
          <cell r="C305" t="str">
            <v>SAVANES</v>
          </cell>
          <cell r="D305" t="str">
            <v>BOMBOUAKA</v>
          </cell>
          <cell r="E305" t="str">
            <v>70996713</v>
          </cell>
          <cell r="F305" t="str">
            <v>Android</v>
          </cell>
          <cell r="G305"/>
          <cell r="H305"/>
          <cell r="I305"/>
          <cell r="J305"/>
          <cell r="K305"/>
          <cell r="L305"/>
          <cell r="M305"/>
        </row>
        <row r="306">
          <cell r="A306" t="str">
            <v>EASY CONCEPT</v>
          </cell>
          <cell r="B306" t="str">
            <v>CEN-088</v>
          </cell>
          <cell r="C306" t="str">
            <v>CENTRALE</v>
          </cell>
          <cell r="D306" t="str">
            <v>BONANGANA</v>
          </cell>
          <cell r="E306">
            <v>70996714</v>
          </cell>
          <cell r="F306" t="str">
            <v>2G</v>
          </cell>
          <cell r="G306"/>
          <cell r="H306"/>
          <cell r="I306"/>
          <cell r="J306"/>
          <cell r="K306"/>
          <cell r="L306"/>
          <cell r="M306"/>
        </row>
        <row r="307">
          <cell r="A307" t="str">
            <v>MRG</v>
          </cell>
          <cell r="B307"/>
          <cell r="C307" t="str">
            <v>CENTRALE</v>
          </cell>
          <cell r="D307" t="str">
            <v>BONANGANA</v>
          </cell>
          <cell r="E307" t="str">
            <v>70996714</v>
          </cell>
          <cell r="F307" t="str">
            <v>Android</v>
          </cell>
          <cell r="G307"/>
          <cell r="H307"/>
          <cell r="I307"/>
          <cell r="J307"/>
          <cell r="K307"/>
          <cell r="L307"/>
          <cell r="M307"/>
        </row>
        <row r="308">
          <cell r="A308" t="str">
            <v>MRG</v>
          </cell>
          <cell r="B308" t="str">
            <v>SAV-040</v>
          </cell>
          <cell r="C308" t="str">
            <v>SAVANES</v>
          </cell>
          <cell r="D308" t="str">
            <v>BORGOU</v>
          </cell>
          <cell r="E308">
            <v>70996715</v>
          </cell>
          <cell r="F308" t="str">
            <v>2G</v>
          </cell>
          <cell r="G308"/>
          <cell r="H308"/>
          <cell r="I308"/>
          <cell r="J308"/>
          <cell r="K308"/>
          <cell r="L308"/>
          <cell r="M308"/>
        </row>
        <row r="309">
          <cell r="A309" t="str">
            <v>MRG</v>
          </cell>
          <cell r="B309"/>
          <cell r="C309" t="str">
            <v>SAVANES</v>
          </cell>
          <cell r="D309" t="str">
            <v>BORGOU</v>
          </cell>
          <cell r="E309" t="str">
            <v>70996715</v>
          </cell>
          <cell r="F309" t="str">
            <v>Android</v>
          </cell>
          <cell r="G309"/>
          <cell r="H309"/>
          <cell r="I309"/>
          <cell r="J309"/>
          <cell r="K309"/>
          <cell r="L309"/>
          <cell r="M309"/>
        </row>
        <row r="310">
          <cell r="A310" t="str">
            <v>MRG</v>
          </cell>
          <cell r="B310" t="str">
            <v>KAR-101</v>
          </cell>
          <cell r="C310" t="str">
            <v>KARA</v>
          </cell>
          <cell r="D310" t="str">
            <v>BOUFALE</v>
          </cell>
          <cell r="E310">
            <v>70996716</v>
          </cell>
          <cell r="F310" t="str">
            <v>2G</v>
          </cell>
          <cell r="G310"/>
          <cell r="H310"/>
          <cell r="I310"/>
          <cell r="J310"/>
          <cell r="K310"/>
          <cell r="L310"/>
          <cell r="M310"/>
        </row>
        <row r="311">
          <cell r="A311" t="str">
            <v>EASY CONCEPT</v>
          </cell>
          <cell r="B311"/>
          <cell r="C311" t="str">
            <v>KARA</v>
          </cell>
          <cell r="D311" t="str">
            <v>BOUFALE</v>
          </cell>
          <cell r="E311" t="str">
            <v>70996716</v>
          </cell>
          <cell r="F311" t="str">
            <v>Android</v>
          </cell>
          <cell r="G311"/>
          <cell r="H311"/>
          <cell r="I311"/>
          <cell r="J311"/>
          <cell r="K311"/>
          <cell r="L311"/>
          <cell r="M311"/>
        </row>
        <row r="312">
          <cell r="A312" t="str">
            <v>MRG</v>
          </cell>
          <cell r="B312" t="str">
            <v>KAR-077</v>
          </cell>
          <cell r="C312" t="str">
            <v>KARA</v>
          </cell>
          <cell r="D312" t="str">
            <v>BOUGABOU</v>
          </cell>
          <cell r="E312">
            <v>70996717</v>
          </cell>
          <cell r="F312" t="str">
            <v>2G</v>
          </cell>
          <cell r="G312"/>
          <cell r="H312"/>
          <cell r="I312"/>
          <cell r="J312"/>
          <cell r="K312"/>
          <cell r="L312"/>
          <cell r="M312"/>
        </row>
        <row r="313">
          <cell r="A313" t="str">
            <v>SSV</v>
          </cell>
          <cell r="B313"/>
          <cell r="C313" t="str">
            <v>CENTRALE</v>
          </cell>
          <cell r="D313" t="str">
            <v>BOUGABOU</v>
          </cell>
          <cell r="E313" t="str">
            <v>70996717</v>
          </cell>
          <cell r="F313" t="str">
            <v>Android</v>
          </cell>
          <cell r="G313"/>
          <cell r="H313"/>
          <cell r="I313"/>
          <cell r="J313"/>
          <cell r="K313"/>
          <cell r="L313"/>
          <cell r="M313"/>
        </row>
        <row r="314">
          <cell r="A314" t="str">
            <v>SSV</v>
          </cell>
          <cell r="B314" t="str">
            <v>SAV-034</v>
          </cell>
          <cell r="C314" t="str">
            <v>SAVANES</v>
          </cell>
          <cell r="D314" t="str">
            <v>BOULOUGOU</v>
          </cell>
          <cell r="E314">
            <v>70996719</v>
          </cell>
          <cell r="F314" t="str">
            <v>2G</v>
          </cell>
          <cell r="G314"/>
          <cell r="H314"/>
          <cell r="I314"/>
          <cell r="J314"/>
          <cell r="K314"/>
          <cell r="L314"/>
          <cell r="M314"/>
        </row>
        <row r="315">
          <cell r="A315" t="str">
            <v>SSV</v>
          </cell>
          <cell r="B315"/>
          <cell r="C315" t="str">
            <v>SAVANES</v>
          </cell>
          <cell r="D315" t="str">
            <v>BOULOUGOU</v>
          </cell>
          <cell r="E315" t="str">
            <v>70996719</v>
          </cell>
          <cell r="F315" t="str">
            <v>Android</v>
          </cell>
          <cell r="G315"/>
          <cell r="H315"/>
          <cell r="I315"/>
          <cell r="J315"/>
          <cell r="K315"/>
          <cell r="L315"/>
          <cell r="M315"/>
        </row>
        <row r="316">
          <cell r="A316" t="str">
            <v>SSV</v>
          </cell>
          <cell r="B316" t="str">
            <v>SAV-001</v>
          </cell>
          <cell r="C316" t="str">
            <v>SAVANES</v>
          </cell>
          <cell r="D316" t="str">
            <v>BOUMONGA</v>
          </cell>
          <cell r="E316">
            <v>70996720</v>
          </cell>
          <cell r="F316" t="str">
            <v>2G</v>
          </cell>
          <cell r="G316"/>
          <cell r="H316"/>
          <cell r="I316"/>
          <cell r="J316"/>
          <cell r="K316"/>
          <cell r="L316"/>
          <cell r="M316"/>
        </row>
        <row r="317">
          <cell r="A317" t="str">
            <v>SSV</v>
          </cell>
          <cell r="B317"/>
          <cell r="C317" t="str">
            <v>SAVANES</v>
          </cell>
          <cell r="D317" t="str">
            <v>BOUMONGA</v>
          </cell>
          <cell r="E317" t="str">
            <v>70996720</v>
          </cell>
          <cell r="F317" t="str">
            <v>Android</v>
          </cell>
          <cell r="G317"/>
          <cell r="H317"/>
          <cell r="I317"/>
          <cell r="J317"/>
          <cell r="K317"/>
          <cell r="L317"/>
          <cell r="M317"/>
        </row>
        <row r="318">
          <cell r="A318" t="str">
            <v>SSV</v>
          </cell>
          <cell r="B318" t="str">
            <v>KAR-140</v>
          </cell>
          <cell r="C318" t="str">
            <v>KARA</v>
          </cell>
          <cell r="D318" t="str">
            <v>BOUNDJAL</v>
          </cell>
          <cell r="E318">
            <v>70997264</v>
          </cell>
          <cell r="F318" t="str">
            <v>2G</v>
          </cell>
          <cell r="G318"/>
          <cell r="H318"/>
          <cell r="I318"/>
          <cell r="J318"/>
          <cell r="K318"/>
          <cell r="L318"/>
          <cell r="M318"/>
        </row>
        <row r="319">
          <cell r="A319" t="str">
            <v>SSV</v>
          </cell>
          <cell r="B319"/>
          <cell r="C319" t="str">
            <v>KARA</v>
          </cell>
          <cell r="D319" t="str">
            <v>BOUNDJAL</v>
          </cell>
          <cell r="E319">
            <v>70997264</v>
          </cell>
          <cell r="F319" t="str">
            <v>Android</v>
          </cell>
          <cell r="G319"/>
          <cell r="H319"/>
          <cell r="I319"/>
          <cell r="J319"/>
          <cell r="K319"/>
          <cell r="L319"/>
          <cell r="M319"/>
        </row>
        <row r="320">
          <cell r="A320" t="str">
            <v>SSV</v>
          </cell>
          <cell r="B320"/>
          <cell r="C320" t="str">
            <v>KARA</v>
          </cell>
          <cell r="D320" t="str">
            <v>Bounoh</v>
          </cell>
          <cell r="E320">
            <v>70996721</v>
          </cell>
          <cell r="F320" t="str">
            <v>2G</v>
          </cell>
          <cell r="G320"/>
          <cell r="H320"/>
          <cell r="I320"/>
          <cell r="J320"/>
          <cell r="K320"/>
          <cell r="L320"/>
          <cell r="M320"/>
        </row>
        <row r="321">
          <cell r="A321" t="str">
            <v>SSV</v>
          </cell>
          <cell r="B321"/>
          <cell r="C321" t="str">
            <v>SAVANES</v>
          </cell>
          <cell r="D321" t="str">
            <v>BOURDJOARE</v>
          </cell>
          <cell r="E321" t="str">
            <v>70996722</v>
          </cell>
          <cell r="F321" t="str">
            <v>Android</v>
          </cell>
          <cell r="G321"/>
          <cell r="H321"/>
          <cell r="I321"/>
          <cell r="J321"/>
          <cell r="K321"/>
          <cell r="L321"/>
          <cell r="M321"/>
        </row>
        <row r="322">
          <cell r="A322" t="str">
            <v>SSV</v>
          </cell>
          <cell r="B322" t="str">
            <v>SAV-041</v>
          </cell>
          <cell r="C322" t="str">
            <v>SAVANES</v>
          </cell>
          <cell r="D322" t="str">
            <v>BOURDJOARE</v>
          </cell>
          <cell r="E322">
            <v>70996722</v>
          </cell>
          <cell r="F322" t="str">
            <v>2G</v>
          </cell>
          <cell r="G322"/>
          <cell r="H322"/>
          <cell r="I322"/>
          <cell r="J322"/>
          <cell r="K322"/>
          <cell r="L322"/>
          <cell r="M322"/>
        </row>
        <row r="323">
          <cell r="A323" t="str">
            <v>3SCA</v>
          </cell>
          <cell r="B323" t="str">
            <v>CEN-018</v>
          </cell>
          <cell r="C323" t="str">
            <v>CENTRALE</v>
          </cell>
          <cell r="D323" t="str">
            <v>BOWOUNDA</v>
          </cell>
          <cell r="E323">
            <v>70996723</v>
          </cell>
          <cell r="F323" t="str">
            <v>2G</v>
          </cell>
          <cell r="G323"/>
          <cell r="H323"/>
          <cell r="I323"/>
          <cell r="J323"/>
          <cell r="K323"/>
          <cell r="L323"/>
          <cell r="M323"/>
        </row>
        <row r="324">
          <cell r="A324" t="str">
            <v>3SCA</v>
          </cell>
          <cell r="B324" t="str">
            <v>KAR-057</v>
          </cell>
          <cell r="C324" t="str">
            <v>KARA</v>
          </cell>
          <cell r="D324" t="str">
            <v>BROUKOU</v>
          </cell>
          <cell r="E324">
            <v>70996724</v>
          </cell>
          <cell r="F324" t="str">
            <v>2G</v>
          </cell>
          <cell r="G324"/>
          <cell r="H324"/>
          <cell r="I324"/>
          <cell r="J324"/>
          <cell r="K324"/>
          <cell r="L324"/>
          <cell r="M324"/>
        </row>
        <row r="325">
          <cell r="A325" t="str">
            <v>3SCA</v>
          </cell>
          <cell r="B325" t="str">
            <v>PLA-097</v>
          </cell>
          <cell r="C325" t="str">
            <v>PLATEAUX</v>
          </cell>
          <cell r="D325" t="str">
            <v>BROUNFOU</v>
          </cell>
          <cell r="E325">
            <v>70996725</v>
          </cell>
          <cell r="F325" t="str">
            <v>2G</v>
          </cell>
          <cell r="G325"/>
          <cell r="H325"/>
          <cell r="I325"/>
          <cell r="J325"/>
          <cell r="K325"/>
          <cell r="L325"/>
          <cell r="M325"/>
        </row>
        <row r="326">
          <cell r="A326" t="str">
            <v>MRG</v>
          </cell>
          <cell r="B326"/>
          <cell r="C326" t="str">
            <v>PLATEAUX</v>
          </cell>
          <cell r="D326" t="str">
            <v>BROUNFOU</v>
          </cell>
          <cell r="E326" t="str">
            <v>70996725</v>
          </cell>
          <cell r="F326" t="str">
            <v>Android</v>
          </cell>
          <cell r="G326"/>
          <cell r="H326"/>
          <cell r="I326"/>
          <cell r="J326"/>
          <cell r="K326"/>
          <cell r="L326"/>
          <cell r="M326"/>
        </row>
        <row r="327">
          <cell r="A327" t="str">
            <v>3SCA</v>
          </cell>
          <cell r="B327"/>
          <cell r="C327" t="str">
            <v>CENTRALE</v>
          </cell>
          <cell r="D327" t="str">
            <v>BSC Sokodé 6</v>
          </cell>
          <cell r="E327">
            <v>70996726</v>
          </cell>
          <cell r="F327" t="str">
            <v>2G</v>
          </cell>
          <cell r="G327"/>
          <cell r="H327"/>
          <cell r="I327"/>
          <cell r="J327"/>
          <cell r="K327"/>
          <cell r="L327"/>
          <cell r="M327"/>
        </row>
        <row r="328">
          <cell r="A328" t="str">
            <v>3SCA</v>
          </cell>
          <cell r="B328" t="str">
            <v>LOM-097</v>
          </cell>
          <cell r="C328" t="str">
            <v>LOME</v>
          </cell>
          <cell r="D328" t="str">
            <v>BSC-Hédzranawoé1</v>
          </cell>
          <cell r="E328">
            <v>70996727</v>
          </cell>
          <cell r="F328" t="str">
            <v>2G</v>
          </cell>
          <cell r="G328"/>
          <cell r="H328"/>
          <cell r="I328"/>
          <cell r="J328"/>
          <cell r="K328"/>
          <cell r="L328"/>
          <cell r="M328"/>
        </row>
        <row r="329">
          <cell r="A329" t="str">
            <v>3SCA</v>
          </cell>
          <cell r="B329" t="str">
            <v>LOM-045</v>
          </cell>
          <cell r="C329" t="str">
            <v>LOME</v>
          </cell>
          <cell r="D329" t="str">
            <v>CAMP-GP</v>
          </cell>
          <cell r="E329">
            <v>70996728</v>
          </cell>
          <cell r="F329" t="str">
            <v>2G</v>
          </cell>
          <cell r="G329"/>
          <cell r="H329"/>
          <cell r="I329"/>
          <cell r="J329"/>
          <cell r="K329"/>
          <cell r="L329"/>
          <cell r="M329"/>
        </row>
        <row r="330">
          <cell r="A330" t="str">
            <v>MRG</v>
          </cell>
          <cell r="B330" t="str">
            <v>LOM-334</v>
          </cell>
          <cell r="C330" t="str">
            <v>LOME</v>
          </cell>
          <cell r="D330" t="str">
            <v>CAMPUS DAAS</v>
          </cell>
          <cell r="E330">
            <v>70997325</v>
          </cell>
          <cell r="F330" t="str">
            <v>2G</v>
          </cell>
          <cell r="G330"/>
          <cell r="H330"/>
          <cell r="I330"/>
          <cell r="J330"/>
          <cell r="K330"/>
          <cell r="L330"/>
          <cell r="M330"/>
        </row>
        <row r="331">
          <cell r="A331" t="str">
            <v>MRG</v>
          </cell>
          <cell r="B331" t="str">
            <v>LOM-360</v>
          </cell>
          <cell r="C331" t="str">
            <v>LOME</v>
          </cell>
          <cell r="D331" t="str">
            <v>CASABLANCA 2</v>
          </cell>
          <cell r="E331">
            <v>70997326</v>
          </cell>
          <cell r="F331" t="str">
            <v>2G</v>
          </cell>
          <cell r="G331"/>
          <cell r="H331"/>
          <cell r="I331"/>
          <cell r="J331"/>
          <cell r="K331"/>
          <cell r="L331"/>
          <cell r="M331"/>
        </row>
        <row r="332">
          <cell r="A332" t="str">
            <v>MRG</v>
          </cell>
          <cell r="B332"/>
          <cell r="C332" t="str">
            <v>KARA</v>
          </cell>
          <cell r="D332" t="str">
            <v>Central Radio Kara</v>
          </cell>
          <cell r="E332">
            <v>70996730</v>
          </cell>
          <cell r="F332" t="str">
            <v>2G</v>
          </cell>
          <cell r="G332"/>
          <cell r="H332"/>
          <cell r="I332"/>
          <cell r="J332"/>
          <cell r="K332"/>
          <cell r="L332"/>
          <cell r="M332"/>
        </row>
        <row r="333">
          <cell r="A333" t="str">
            <v>EASY CONCEPT</v>
          </cell>
          <cell r="B333" t="str">
            <v>LOM-129</v>
          </cell>
          <cell r="C333" t="str">
            <v>LOME</v>
          </cell>
          <cell r="D333" t="str">
            <v>CERFER</v>
          </cell>
          <cell r="E333">
            <v>70996536</v>
          </cell>
          <cell r="F333" t="str">
            <v>2G</v>
          </cell>
          <cell r="G333"/>
          <cell r="H333"/>
          <cell r="I333"/>
          <cell r="J333"/>
          <cell r="K333"/>
          <cell r="L333"/>
          <cell r="M333"/>
        </row>
        <row r="334">
          <cell r="A334" t="str">
            <v>MRG</v>
          </cell>
          <cell r="B334" t="str">
            <v>SAV-010</v>
          </cell>
          <cell r="C334" t="str">
            <v>SAVANES</v>
          </cell>
          <cell r="D334" t="str">
            <v>CINKASSE</v>
          </cell>
          <cell r="E334">
            <v>70996731</v>
          </cell>
          <cell r="F334" t="str">
            <v>2G</v>
          </cell>
          <cell r="G334"/>
          <cell r="H334"/>
          <cell r="I334"/>
          <cell r="J334"/>
          <cell r="K334"/>
          <cell r="L334"/>
          <cell r="M334"/>
        </row>
        <row r="335">
          <cell r="A335" t="str">
            <v>MRG</v>
          </cell>
          <cell r="B335"/>
          <cell r="C335" t="str">
            <v>SAVANES</v>
          </cell>
          <cell r="D335" t="str">
            <v>CINKASSE</v>
          </cell>
          <cell r="E335" t="str">
            <v>70996731</v>
          </cell>
          <cell r="F335" t="str">
            <v>Android</v>
          </cell>
          <cell r="G335"/>
          <cell r="H335"/>
          <cell r="I335"/>
          <cell r="J335"/>
          <cell r="K335"/>
          <cell r="L335"/>
          <cell r="M335"/>
        </row>
        <row r="336">
          <cell r="A336" t="str">
            <v>3SCA</v>
          </cell>
          <cell r="B336"/>
          <cell r="C336" t="str">
            <v>SAVANES</v>
          </cell>
          <cell r="D336" t="str">
            <v>CINKASSE BOUSSONGA</v>
          </cell>
          <cell r="E336" t="str">
            <v>70996733</v>
          </cell>
          <cell r="F336" t="str">
            <v>Android</v>
          </cell>
          <cell r="G336"/>
          <cell r="H336"/>
          <cell r="I336"/>
          <cell r="J336"/>
          <cell r="K336"/>
          <cell r="L336"/>
          <cell r="M336"/>
        </row>
        <row r="337">
          <cell r="A337" t="str">
            <v>MRG</v>
          </cell>
          <cell r="B337" t="str">
            <v>SAV-011</v>
          </cell>
          <cell r="C337" t="str">
            <v>SAVANES</v>
          </cell>
          <cell r="D337" t="str">
            <v>CINKASSE BOUSSONGA</v>
          </cell>
          <cell r="E337">
            <v>70996733</v>
          </cell>
          <cell r="F337" t="str">
            <v>2G</v>
          </cell>
          <cell r="G337"/>
          <cell r="H337"/>
          <cell r="I337"/>
          <cell r="J337"/>
          <cell r="K337"/>
          <cell r="L337"/>
          <cell r="M337"/>
        </row>
        <row r="338">
          <cell r="A338" t="str">
            <v>3SCA</v>
          </cell>
          <cell r="B338"/>
          <cell r="C338" t="str">
            <v>SAVANES</v>
          </cell>
          <cell r="D338" t="str">
            <v>CINKASSE KOMOLOQS</v>
          </cell>
          <cell r="E338" t="str">
            <v>70996734</v>
          </cell>
          <cell r="F338" t="str">
            <v>Android</v>
          </cell>
          <cell r="G338"/>
          <cell r="H338"/>
          <cell r="I338"/>
          <cell r="J338"/>
          <cell r="K338"/>
          <cell r="L338"/>
          <cell r="M338"/>
        </row>
        <row r="339">
          <cell r="A339" t="str">
            <v>MRG</v>
          </cell>
          <cell r="B339" t="str">
            <v>SAV-012</v>
          </cell>
          <cell r="C339" t="str">
            <v>SAVANES</v>
          </cell>
          <cell r="D339" t="str">
            <v>CINKASSE KOMOLOQS</v>
          </cell>
          <cell r="E339">
            <v>70996734</v>
          </cell>
          <cell r="F339" t="str">
            <v>2G</v>
          </cell>
          <cell r="G339"/>
          <cell r="H339"/>
          <cell r="I339"/>
          <cell r="J339"/>
          <cell r="K339"/>
          <cell r="L339"/>
          <cell r="M339"/>
        </row>
        <row r="340">
          <cell r="A340" t="str">
            <v>3SCA</v>
          </cell>
          <cell r="B340" t="str">
            <v>SAV-099</v>
          </cell>
          <cell r="C340" t="str">
            <v>SAVANES</v>
          </cell>
          <cell r="D340" t="str">
            <v>CINKASSE KPALBIAGA</v>
          </cell>
          <cell r="E340">
            <v>70997368</v>
          </cell>
          <cell r="F340" t="str">
            <v>2G</v>
          </cell>
          <cell r="G340"/>
          <cell r="H340"/>
          <cell r="I340"/>
          <cell r="J340"/>
          <cell r="K340"/>
          <cell r="L340"/>
          <cell r="M340"/>
        </row>
        <row r="341">
          <cell r="A341" t="str">
            <v>MRG</v>
          </cell>
          <cell r="B341"/>
          <cell r="C341" t="str">
            <v>SAVANES</v>
          </cell>
          <cell r="D341" t="str">
            <v>CINKASSE TOTAL</v>
          </cell>
          <cell r="E341" t="str">
            <v>70996735</v>
          </cell>
          <cell r="F341" t="str">
            <v>Android</v>
          </cell>
          <cell r="G341"/>
          <cell r="H341"/>
          <cell r="I341"/>
          <cell r="J341"/>
          <cell r="K341"/>
          <cell r="L341"/>
          <cell r="M341"/>
        </row>
        <row r="342">
          <cell r="A342" t="str">
            <v>EASY CONCEPT</v>
          </cell>
          <cell r="B342" t="str">
            <v>SAV-062</v>
          </cell>
          <cell r="C342" t="str">
            <v>SAVANES</v>
          </cell>
          <cell r="D342" t="str">
            <v>CINKASSE-BOSCO</v>
          </cell>
          <cell r="E342">
            <v>70996732</v>
          </cell>
          <cell r="F342" t="str">
            <v>2G</v>
          </cell>
          <cell r="G342"/>
          <cell r="H342"/>
          <cell r="I342"/>
          <cell r="J342"/>
          <cell r="K342"/>
          <cell r="L342"/>
          <cell r="M342"/>
        </row>
        <row r="343">
          <cell r="A343" t="str">
            <v>EASY CONCEPT</v>
          </cell>
          <cell r="B343" t="str">
            <v>SAV-076</v>
          </cell>
          <cell r="C343" t="str">
            <v>SAVANES</v>
          </cell>
          <cell r="D343" t="str">
            <v>CINKASSE-TOTAL</v>
          </cell>
          <cell r="E343">
            <v>70996735</v>
          </cell>
          <cell r="F343" t="str">
            <v>2G</v>
          </cell>
          <cell r="G343"/>
          <cell r="H343"/>
          <cell r="I343"/>
          <cell r="J343"/>
          <cell r="K343"/>
          <cell r="L343"/>
          <cell r="M343"/>
        </row>
        <row r="344">
          <cell r="A344" t="str">
            <v>SSV</v>
          </cell>
          <cell r="B344" t="str">
            <v>MAR-037</v>
          </cell>
          <cell r="C344" t="str">
            <v>MARITIME</v>
          </cell>
          <cell r="D344" t="str">
            <v>DAGBATI</v>
          </cell>
          <cell r="E344">
            <v>70996737</v>
          </cell>
          <cell r="F344" t="str">
            <v>2G</v>
          </cell>
          <cell r="G344"/>
          <cell r="H344"/>
          <cell r="I344"/>
          <cell r="J344"/>
          <cell r="K344"/>
          <cell r="L344"/>
          <cell r="M344"/>
        </row>
        <row r="345">
          <cell r="A345" t="str">
            <v>SSV</v>
          </cell>
          <cell r="B345"/>
          <cell r="C345" t="str">
            <v>MARITIME</v>
          </cell>
          <cell r="D345" t="str">
            <v>DAGBATI</v>
          </cell>
          <cell r="E345" t="str">
            <v>70996737</v>
          </cell>
          <cell r="F345" t="str">
            <v>Android</v>
          </cell>
          <cell r="G345"/>
          <cell r="H345"/>
          <cell r="I345"/>
          <cell r="J345"/>
          <cell r="K345"/>
          <cell r="L345"/>
          <cell r="M345"/>
        </row>
        <row r="346">
          <cell r="A346" t="str">
            <v>SSV</v>
          </cell>
          <cell r="B346" t="str">
            <v>MAR-087</v>
          </cell>
          <cell r="C346" t="str">
            <v>MARITIME</v>
          </cell>
          <cell r="D346" t="str">
            <v>DAGUE</v>
          </cell>
          <cell r="E346">
            <v>70996430</v>
          </cell>
          <cell r="F346" t="str">
            <v>2G</v>
          </cell>
          <cell r="G346"/>
          <cell r="H346"/>
          <cell r="I346"/>
          <cell r="J346"/>
          <cell r="K346"/>
          <cell r="L346"/>
          <cell r="M346"/>
        </row>
        <row r="347">
          <cell r="A347" t="str">
            <v>SSV</v>
          </cell>
          <cell r="B347" t="str">
            <v>LOM-303</v>
          </cell>
          <cell r="C347" t="str">
            <v>LOME</v>
          </cell>
          <cell r="D347" t="str">
            <v>Dahlinko 2</v>
          </cell>
          <cell r="E347">
            <v>70996465</v>
          </cell>
          <cell r="F347" t="str">
            <v>2G</v>
          </cell>
          <cell r="G347"/>
          <cell r="H347"/>
          <cell r="I347"/>
          <cell r="J347"/>
          <cell r="K347"/>
          <cell r="L347"/>
          <cell r="M347"/>
        </row>
        <row r="348">
          <cell r="A348" t="str">
            <v>SSV</v>
          </cell>
          <cell r="B348" t="str">
            <v>MAR-004</v>
          </cell>
          <cell r="C348" t="str">
            <v>MARITIME</v>
          </cell>
          <cell r="D348" t="str">
            <v>DALAVE</v>
          </cell>
          <cell r="E348">
            <v>70996738</v>
          </cell>
          <cell r="F348" t="str">
            <v>2G</v>
          </cell>
          <cell r="G348"/>
          <cell r="H348"/>
          <cell r="I348"/>
          <cell r="J348"/>
          <cell r="K348"/>
          <cell r="L348"/>
          <cell r="M348"/>
        </row>
        <row r="349">
          <cell r="A349" t="str">
            <v>SSV</v>
          </cell>
          <cell r="B349"/>
          <cell r="C349" t="str">
            <v>MARITIME</v>
          </cell>
          <cell r="D349" t="str">
            <v>DALAVE</v>
          </cell>
          <cell r="E349" t="str">
            <v>70996738</v>
          </cell>
          <cell r="F349" t="str">
            <v>Android</v>
          </cell>
          <cell r="G349"/>
          <cell r="H349"/>
          <cell r="I349"/>
          <cell r="J349"/>
          <cell r="K349"/>
          <cell r="L349"/>
          <cell r="M349"/>
        </row>
        <row r="350">
          <cell r="A350" t="str">
            <v>SSV</v>
          </cell>
          <cell r="B350" t="str">
            <v>MAR-141</v>
          </cell>
          <cell r="C350" t="str">
            <v>MARITIME</v>
          </cell>
          <cell r="D350" t="str">
            <v>DALAVE ROUTE</v>
          </cell>
          <cell r="E350">
            <v>70996502</v>
          </cell>
          <cell r="F350" t="str">
            <v>2G</v>
          </cell>
          <cell r="G350"/>
          <cell r="H350"/>
          <cell r="I350"/>
          <cell r="J350"/>
          <cell r="K350"/>
          <cell r="L350"/>
          <cell r="M350"/>
        </row>
        <row r="351">
          <cell r="A351" t="str">
            <v>SSV</v>
          </cell>
          <cell r="B351" t="str">
            <v>LOM-046</v>
          </cell>
          <cell r="C351" t="str">
            <v>LOME</v>
          </cell>
          <cell r="D351" t="str">
            <v>DALIME</v>
          </cell>
          <cell r="E351">
            <v>70996739</v>
          </cell>
          <cell r="F351" t="str">
            <v>2G</v>
          </cell>
          <cell r="G351"/>
          <cell r="H351"/>
          <cell r="I351"/>
          <cell r="J351"/>
          <cell r="K351"/>
          <cell r="L351"/>
          <cell r="M351"/>
        </row>
        <row r="352">
          <cell r="A352" t="str">
            <v>SSV</v>
          </cell>
          <cell r="B352" t="str">
            <v>LOM-304</v>
          </cell>
          <cell r="C352" t="str">
            <v>LOME</v>
          </cell>
          <cell r="D352" t="str">
            <v>Dangbessito</v>
          </cell>
          <cell r="E352">
            <v>70996466</v>
          </cell>
          <cell r="F352" t="str">
            <v>2G</v>
          </cell>
          <cell r="G352"/>
          <cell r="H352"/>
          <cell r="I352"/>
          <cell r="J352"/>
          <cell r="K352"/>
          <cell r="L352"/>
          <cell r="M352"/>
        </row>
        <row r="353">
          <cell r="A353" t="str">
            <v>SSV</v>
          </cell>
          <cell r="B353"/>
          <cell r="C353"/>
          <cell r="D353" t="str">
            <v>DANGBESSITO 1</v>
          </cell>
          <cell r="E353"/>
          <cell r="F353"/>
          <cell r="G353"/>
          <cell r="H353"/>
          <cell r="I353"/>
          <cell r="J353"/>
          <cell r="K353"/>
          <cell r="L353"/>
          <cell r="M353"/>
        </row>
        <row r="354">
          <cell r="A354" t="str">
            <v>SSV</v>
          </cell>
          <cell r="B354"/>
          <cell r="C354" t="str">
            <v>LOME</v>
          </cell>
          <cell r="D354" t="str">
            <v>DANGBESSITO 2</v>
          </cell>
          <cell r="E354">
            <v>70997344</v>
          </cell>
          <cell r="F354" t="str">
            <v>2G</v>
          </cell>
          <cell r="G354"/>
          <cell r="H354"/>
          <cell r="I354"/>
          <cell r="J354"/>
          <cell r="K354"/>
          <cell r="L354"/>
          <cell r="M354"/>
        </row>
        <row r="355">
          <cell r="A355" t="str">
            <v>SSV</v>
          </cell>
          <cell r="B355" t="str">
            <v>CEN-086</v>
          </cell>
          <cell r="C355" t="str">
            <v>CENTRALE</v>
          </cell>
          <cell r="D355" t="str">
            <v>DANTCHO</v>
          </cell>
          <cell r="E355">
            <v>70996740</v>
          </cell>
          <cell r="F355" t="str">
            <v>2G</v>
          </cell>
          <cell r="G355"/>
          <cell r="H355"/>
          <cell r="I355"/>
          <cell r="J355"/>
          <cell r="K355"/>
          <cell r="L355"/>
          <cell r="M355"/>
        </row>
        <row r="356">
          <cell r="A356" t="str">
            <v>MRG</v>
          </cell>
          <cell r="B356"/>
          <cell r="C356" t="str">
            <v>PLATEAUX</v>
          </cell>
          <cell r="D356" t="str">
            <v>DANYE APEYEME</v>
          </cell>
          <cell r="E356">
            <v>70996741</v>
          </cell>
          <cell r="F356" t="str">
            <v>2G</v>
          </cell>
          <cell r="G356"/>
          <cell r="H356"/>
          <cell r="I356"/>
          <cell r="J356"/>
          <cell r="K356"/>
          <cell r="L356"/>
          <cell r="M356"/>
        </row>
        <row r="357">
          <cell r="A357" t="str">
            <v>MRG</v>
          </cell>
          <cell r="B357" t="str">
            <v>PLA-159</v>
          </cell>
          <cell r="C357" t="str">
            <v>PLATEAUX</v>
          </cell>
          <cell r="D357" t="str">
            <v>DANYE DZOGBEGAN</v>
          </cell>
          <cell r="E357">
            <v>70996742</v>
          </cell>
          <cell r="F357" t="str">
            <v>2G</v>
          </cell>
          <cell r="G357"/>
          <cell r="H357"/>
          <cell r="I357"/>
          <cell r="J357"/>
          <cell r="K357"/>
          <cell r="L357"/>
          <cell r="M357"/>
        </row>
        <row r="358">
          <cell r="A358" t="str">
            <v>MRG</v>
          </cell>
          <cell r="B358"/>
          <cell r="C358" t="str">
            <v>MARITIME</v>
          </cell>
          <cell r="D358" t="str">
            <v>DANYE DZOGBEGAN</v>
          </cell>
          <cell r="E358" t="str">
            <v>70996742</v>
          </cell>
          <cell r="F358" t="str">
            <v>Android</v>
          </cell>
          <cell r="G358"/>
          <cell r="H358"/>
          <cell r="I358"/>
          <cell r="J358"/>
          <cell r="K358"/>
          <cell r="L358"/>
          <cell r="M358"/>
        </row>
        <row r="359">
          <cell r="A359" t="str">
            <v>3SCA</v>
          </cell>
          <cell r="B359" t="str">
            <v>PLA-068</v>
          </cell>
          <cell r="C359" t="str">
            <v>PLATEAUX</v>
          </cell>
          <cell r="D359" t="str">
            <v>DANYE ELAVAGNON</v>
          </cell>
          <cell r="E359">
            <v>70996743</v>
          </cell>
          <cell r="F359" t="str">
            <v>2G</v>
          </cell>
          <cell r="G359"/>
          <cell r="H359"/>
          <cell r="I359"/>
          <cell r="J359"/>
          <cell r="K359"/>
          <cell r="L359"/>
          <cell r="M359"/>
        </row>
        <row r="360">
          <cell r="A360" t="str">
            <v>3SCA</v>
          </cell>
          <cell r="B360"/>
          <cell r="C360" t="str">
            <v>MARITIME</v>
          </cell>
          <cell r="D360" t="str">
            <v>DANYE ELAVAGNON</v>
          </cell>
          <cell r="E360" t="str">
            <v>70996743</v>
          </cell>
          <cell r="F360" t="str">
            <v>Android</v>
          </cell>
          <cell r="G360"/>
          <cell r="H360"/>
          <cell r="I360"/>
          <cell r="J360"/>
          <cell r="K360"/>
          <cell r="L360"/>
          <cell r="M360"/>
        </row>
        <row r="361">
          <cell r="A361" t="str">
            <v>MRG</v>
          </cell>
          <cell r="B361" t="str">
            <v>PLA-064</v>
          </cell>
          <cell r="C361" t="str">
            <v>PLATEAUX</v>
          </cell>
          <cell r="D361" t="str">
            <v>DANYE NDIGBE</v>
          </cell>
          <cell r="E361">
            <v>70997041</v>
          </cell>
          <cell r="F361" t="str">
            <v>2G</v>
          </cell>
          <cell r="G361"/>
          <cell r="H361"/>
          <cell r="I361"/>
          <cell r="J361"/>
          <cell r="K361"/>
          <cell r="L361"/>
          <cell r="M361"/>
        </row>
        <row r="362">
          <cell r="A362" t="str">
            <v>EASY CONCEPT</v>
          </cell>
          <cell r="B362"/>
          <cell r="C362" t="str">
            <v>MARITIME</v>
          </cell>
          <cell r="D362" t="str">
            <v>DANYE NDIGBE</v>
          </cell>
          <cell r="E362" t="str">
            <v>70996741</v>
          </cell>
          <cell r="F362" t="str">
            <v>Android</v>
          </cell>
          <cell r="G362"/>
          <cell r="H362"/>
          <cell r="I362"/>
          <cell r="J362"/>
          <cell r="K362"/>
          <cell r="L362"/>
          <cell r="M362"/>
        </row>
        <row r="363">
          <cell r="A363" t="str">
            <v>EASY CONCEPT</v>
          </cell>
          <cell r="B363" t="str">
            <v>PLA-151</v>
          </cell>
          <cell r="C363" t="str">
            <v>PLATEAUX</v>
          </cell>
          <cell r="D363" t="str">
            <v>DANYI KONTA</v>
          </cell>
          <cell r="E363">
            <v>70996744</v>
          </cell>
          <cell r="F363" t="str">
            <v>2G</v>
          </cell>
          <cell r="G363"/>
          <cell r="H363"/>
          <cell r="I363"/>
          <cell r="J363"/>
          <cell r="K363"/>
          <cell r="L363"/>
          <cell r="M363"/>
        </row>
        <row r="364">
          <cell r="A364" t="str">
            <v>MRG</v>
          </cell>
          <cell r="B364" t="str">
            <v>KAR-078</v>
          </cell>
          <cell r="C364" t="str">
            <v>KARA</v>
          </cell>
          <cell r="D364" t="str">
            <v>DAOUDE</v>
          </cell>
          <cell r="E364">
            <v>70996745</v>
          </cell>
          <cell r="F364" t="str">
            <v>2G</v>
          </cell>
          <cell r="G364"/>
          <cell r="H364"/>
          <cell r="I364"/>
          <cell r="J364"/>
          <cell r="K364"/>
          <cell r="L364"/>
          <cell r="M364"/>
        </row>
        <row r="365">
          <cell r="A365" t="str">
            <v>MRG</v>
          </cell>
          <cell r="B365"/>
          <cell r="C365" t="str">
            <v>KARA</v>
          </cell>
          <cell r="D365" t="str">
            <v>DAOUDE</v>
          </cell>
          <cell r="E365" t="str">
            <v>70996745</v>
          </cell>
          <cell r="F365" t="str">
            <v>Android</v>
          </cell>
          <cell r="G365"/>
          <cell r="H365"/>
          <cell r="I365"/>
          <cell r="J365"/>
          <cell r="K365"/>
          <cell r="L365"/>
          <cell r="M365"/>
        </row>
        <row r="366">
          <cell r="A366" t="str">
            <v>MRG</v>
          </cell>
          <cell r="B366" t="str">
            <v>SAV-002</v>
          </cell>
          <cell r="C366" t="str">
            <v>SAVANES</v>
          </cell>
          <cell r="D366" t="str">
            <v>DAPAONG</v>
          </cell>
          <cell r="E366">
            <v>70996746</v>
          </cell>
          <cell r="F366" t="str">
            <v>2G</v>
          </cell>
          <cell r="G366"/>
          <cell r="H366"/>
          <cell r="I366"/>
          <cell r="J366"/>
          <cell r="K366"/>
          <cell r="L366"/>
          <cell r="M366"/>
        </row>
        <row r="367">
          <cell r="A367" t="str">
            <v>MRG</v>
          </cell>
          <cell r="B367" t="str">
            <v>SAV-095</v>
          </cell>
          <cell r="C367" t="str">
            <v>SAVANES</v>
          </cell>
          <cell r="D367" t="str">
            <v>Dapaong Cité</v>
          </cell>
          <cell r="E367">
            <v>70996467</v>
          </cell>
          <cell r="F367" t="str">
            <v>2G</v>
          </cell>
          <cell r="G367"/>
          <cell r="H367"/>
          <cell r="I367"/>
          <cell r="J367"/>
          <cell r="K367"/>
          <cell r="L367"/>
          <cell r="M367"/>
        </row>
        <row r="368">
          <cell r="A368" t="str">
            <v>3SCA</v>
          </cell>
          <cell r="B368"/>
          <cell r="C368" t="str">
            <v>SAVANES</v>
          </cell>
          <cell r="D368" t="str">
            <v>DAPAONG COLLINE</v>
          </cell>
          <cell r="E368" t="str">
            <v>70996747</v>
          </cell>
          <cell r="F368" t="str">
            <v>Android</v>
          </cell>
          <cell r="G368"/>
          <cell r="H368"/>
          <cell r="I368"/>
          <cell r="J368"/>
          <cell r="K368"/>
          <cell r="L368"/>
          <cell r="M368"/>
        </row>
        <row r="369">
          <cell r="A369" t="str">
            <v>MRG</v>
          </cell>
          <cell r="B369"/>
          <cell r="C369" t="str">
            <v>SAVANES</v>
          </cell>
          <cell r="D369" t="str">
            <v>DAPAONG FH</v>
          </cell>
          <cell r="E369" t="str">
            <v>70996746</v>
          </cell>
          <cell r="F369" t="str">
            <v>Android</v>
          </cell>
          <cell r="G369"/>
          <cell r="H369"/>
          <cell r="I369"/>
          <cell r="J369"/>
          <cell r="K369"/>
          <cell r="L369"/>
          <cell r="M369"/>
        </row>
        <row r="370">
          <cell r="A370" t="str">
            <v>MRG</v>
          </cell>
          <cell r="B370"/>
          <cell r="C370" t="str">
            <v>SAVANES</v>
          </cell>
          <cell r="D370" t="str">
            <v>DAPAONG LAMIREL</v>
          </cell>
          <cell r="E370" t="str">
            <v>70996749</v>
          </cell>
          <cell r="F370" t="str">
            <v>Android</v>
          </cell>
          <cell r="G370"/>
          <cell r="H370"/>
          <cell r="I370"/>
          <cell r="J370"/>
          <cell r="K370"/>
          <cell r="L370"/>
          <cell r="M370"/>
        </row>
        <row r="371">
          <cell r="A371" t="str">
            <v>MRG</v>
          </cell>
          <cell r="B371" t="str">
            <v>SAV-100</v>
          </cell>
          <cell r="C371" t="str">
            <v>SAVANES</v>
          </cell>
          <cell r="D371" t="str">
            <v>Dapaong NATBAGOU</v>
          </cell>
          <cell r="E371">
            <v>70997369</v>
          </cell>
          <cell r="F371" t="str">
            <v>2G</v>
          </cell>
          <cell r="G371"/>
          <cell r="H371"/>
          <cell r="I371"/>
          <cell r="J371"/>
          <cell r="K371"/>
          <cell r="L371"/>
          <cell r="M371"/>
        </row>
        <row r="372">
          <cell r="A372" t="str">
            <v>EASY CONCEPT</v>
          </cell>
          <cell r="B372"/>
          <cell r="C372" t="str">
            <v>SAVANES</v>
          </cell>
          <cell r="D372" t="str">
            <v>DAPAONG ZONGO</v>
          </cell>
          <cell r="E372" t="str">
            <v>70996750</v>
          </cell>
          <cell r="F372" t="str">
            <v>Android</v>
          </cell>
          <cell r="G372"/>
          <cell r="H372"/>
          <cell r="I372"/>
          <cell r="J372"/>
          <cell r="K372"/>
          <cell r="L372"/>
          <cell r="M372"/>
        </row>
        <row r="373">
          <cell r="A373" t="str">
            <v>EASY CONCEPT</v>
          </cell>
          <cell r="B373" t="str">
            <v>SAV-003</v>
          </cell>
          <cell r="C373" t="str">
            <v>SAVANES</v>
          </cell>
          <cell r="D373" t="str">
            <v>DAPAONG-COLLINE</v>
          </cell>
          <cell r="E373">
            <v>70996747</v>
          </cell>
          <cell r="F373" t="str">
            <v>2G</v>
          </cell>
          <cell r="G373"/>
          <cell r="H373"/>
          <cell r="I373"/>
          <cell r="J373"/>
          <cell r="K373"/>
          <cell r="L373"/>
          <cell r="M373"/>
        </row>
        <row r="374">
          <cell r="A374" t="str">
            <v>EASY CONCEPT</v>
          </cell>
          <cell r="B374" t="str">
            <v>SAV-071</v>
          </cell>
          <cell r="C374" t="str">
            <v>SAVANES</v>
          </cell>
          <cell r="D374" t="str">
            <v>DAPAONG-KOMBOLOAGA</v>
          </cell>
          <cell r="E374">
            <v>70996748</v>
          </cell>
          <cell r="F374" t="str">
            <v>2G</v>
          </cell>
          <cell r="G374"/>
          <cell r="H374"/>
          <cell r="I374"/>
          <cell r="J374"/>
          <cell r="K374"/>
          <cell r="L374"/>
          <cell r="M374"/>
        </row>
        <row r="375">
          <cell r="A375" t="str">
            <v>SSV</v>
          </cell>
          <cell r="B375" t="str">
            <v>SAV-004</v>
          </cell>
          <cell r="C375" t="str">
            <v>SAVANES</v>
          </cell>
          <cell r="D375" t="str">
            <v>DAPAONG-LAMIREL</v>
          </cell>
          <cell r="E375">
            <v>70996749</v>
          </cell>
          <cell r="F375" t="str">
            <v>2G</v>
          </cell>
          <cell r="G375"/>
          <cell r="H375"/>
          <cell r="I375"/>
          <cell r="J375"/>
          <cell r="K375"/>
          <cell r="L375"/>
          <cell r="M375"/>
        </row>
        <row r="376">
          <cell r="A376" t="str">
            <v>EASY CONCEPT</v>
          </cell>
          <cell r="B376" t="str">
            <v>SAV-056</v>
          </cell>
          <cell r="C376" t="str">
            <v>SAVANES</v>
          </cell>
          <cell r="D376" t="str">
            <v>DAPAONG-NASSABLE 3</v>
          </cell>
          <cell r="E376">
            <v>70996896</v>
          </cell>
          <cell r="F376" t="str">
            <v>2G</v>
          </cell>
          <cell r="G376"/>
          <cell r="H376"/>
          <cell r="I376"/>
          <cell r="J376"/>
          <cell r="K376"/>
          <cell r="L376"/>
          <cell r="M376"/>
        </row>
        <row r="377">
          <cell r="A377" t="str">
            <v>MRG</v>
          </cell>
          <cell r="B377" t="str">
            <v>SAV-005</v>
          </cell>
          <cell r="C377" t="str">
            <v>SAVANES</v>
          </cell>
          <cell r="D377" t="str">
            <v>DAPAONG-ZONGO</v>
          </cell>
          <cell r="E377">
            <v>70996750</v>
          </cell>
          <cell r="F377" t="str">
            <v>2G</v>
          </cell>
          <cell r="G377"/>
          <cell r="H377"/>
          <cell r="I377"/>
          <cell r="J377"/>
          <cell r="K377"/>
          <cell r="L377"/>
          <cell r="M377"/>
        </row>
        <row r="378">
          <cell r="A378" t="str">
            <v>MRG</v>
          </cell>
          <cell r="B378" t="str">
            <v>PLA-202</v>
          </cell>
          <cell r="C378" t="str">
            <v>PLATEAUX</v>
          </cell>
          <cell r="D378" t="str">
            <v>DASSAGBA</v>
          </cell>
          <cell r="E378">
            <v>70996469</v>
          </cell>
          <cell r="F378" t="str">
            <v>2G</v>
          </cell>
          <cell r="G378"/>
          <cell r="H378"/>
          <cell r="I378"/>
          <cell r="J378"/>
          <cell r="K378"/>
          <cell r="L378"/>
          <cell r="M378"/>
        </row>
        <row r="379">
          <cell r="A379" t="str">
            <v>MRG</v>
          </cell>
          <cell r="B379"/>
          <cell r="C379" t="str">
            <v>PLATEAUX</v>
          </cell>
          <cell r="D379" t="str">
            <v>DASSAGBA</v>
          </cell>
          <cell r="E379">
            <v>70996469</v>
          </cell>
          <cell r="F379" t="str">
            <v>Android</v>
          </cell>
          <cell r="G379"/>
          <cell r="H379"/>
          <cell r="I379"/>
          <cell r="J379"/>
          <cell r="K379"/>
          <cell r="L379"/>
          <cell r="M379"/>
        </row>
        <row r="380">
          <cell r="A380" t="str">
            <v>3SCA</v>
          </cell>
          <cell r="B380" t="str">
            <v>PLA-010</v>
          </cell>
          <cell r="C380" t="str">
            <v>PLATEAUX</v>
          </cell>
          <cell r="D380" t="str">
            <v>DATCHA</v>
          </cell>
          <cell r="E380">
            <v>70996751</v>
          </cell>
          <cell r="F380" t="str">
            <v>2G</v>
          </cell>
          <cell r="G380"/>
          <cell r="H380"/>
          <cell r="I380"/>
          <cell r="J380"/>
          <cell r="K380"/>
          <cell r="L380"/>
          <cell r="M380"/>
        </row>
        <row r="381">
          <cell r="A381" t="str">
            <v>MRG</v>
          </cell>
          <cell r="B381" t="str">
            <v>MAR-005</v>
          </cell>
          <cell r="C381" t="str">
            <v>MARITIME</v>
          </cell>
          <cell r="D381" t="str">
            <v>DAVIE</v>
          </cell>
          <cell r="E381">
            <v>70996752</v>
          </cell>
          <cell r="F381" t="str">
            <v>2G</v>
          </cell>
          <cell r="G381"/>
          <cell r="H381"/>
          <cell r="I381"/>
          <cell r="J381"/>
          <cell r="K381"/>
          <cell r="L381"/>
          <cell r="M381"/>
        </row>
        <row r="382">
          <cell r="A382" t="str">
            <v>MRG</v>
          </cell>
          <cell r="B382" t="str">
            <v>MAR-146</v>
          </cell>
          <cell r="C382" t="str">
            <v>MARITIME</v>
          </cell>
          <cell r="D382" t="str">
            <v>DAVIE VILLAGE</v>
          </cell>
          <cell r="E382">
            <v>70997331</v>
          </cell>
          <cell r="F382" t="str">
            <v>2G</v>
          </cell>
          <cell r="G382"/>
          <cell r="H382"/>
          <cell r="I382"/>
          <cell r="J382"/>
          <cell r="K382"/>
          <cell r="L382"/>
          <cell r="M382"/>
        </row>
        <row r="383">
          <cell r="A383" t="str">
            <v>MRG</v>
          </cell>
          <cell r="B383" t="str">
            <v>LOM-151</v>
          </cell>
          <cell r="C383" t="str">
            <v>LOME</v>
          </cell>
          <cell r="D383" t="str">
            <v>DECON</v>
          </cell>
          <cell r="E383">
            <v>70996754</v>
          </cell>
          <cell r="F383" t="str">
            <v>2G</v>
          </cell>
          <cell r="G383"/>
          <cell r="H383"/>
          <cell r="I383"/>
          <cell r="J383"/>
          <cell r="K383"/>
          <cell r="L383"/>
          <cell r="M383"/>
        </row>
        <row r="384">
          <cell r="A384" t="str">
            <v>3SCA</v>
          </cell>
          <cell r="B384" t="str">
            <v>KAR-027</v>
          </cell>
          <cell r="C384" t="str">
            <v>KARA</v>
          </cell>
          <cell r="D384" t="str">
            <v>DEFALE-HAUT</v>
          </cell>
          <cell r="E384">
            <v>70996755</v>
          </cell>
          <cell r="F384" t="str">
            <v>2G</v>
          </cell>
          <cell r="G384"/>
          <cell r="H384"/>
          <cell r="I384"/>
          <cell r="J384"/>
          <cell r="K384"/>
          <cell r="L384"/>
          <cell r="M384"/>
        </row>
        <row r="385">
          <cell r="A385" t="str">
            <v>EASY CONCEPT</v>
          </cell>
          <cell r="B385"/>
          <cell r="C385" t="str">
            <v>KARA</v>
          </cell>
          <cell r="D385" t="str">
            <v>DEFALE-HAUT</v>
          </cell>
          <cell r="E385" t="str">
            <v>70996755</v>
          </cell>
          <cell r="F385" t="str">
            <v>Android</v>
          </cell>
          <cell r="G385"/>
          <cell r="H385"/>
          <cell r="I385"/>
          <cell r="J385"/>
          <cell r="K385"/>
          <cell r="L385"/>
          <cell r="M385"/>
        </row>
        <row r="386">
          <cell r="A386" t="str">
            <v>SSV</v>
          </cell>
          <cell r="B386"/>
          <cell r="C386"/>
          <cell r="D386" t="str">
            <v>DEKON</v>
          </cell>
          <cell r="E386"/>
          <cell r="F386"/>
          <cell r="G386"/>
          <cell r="H386"/>
          <cell r="I386"/>
          <cell r="J386"/>
          <cell r="K386"/>
          <cell r="L386"/>
          <cell r="M386"/>
        </row>
        <row r="387">
          <cell r="A387" t="str">
            <v>EASY CONCEPT</v>
          </cell>
          <cell r="B387"/>
          <cell r="C387"/>
          <cell r="D387" t="str">
            <v>DEMAKPOE 1</v>
          </cell>
          <cell r="E387"/>
          <cell r="F387"/>
          <cell r="G387"/>
          <cell r="H387"/>
          <cell r="I387"/>
          <cell r="J387"/>
          <cell r="K387"/>
          <cell r="L387"/>
          <cell r="M387"/>
        </row>
        <row r="388">
          <cell r="A388" t="str">
            <v>EASY CONCEPT</v>
          </cell>
          <cell r="B388" t="str">
            <v>LOM-028</v>
          </cell>
          <cell r="C388" t="str">
            <v>LOME</v>
          </cell>
          <cell r="D388" t="str">
            <v>DEMAKPOE 2</v>
          </cell>
          <cell r="E388">
            <v>70996756</v>
          </cell>
          <cell r="F388" t="str">
            <v>2G</v>
          </cell>
          <cell r="G388"/>
          <cell r="H388"/>
          <cell r="I388"/>
          <cell r="J388"/>
          <cell r="K388"/>
          <cell r="L388"/>
          <cell r="M388"/>
        </row>
        <row r="389">
          <cell r="A389" t="str">
            <v>EASY CONCEPT</v>
          </cell>
          <cell r="B389" t="str">
            <v>LOM-029</v>
          </cell>
          <cell r="C389" t="str">
            <v>LOME</v>
          </cell>
          <cell r="D389" t="str">
            <v>DEMAKPOE 3</v>
          </cell>
          <cell r="E389">
            <v>70996757</v>
          </cell>
          <cell r="F389" t="str">
            <v>2G</v>
          </cell>
          <cell r="G389"/>
          <cell r="H389"/>
          <cell r="I389"/>
          <cell r="J389"/>
          <cell r="K389"/>
          <cell r="L389"/>
          <cell r="M389"/>
        </row>
        <row r="390">
          <cell r="A390" t="str">
            <v>EASY CONCEPT</v>
          </cell>
          <cell r="B390" t="str">
            <v>PLA-056</v>
          </cell>
          <cell r="C390" t="str">
            <v>PLATEAUX</v>
          </cell>
          <cell r="D390" t="str">
            <v>DEVE</v>
          </cell>
          <cell r="E390">
            <v>70996758</v>
          </cell>
          <cell r="F390" t="str">
            <v>2G</v>
          </cell>
          <cell r="G390"/>
          <cell r="H390"/>
          <cell r="I390"/>
          <cell r="J390"/>
          <cell r="K390"/>
          <cell r="L390"/>
          <cell r="M390"/>
        </row>
        <row r="391">
          <cell r="A391" t="str">
            <v>MRG</v>
          </cell>
          <cell r="B391"/>
          <cell r="C391" t="str">
            <v xml:space="preserve">LOMÉ </v>
          </cell>
          <cell r="D391" t="str">
            <v>DEVEGO</v>
          </cell>
          <cell r="E391" t="str">
            <v>70996539</v>
          </cell>
          <cell r="F391" t="str">
            <v>Android</v>
          </cell>
          <cell r="G391"/>
          <cell r="H391"/>
          <cell r="I391"/>
          <cell r="J391"/>
          <cell r="K391"/>
          <cell r="L391"/>
          <cell r="M391"/>
        </row>
        <row r="392">
          <cell r="A392" t="str">
            <v>MRG</v>
          </cell>
          <cell r="B392" t="str">
            <v>MAR-093</v>
          </cell>
          <cell r="C392" t="str">
            <v>MARITIME</v>
          </cell>
          <cell r="D392" t="str">
            <v>DEVEGO2</v>
          </cell>
          <cell r="E392">
            <v>70996759</v>
          </cell>
          <cell r="F392" t="str">
            <v>2G</v>
          </cell>
          <cell r="G392"/>
          <cell r="H392"/>
          <cell r="I392"/>
          <cell r="J392"/>
          <cell r="K392"/>
          <cell r="L392"/>
          <cell r="M392"/>
        </row>
        <row r="393">
          <cell r="A393" t="str">
            <v>MRG</v>
          </cell>
          <cell r="B393" t="str">
            <v>LOM-335</v>
          </cell>
          <cell r="C393" t="str">
            <v>LOME</v>
          </cell>
          <cell r="D393" t="str">
            <v>DEVIKINME</v>
          </cell>
          <cell r="E393">
            <v>70997327</v>
          </cell>
          <cell r="F393" t="str">
            <v>2G</v>
          </cell>
          <cell r="G393"/>
          <cell r="H393"/>
          <cell r="I393"/>
          <cell r="J393"/>
          <cell r="K393"/>
          <cell r="L393"/>
          <cell r="M393"/>
        </row>
        <row r="394">
          <cell r="A394" t="str">
            <v>MRG</v>
          </cell>
          <cell r="B394" t="str">
            <v>LOM-003</v>
          </cell>
          <cell r="C394" t="str">
            <v>LOME</v>
          </cell>
          <cell r="D394" t="str">
            <v>DICAME</v>
          </cell>
          <cell r="E394">
            <v>70996760</v>
          </cell>
          <cell r="F394" t="str">
            <v>2G</v>
          </cell>
          <cell r="G394"/>
          <cell r="H394"/>
          <cell r="I394"/>
          <cell r="J394"/>
          <cell r="K394"/>
          <cell r="L394"/>
          <cell r="M394"/>
        </row>
        <row r="395">
          <cell r="A395" t="str">
            <v>MRG</v>
          </cell>
          <cell r="B395" t="str">
            <v>LOM-111</v>
          </cell>
          <cell r="C395" t="str">
            <v>LOME</v>
          </cell>
          <cell r="D395" t="str">
            <v>DIDJOLE 2</v>
          </cell>
          <cell r="E395">
            <v>70996761</v>
          </cell>
          <cell r="F395" t="str">
            <v>2G</v>
          </cell>
          <cell r="G395"/>
          <cell r="H395"/>
          <cell r="I395"/>
          <cell r="J395"/>
          <cell r="K395"/>
          <cell r="L395"/>
          <cell r="M395"/>
        </row>
        <row r="396">
          <cell r="A396" t="str">
            <v>MRG</v>
          </cell>
          <cell r="B396" t="str">
            <v>CEN-071</v>
          </cell>
          <cell r="C396" t="str">
            <v>CENTRALE</v>
          </cell>
          <cell r="D396" t="str">
            <v>DIGUENGUE</v>
          </cell>
          <cell r="E396">
            <v>70996762</v>
          </cell>
          <cell r="F396" t="str">
            <v>2G</v>
          </cell>
          <cell r="G396"/>
          <cell r="H396"/>
          <cell r="I396"/>
          <cell r="J396"/>
          <cell r="K396"/>
          <cell r="L396"/>
          <cell r="M396"/>
        </row>
        <row r="397">
          <cell r="A397" t="str">
            <v>MRG</v>
          </cell>
          <cell r="B397"/>
          <cell r="C397" t="str">
            <v>CENTRALE</v>
          </cell>
          <cell r="D397" t="str">
            <v>DIGUENGUE</v>
          </cell>
          <cell r="E397" t="str">
            <v>70996762</v>
          </cell>
          <cell r="F397" t="str">
            <v>Android</v>
          </cell>
          <cell r="G397"/>
          <cell r="H397"/>
          <cell r="I397"/>
          <cell r="J397"/>
          <cell r="K397"/>
          <cell r="L397"/>
          <cell r="M397"/>
        </row>
        <row r="398">
          <cell r="A398" t="str">
            <v>MRG</v>
          </cell>
          <cell r="B398" t="str">
            <v>KAR-090</v>
          </cell>
          <cell r="C398" t="str">
            <v>KARA</v>
          </cell>
          <cell r="D398" t="str">
            <v>DIMORE</v>
          </cell>
          <cell r="E398">
            <v>70996763</v>
          </cell>
          <cell r="F398" t="str">
            <v>2G</v>
          </cell>
          <cell r="G398"/>
          <cell r="H398"/>
          <cell r="I398"/>
          <cell r="J398"/>
          <cell r="K398"/>
          <cell r="L398"/>
          <cell r="M398"/>
        </row>
        <row r="399">
          <cell r="A399" t="str">
            <v>SSV</v>
          </cell>
          <cell r="B399"/>
          <cell r="C399" t="str">
            <v>SAVANES</v>
          </cell>
          <cell r="D399" t="str">
            <v>DIYEGA</v>
          </cell>
          <cell r="E399" t="str">
            <v>70996775</v>
          </cell>
          <cell r="F399" t="str">
            <v>Android</v>
          </cell>
          <cell r="G399"/>
          <cell r="H399"/>
          <cell r="I399"/>
          <cell r="J399"/>
          <cell r="K399"/>
          <cell r="L399"/>
          <cell r="M399"/>
        </row>
        <row r="400">
          <cell r="A400" t="str">
            <v>MRG</v>
          </cell>
          <cell r="B400"/>
          <cell r="C400" t="str">
            <v>CENTRALE</v>
          </cell>
          <cell r="D400" t="str">
            <v>DJABOGOU</v>
          </cell>
          <cell r="E400">
            <v>70997281</v>
          </cell>
          <cell r="F400" t="str">
            <v>2G</v>
          </cell>
          <cell r="G400"/>
          <cell r="H400"/>
          <cell r="I400"/>
          <cell r="J400"/>
          <cell r="K400"/>
          <cell r="L400"/>
          <cell r="M400"/>
        </row>
        <row r="401">
          <cell r="A401" t="str">
            <v>MRG</v>
          </cell>
          <cell r="B401" t="str">
            <v>LOM-242</v>
          </cell>
          <cell r="C401" t="str">
            <v>LOME</v>
          </cell>
          <cell r="D401" t="str">
            <v>DJADOUKOPE</v>
          </cell>
          <cell r="E401">
            <v>70996764</v>
          </cell>
          <cell r="F401" t="str">
            <v>2G</v>
          </cell>
          <cell r="G401"/>
          <cell r="H401"/>
          <cell r="I401"/>
          <cell r="J401"/>
          <cell r="K401"/>
          <cell r="L401"/>
          <cell r="M401"/>
        </row>
        <row r="402">
          <cell r="A402" t="str">
            <v>MRG</v>
          </cell>
          <cell r="B402" t="str">
            <v>LOM-233</v>
          </cell>
          <cell r="C402" t="str">
            <v>LOME</v>
          </cell>
          <cell r="D402" t="str">
            <v>DJAGBLE</v>
          </cell>
          <cell r="E402">
            <v>70997363</v>
          </cell>
          <cell r="F402" t="str">
            <v>2G</v>
          </cell>
          <cell r="G402"/>
          <cell r="H402"/>
          <cell r="I402"/>
          <cell r="J402"/>
          <cell r="K402"/>
          <cell r="L402"/>
          <cell r="M402"/>
        </row>
        <row r="403">
          <cell r="A403" t="str">
            <v>MRG</v>
          </cell>
          <cell r="B403"/>
          <cell r="C403" t="str">
            <v xml:space="preserve">GRAND LOMÉ </v>
          </cell>
          <cell r="D403" t="str">
            <v>DJAGBLE</v>
          </cell>
          <cell r="E403" t="str">
            <v>70996765</v>
          </cell>
          <cell r="F403" t="str">
            <v>Android</v>
          </cell>
          <cell r="G403"/>
          <cell r="H403"/>
          <cell r="I403"/>
          <cell r="J403"/>
          <cell r="K403"/>
          <cell r="L403"/>
          <cell r="M403"/>
        </row>
        <row r="404">
          <cell r="A404" t="str">
            <v>MRG</v>
          </cell>
          <cell r="B404" t="str">
            <v>LOM-259</v>
          </cell>
          <cell r="C404" t="str">
            <v>MARITIME</v>
          </cell>
          <cell r="D404" t="str">
            <v>DJAGBLE 2</v>
          </cell>
          <cell r="E404">
            <v>70996431</v>
          </cell>
          <cell r="F404" t="str">
            <v>2G</v>
          </cell>
          <cell r="G404"/>
          <cell r="H404"/>
          <cell r="I404"/>
          <cell r="J404"/>
          <cell r="K404"/>
          <cell r="L404"/>
          <cell r="M404"/>
        </row>
        <row r="405">
          <cell r="A405" t="str">
            <v>EASY CONCEPT</v>
          </cell>
          <cell r="B405"/>
          <cell r="C405" t="str">
            <v>LOME</v>
          </cell>
          <cell r="D405" t="str">
            <v>DJAGBLE 3</v>
          </cell>
          <cell r="E405">
            <v>70996766</v>
          </cell>
          <cell r="F405" t="str">
            <v>2G</v>
          </cell>
          <cell r="G405"/>
          <cell r="H405"/>
          <cell r="I405"/>
          <cell r="J405"/>
          <cell r="K405"/>
          <cell r="L405"/>
          <cell r="M405"/>
        </row>
        <row r="406">
          <cell r="A406" t="str">
            <v>EASY CONCEPT</v>
          </cell>
          <cell r="B406"/>
          <cell r="C406" t="str">
            <v xml:space="preserve">GRAND LOMÉ </v>
          </cell>
          <cell r="D406" t="str">
            <v>DJAGBLE 4</v>
          </cell>
          <cell r="E406">
            <v>70997328</v>
          </cell>
          <cell r="F406" t="str">
            <v>Android</v>
          </cell>
          <cell r="G406"/>
          <cell r="H406"/>
          <cell r="I406"/>
          <cell r="J406"/>
          <cell r="K406"/>
          <cell r="L406"/>
          <cell r="M406"/>
        </row>
        <row r="407">
          <cell r="A407" t="str">
            <v>3SCA</v>
          </cell>
          <cell r="B407" t="str">
            <v>LOM-337</v>
          </cell>
          <cell r="C407" t="str">
            <v>LOME</v>
          </cell>
          <cell r="D407" t="str">
            <v xml:space="preserve">DJAGBLE 5 </v>
          </cell>
          <cell r="E407">
            <v>70996507</v>
          </cell>
          <cell r="F407" t="str">
            <v>2G</v>
          </cell>
          <cell r="G407"/>
          <cell r="H407"/>
          <cell r="I407"/>
          <cell r="J407"/>
          <cell r="K407"/>
          <cell r="L407"/>
          <cell r="M407"/>
        </row>
        <row r="408">
          <cell r="A408" t="str">
            <v>SSV</v>
          </cell>
          <cell r="B408" t="str">
            <v>LOM-278</v>
          </cell>
          <cell r="C408" t="str">
            <v>MARITIME</v>
          </cell>
          <cell r="D408" t="str">
            <v>DJAGBLE PERIPHERIE</v>
          </cell>
          <cell r="E408">
            <v>70996468</v>
          </cell>
          <cell r="F408" t="str">
            <v>2G</v>
          </cell>
          <cell r="G408"/>
          <cell r="H408"/>
          <cell r="I408"/>
          <cell r="J408"/>
          <cell r="K408"/>
          <cell r="L408"/>
          <cell r="M408"/>
        </row>
        <row r="409">
          <cell r="A409" t="str">
            <v>SSV</v>
          </cell>
          <cell r="B409"/>
          <cell r="C409"/>
          <cell r="D409" t="str">
            <v>DJAGBLE PERIPHERIQUE</v>
          </cell>
          <cell r="E409"/>
          <cell r="F409"/>
          <cell r="G409"/>
          <cell r="H409"/>
          <cell r="I409"/>
          <cell r="J409"/>
          <cell r="K409"/>
          <cell r="L409"/>
          <cell r="M409"/>
        </row>
        <row r="410">
          <cell r="A410" t="str">
            <v>EASY CONCEPT</v>
          </cell>
          <cell r="B410" t="str">
            <v>KAR-079</v>
          </cell>
          <cell r="C410" t="str">
            <v>KARA</v>
          </cell>
          <cell r="D410" t="str">
            <v>DJAMDE</v>
          </cell>
          <cell r="E410">
            <v>70996768</v>
          </cell>
          <cell r="F410" t="str">
            <v>2G</v>
          </cell>
          <cell r="G410"/>
          <cell r="H410"/>
          <cell r="I410"/>
          <cell r="J410"/>
          <cell r="K410"/>
          <cell r="L410"/>
          <cell r="M410"/>
        </row>
        <row r="411">
          <cell r="A411" t="str">
            <v>MRG</v>
          </cell>
          <cell r="B411" t="str">
            <v>SAV-066</v>
          </cell>
          <cell r="C411" t="str">
            <v>SAVANES</v>
          </cell>
          <cell r="D411" t="str">
            <v>DJANGALE</v>
          </cell>
          <cell r="E411">
            <v>70996769</v>
          </cell>
          <cell r="F411" t="str">
            <v>2G</v>
          </cell>
          <cell r="G411"/>
          <cell r="H411"/>
          <cell r="I411"/>
          <cell r="J411"/>
          <cell r="K411"/>
          <cell r="L411"/>
          <cell r="M411"/>
        </row>
        <row r="412">
          <cell r="A412" t="str">
            <v>3SCA</v>
          </cell>
          <cell r="B412" t="str">
            <v>CEN-023</v>
          </cell>
          <cell r="C412" t="str">
            <v>CENTRALE</v>
          </cell>
          <cell r="D412" t="str">
            <v>DJARKPAGA</v>
          </cell>
          <cell r="E412">
            <v>70996770</v>
          </cell>
          <cell r="F412" t="str">
            <v>2G</v>
          </cell>
          <cell r="G412"/>
          <cell r="H412"/>
          <cell r="I412"/>
          <cell r="J412"/>
          <cell r="K412"/>
          <cell r="L412"/>
          <cell r="M412"/>
        </row>
        <row r="413">
          <cell r="A413" t="str">
            <v>3SCA</v>
          </cell>
          <cell r="B413"/>
          <cell r="C413" t="str">
            <v>KARA</v>
          </cell>
          <cell r="D413" t="str">
            <v>DJARKPAGA</v>
          </cell>
          <cell r="E413" t="str">
            <v>70996770</v>
          </cell>
          <cell r="F413" t="str">
            <v>Android</v>
          </cell>
          <cell r="G413"/>
          <cell r="H413"/>
          <cell r="I413"/>
          <cell r="J413"/>
          <cell r="K413"/>
          <cell r="L413"/>
          <cell r="M413"/>
        </row>
        <row r="414">
          <cell r="A414" t="str">
            <v>MRG</v>
          </cell>
          <cell r="B414"/>
          <cell r="C414" t="str">
            <v>KARA</v>
          </cell>
          <cell r="D414" t="str">
            <v>DJARKPANGA-PREFECTURE</v>
          </cell>
          <cell r="E414" t="str">
            <v>70996771</v>
          </cell>
          <cell r="F414" t="str">
            <v>Android</v>
          </cell>
          <cell r="G414"/>
          <cell r="H414"/>
          <cell r="I414"/>
          <cell r="J414"/>
          <cell r="K414"/>
          <cell r="L414"/>
          <cell r="M414"/>
        </row>
        <row r="415">
          <cell r="A415" t="str">
            <v>3SCA</v>
          </cell>
          <cell r="B415" t="str">
            <v>CEN-082</v>
          </cell>
          <cell r="C415" t="str">
            <v>CENTRALE</v>
          </cell>
          <cell r="D415" t="str">
            <v>DJARKPANGA-PREFECTURE</v>
          </cell>
          <cell r="E415">
            <v>70996771</v>
          </cell>
          <cell r="F415" t="str">
            <v>2G</v>
          </cell>
          <cell r="G415"/>
          <cell r="H415"/>
          <cell r="I415"/>
          <cell r="J415"/>
          <cell r="K415"/>
          <cell r="L415"/>
          <cell r="M415"/>
        </row>
        <row r="416">
          <cell r="A416" t="str">
            <v>3SCA</v>
          </cell>
          <cell r="B416" t="str">
            <v>PLA-028</v>
          </cell>
          <cell r="C416" t="str">
            <v>PLATEAUX</v>
          </cell>
          <cell r="D416" t="str">
            <v>DJEKLOE</v>
          </cell>
          <cell r="E416">
            <v>70996772</v>
          </cell>
          <cell r="F416" t="str">
            <v>2G</v>
          </cell>
          <cell r="G416"/>
          <cell r="H416"/>
          <cell r="I416"/>
          <cell r="J416"/>
          <cell r="K416"/>
          <cell r="L416"/>
          <cell r="M416"/>
        </row>
        <row r="417">
          <cell r="A417" t="str">
            <v>MRG</v>
          </cell>
          <cell r="B417" t="str">
            <v>PLA-203</v>
          </cell>
          <cell r="C417" t="str">
            <v>PLATEAUX</v>
          </cell>
          <cell r="D417" t="str">
            <v xml:space="preserve">DJEMEGNI </v>
          </cell>
          <cell r="E417">
            <v>70996470</v>
          </cell>
          <cell r="F417" t="str">
            <v>2G</v>
          </cell>
          <cell r="G417"/>
          <cell r="H417"/>
          <cell r="I417"/>
          <cell r="J417"/>
          <cell r="K417"/>
          <cell r="L417"/>
          <cell r="M417"/>
        </row>
        <row r="418">
          <cell r="A418" t="str">
            <v>3SCA</v>
          </cell>
          <cell r="B418"/>
          <cell r="C418" t="str">
            <v>LOME</v>
          </cell>
          <cell r="D418" t="str">
            <v>DJIDJOLE 1</v>
          </cell>
          <cell r="E418">
            <v>70996537</v>
          </cell>
          <cell r="F418" t="str">
            <v>2G</v>
          </cell>
          <cell r="G418"/>
          <cell r="H418"/>
          <cell r="I418"/>
          <cell r="J418"/>
          <cell r="K418"/>
          <cell r="L418"/>
          <cell r="M418"/>
        </row>
        <row r="419">
          <cell r="A419" t="str">
            <v>MRG</v>
          </cell>
          <cell r="B419" t="str">
            <v>LOM-349</v>
          </cell>
          <cell r="C419" t="str">
            <v>LOME</v>
          </cell>
          <cell r="D419" t="str">
            <v>DJIDJOLE 7</v>
          </cell>
          <cell r="E419">
            <v>70997340</v>
          </cell>
          <cell r="F419" t="str">
            <v>2G</v>
          </cell>
          <cell r="G419"/>
          <cell r="H419"/>
          <cell r="I419"/>
          <cell r="J419"/>
          <cell r="K419"/>
          <cell r="L419"/>
          <cell r="M419"/>
        </row>
        <row r="420">
          <cell r="A420" t="str">
            <v>EASY CONCEPT</v>
          </cell>
          <cell r="B420" t="str">
            <v>LOM-361</v>
          </cell>
          <cell r="C420" t="str">
            <v>LOME</v>
          </cell>
          <cell r="D420" t="str">
            <v>DJIDJOLE 8</v>
          </cell>
          <cell r="E420">
            <v>70997341</v>
          </cell>
          <cell r="F420" t="str">
            <v>2G</v>
          </cell>
          <cell r="G420"/>
          <cell r="H420"/>
          <cell r="I420"/>
          <cell r="J420"/>
          <cell r="K420"/>
          <cell r="L420"/>
          <cell r="M420"/>
        </row>
        <row r="421">
          <cell r="A421" t="str">
            <v>EASY CONCEPT</v>
          </cell>
          <cell r="B421" t="str">
            <v>LOM-207</v>
          </cell>
          <cell r="C421" t="str">
            <v>LOME</v>
          </cell>
          <cell r="D421" t="str">
            <v>DJIFAKPOTA</v>
          </cell>
          <cell r="E421">
            <v>70996773</v>
          </cell>
          <cell r="F421" t="str">
            <v>2G</v>
          </cell>
          <cell r="G421"/>
          <cell r="H421"/>
          <cell r="I421"/>
          <cell r="J421"/>
          <cell r="K421"/>
          <cell r="L421"/>
          <cell r="M421"/>
        </row>
        <row r="422">
          <cell r="A422" t="str">
            <v>MRG</v>
          </cell>
          <cell r="B422"/>
          <cell r="C422"/>
          <cell r="D422" t="str">
            <v>DJIFAKPOTA 1</v>
          </cell>
          <cell r="E422"/>
          <cell r="F422"/>
          <cell r="G422"/>
          <cell r="H422"/>
          <cell r="I422"/>
          <cell r="J422"/>
          <cell r="K422"/>
          <cell r="L422"/>
          <cell r="M422"/>
        </row>
        <row r="423">
          <cell r="A423" t="str">
            <v>MRG</v>
          </cell>
          <cell r="B423" t="str">
            <v>LOM-208</v>
          </cell>
          <cell r="C423" t="str">
            <v>LOME</v>
          </cell>
          <cell r="D423" t="str">
            <v>DJIFAKPOTA2</v>
          </cell>
          <cell r="E423">
            <v>70996774</v>
          </cell>
          <cell r="F423" t="str">
            <v>2G</v>
          </cell>
          <cell r="G423"/>
          <cell r="H423"/>
          <cell r="I423"/>
          <cell r="J423"/>
          <cell r="K423"/>
          <cell r="L423"/>
          <cell r="M423"/>
        </row>
        <row r="424">
          <cell r="A424" t="str">
            <v>MRG</v>
          </cell>
          <cell r="B424" t="str">
            <v>PLA-221</v>
          </cell>
          <cell r="C424" t="str">
            <v>PLATEAUX</v>
          </cell>
          <cell r="D424" t="str">
            <v>DJIMENI-PLATEAU</v>
          </cell>
          <cell r="E424">
            <v>70996419</v>
          </cell>
          <cell r="F424" t="str">
            <v>2G</v>
          </cell>
          <cell r="G424"/>
          <cell r="H424"/>
          <cell r="I424"/>
          <cell r="J424"/>
          <cell r="K424"/>
          <cell r="L424"/>
          <cell r="M424"/>
        </row>
        <row r="425">
          <cell r="A425" t="str">
            <v>MRG</v>
          </cell>
          <cell r="B425" t="str">
            <v>SAV-069</v>
          </cell>
          <cell r="C425" t="str">
            <v>SAVANES</v>
          </cell>
          <cell r="D425" t="str">
            <v>DJIYEGA</v>
          </cell>
          <cell r="E425">
            <v>70996775</v>
          </cell>
          <cell r="F425" t="str">
            <v>2G</v>
          </cell>
          <cell r="G425"/>
          <cell r="H425"/>
          <cell r="I425"/>
          <cell r="J425"/>
          <cell r="K425"/>
          <cell r="L425"/>
          <cell r="M425"/>
        </row>
        <row r="426">
          <cell r="A426" t="str">
            <v>MRG</v>
          </cell>
          <cell r="B426" t="str">
            <v>PLA-222</v>
          </cell>
          <cell r="C426" t="str">
            <v>PLATEAUX</v>
          </cell>
          <cell r="D426" t="str">
            <v>DJOGBE KOPE TODJI</v>
          </cell>
          <cell r="E426">
            <v>70996420</v>
          </cell>
          <cell r="F426" t="str">
            <v>2G</v>
          </cell>
          <cell r="G426"/>
          <cell r="H426"/>
          <cell r="I426"/>
          <cell r="J426"/>
          <cell r="K426"/>
          <cell r="L426"/>
          <cell r="M426"/>
        </row>
        <row r="427">
          <cell r="A427" t="str">
            <v>3SCA</v>
          </cell>
          <cell r="B427"/>
          <cell r="C427" t="str">
            <v>PLATEAUX</v>
          </cell>
          <cell r="D427" t="str">
            <v>DJONKOTORA</v>
          </cell>
          <cell r="E427" t="str">
            <v>70996776</v>
          </cell>
          <cell r="F427" t="str">
            <v>Android</v>
          </cell>
          <cell r="G427"/>
          <cell r="H427"/>
          <cell r="I427"/>
          <cell r="J427"/>
          <cell r="K427"/>
          <cell r="L427"/>
          <cell r="M427"/>
        </row>
        <row r="428">
          <cell r="A428" t="str">
            <v>MRG</v>
          </cell>
          <cell r="B428" t="str">
            <v>PLA-098</v>
          </cell>
          <cell r="C428" t="str">
            <v>PLATEAUX</v>
          </cell>
          <cell r="D428" t="str">
            <v>DJONKOTORA</v>
          </cell>
          <cell r="E428">
            <v>70996776</v>
          </cell>
          <cell r="F428" t="str">
            <v>2G</v>
          </cell>
          <cell r="G428"/>
          <cell r="H428"/>
          <cell r="I428"/>
          <cell r="J428"/>
          <cell r="K428"/>
          <cell r="L428"/>
          <cell r="M428"/>
        </row>
        <row r="429">
          <cell r="A429" t="str">
            <v>EASY CONCEPT</v>
          </cell>
          <cell r="B429" t="str">
            <v>PLA-224</v>
          </cell>
          <cell r="C429" t="str">
            <v>PLATEAUX</v>
          </cell>
          <cell r="D429" t="str">
            <v>DJOUKAKOPE</v>
          </cell>
          <cell r="E429">
            <v>70996516</v>
          </cell>
          <cell r="F429" t="str">
            <v>2G</v>
          </cell>
          <cell r="G429"/>
          <cell r="H429"/>
          <cell r="I429"/>
          <cell r="J429"/>
          <cell r="K429"/>
          <cell r="L429"/>
          <cell r="M429"/>
        </row>
        <row r="430">
          <cell r="A430" t="str">
            <v>EASY CONCEPT</v>
          </cell>
          <cell r="B430" t="str">
            <v>LOM-120</v>
          </cell>
          <cell r="C430" t="str">
            <v>LOME</v>
          </cell>
          <cell r="D430" t="str">
            <v>DOGBEAVOU</v>
          </cell>
          <cell r="E430">
            <v>70996777</v>
          </cell>
          <cell r="F430" t="str">
            <v>2G</v>
          </cell>
          <cell r="G430"/>
          <cell r="H430"/>
          <cell r="I430"/>
          <cell r="J430"/>
          <cell r="K430"/>
          <cell r="L430"/>
          <cell r="M430"/>
        </row>
        <row r="431">
          <cell r="A431" t="str">
            <v>MRG</v>
          </cell>
          <cell r="B431" t="str">
            <v>CEN-061</v>
          </cell>
          <cell r="C431" t="str">
            <v>CENTRALE</v>
          </cell>
          <cell r="D431" t="str">
            <v>DOGOBLE</v>
          </cell>
          <cell r="E431">
            <v>70996778</v>
          </cell>
          <cell r="F431" t="str">
            <v>2G</v>
          </cell>
          <cell r="G431"/>
          <cell r="H431"/>
          <cell r="I431"/>
          <cell r="J431"/>
          <cell r="K431"/>
          <cell r="L431"/>
          <cell r="M431"/>
        </row>
        <row r="432">
          <cell r="A432" t="str">
            <v>EASY CONCEPT</v>
          </cell>
          <cell r="B432"/>
          <cell r="C432" t="str">
            <v>KARA</v>
          </cell>
          <cell r="D432" t="str">
            <v>DON-BOSCO</v>
          </cell>
          <cell r="E432" t="str">
            <v>70996861</v>
          </cell>
          <cell r="F432" t="str">
            <v>Android</v>
          </cell>
          <cell r="G432"/>
          <cell r="H432"/>
          <cell r="I432"/>
          <cell r="J432"/>
          <cell r="K432"/>
          <cell r="L432"/>
          <cell r="M432"/>
        </row>
        <row r="433">
          <cell r="A433" t="str">
            <v>EASY CONCEPT</v>
          </cell>
          <cell r="B433"/>
          <cell r="C433" t="str">
            <v>MARITIME</v>
          </cell>
          <cell r="D433" t="str">
            <v>Donou</v>
          </cell>
          <cell r="E433">
            <v>70996432</v>
          </cell>
          <cell r="F433" t="str">
            <v>2G</v>
          </cell>
          <cell r="G433"/>
          <cell r="H433"/>
          <cell r="I433"/>
          <cell r="J433"/>
          <cell r="K433"/>
          <cell r="L433"/>
          <cell r="M433"/>
        </row>
        <row r="434">
          <cell r="A434" t="str">
            <v>EASY CONCEPT</v>
          </cell>
          <cell r="B434" t="str">
            <v>SAV-016</v>
          </cell>
          <cell r="C434" t="str">
            <v>SAVANES</v>
          </cell>
          <cell r="D434" t="str">
            <v>DONTOUGOU</v>
          </cell>
          <cell r="E434">
            <v>70996779</v>
          </cell>
          <cell r="F434" t="str">
            <v>2G</v>
          </cell>
          <cell r="G434"/>
          <cell r="H434"/>
          <cell r="I434"/>
          <cell r="J434"/>
          <cell r="K434"/>
          <cell r="L434"/>
          <cell r="M434"/>
        </row>
        <row r="435">
          <cell r="A435" t="str">
            <v>EASY CONCEPT</v>
          </cell>
          <cell r="B435"/>
          <cell r="C435" t="str">
            <v>SAVANES</v>
          </cell>
          <cell r="D435" t="str">
            <v>DONTOUGOU</v>
          </cell>
          <cell r="E435" t="str">
            <v>70996779</v>
          </cell>
          <cell r="F435" t="str">
            <v>Android</v>
          </cell>
          <cell r="G435"/>
          <cell r="H435"/>
          <cell r="I435"/>
          <cell r="J435"/>
          <cell r="K435"/>
          <cell r="L435"/>
          <cell r="M435"/>
        </row>
        <row r="436">
          <cell r="A436" t="str">
            <v>EASY CONCEPT</v>
          </cell>
          <cell r="B436" t="str">
            <v>CEN-072</v>
          </cell>
          <cell r="C436" t="str">
            <v>CENTRALE</v>
          </cell>
          <cell r="D436" t="str">
            <v>DOUFOULI</v>
          </cell>
          <cell r="E436">
            <v>70996780</v>
          </cell>
          <cell r="F436" t="str">
            <v>2G</v>
          </cell>
          <cell r="G436"/>
          <cell r="H436"/>
          <cell r="I436"/>
          <cell r="J436"/>
          <cell r="K436"/>
          <cell r="L436"/>
          <cell r="M436"/>
        </row>
        <row r="437">
          <cell r="A437" t="str">
            <v>MRG</v>
          </cell>
          <cell r="B437" t="str">
            <v>LOM-131</v>
          </cell>
          <cell r="C437" t="str">
            <v>LOME</v>
          </cell>
          <cell r="D437" t="str">
            <v>DOULASSAME</v>
          </cell>
          <cell r="E437">
            <v>70996433</v>
          </cell>
          <cell r="F437" t="str">
            <v>2G</v>
          </cell>
          <cell r="G437"/>
          <cell r="H437"/>
          <cell r="I437"/>
          <cell r="J437"/>
          <cell r="K437"/>
          <cell r="L437"/>
          <cell r="M437"/>
        </row>
        <row r="438">
          <cell r="A438" t="str">
            <v>MRG</v>
          </cell>
          <cell r="B438" t="str">
            <v>MAR-018</v>
          </cell>
          <cell r="C438" t="str">
            <v>MARITIME</v>
          </cell>
          <cell r="D438" t="str">
            <v>DZETA</v>
          </cell>
          <cell r="E438">
            <v>70996781</v>
          </cell>
          <cell r="F438" t="str">
            <v>2G</v>
          </cell>
          <cell r="G438"/>
          <cell r="H438"/>
          <cell r="I438"/>
          <cell r="J438"/>
          <cell r="K438"/>
          <cell r="L438"/>
          <cell r="M438"/>
        </row>
        <row r="439">
          <cell r="A439" t="str">
            <v>3SCA</v>
          </cell>
          <cell r="B439"/>
          <cell r="C439" t="str">
            <v>MARITIME</v>
          </cell>
          <cell r="D439" t="str">
            <v>DZETA</v>
          </cell>
          <cell r="E439" t="str">
            <v>70996781</v>
          </cell>
          <cell r="F439" t="str">
            <v>Android</v>
          </cell>
          <cell r="G439"/>
          <cell r="H439"/>
          <cell r="I439"/>
          <cell r="J439"/>
          <cell r="K439"/>
          <cell r="L439"/>
          <cell r="M439"/>
        </row>
        <row r="440">
          <cell r="A440" t="str">
            <v>MRG</v>
          </cell>
          <cell r="B440" t="str">
            <v>PLA-174</v>
          </cell>
          <cell r="C440" t="str">
            <v>PLATEAUX</v>
          </cell>
          <cell r="D440" t="str">
            <v>DZEYIBO</v>
          </cell>
          <cell r="E440">
            <v>70996782</v>
          </cell>
          <cell r="F440" t="str">
            <v>2G</v>
          </cell>
          <cell r="G440"/>
          <cell r="H440"/>
          <cell r="I440"/>
          <cell r="J440"/>
          <cell r="K440"/>
          <cell r="L440"/>
          <cell r="M440"/>
        </row>
        <row r="441">
          <cell r="A441" t="str">
            <v>EASY CONCEPT</v>
          </cell>
          <cell r="B441"/>
          <cell r="C441" t="str">
            <v>MARITIME</v>
          </cell>
          <cell r="D441" t="str">
            <v>DZEYIBO</v>
          </cell>
          <cell r="E441" t="str">
            <v>70996782</v>
          </cell>
          <cell r="F441" t="str">
            <v>Android</v>
          </cell>
          <cell r="G441"/>
          <cell r="H441"/>
          <cell r="I441"/>
          <cell r="J441"/>
          <cell r="K441"/>
          <cell r="L441"/>
          <cell r="M441"/>
        </row>
        <row r="442">
          <cell r="A442" t="str">
            <v>EASY CONCEPT</v>
          </cell>
          <cell r="B442" t="str">
            <v>MAR-055</v>
          </cell>
          <cell r="C442" t="str">
            <v>MARITIME</v>
          </cell>
          <cell r="D442" t="str">
            <v>DZOLO</v>
          </cell>
          <cell r="E442">
            <v>70996783</v>
          </cell>
          <cell r="F442" t="str">
            <v>2G</v>
          </cell>
          <cell r="G442"/>
          <cell r="H442"/>
          <cell r="I442"/>
          <cell r="J442"/>
          <cell r="K442"/>
          <cell r="L442"/>
          <cell r="M442"/>
        </row>
        <row r="443">
          <cell r="A443" t="str">
            <v>MRG</v>
          </cell>
          <cell r="B443" t="str">
            <v>PLA-181</v>
          </cell>
          <cell r="C443" t="str">
            <v>PLATEAUX</v>
          </cell>
          <cell r="D443" t="str">
            <v>EDIWLOU</v>
          </cell>
          <cell r="E443">
            <v>70996785</v>
          </cell>
          <cell r="F443" t="str">
            <v>2G</v>
          </cell>
          <cell r="G443"/>
          <cell r="H443"/>
          <cell r="I443"/>
          <cell r="J443"/>
          <cell r="K443"/>
          <cell r="L443"/>
          <cell r="M443"/>
        </row>
        <row r="444">
          <cell r="A444" t="str">
            <v>MRG</v>
          </cell>
          <cell r="B444"/>
          <cell r="C444" t="str">
            <v>MARITIME</v>
          </cell>
          <cell r="D444" t="str">
            <v>EDIWLOU</v>
          </cell>
          <cell r="E444">
            <v>70996785</v>
          </cell>
          <cell r="F444" t="str">
            <v>Android</v>
          </cell>
          <cell r="G444"/>
          <cell r="H444"/>
          <cell r="I444"/>
          <cell r="J444"/>
          <cell r="K444"/>
          <cell r="L444"/>
          <cell r="M444"/>
        </row>
        <row r="445">
          <cell r="A445" t="str">
            <v>SSV</v>
          </cell>
          <cell r="B445" t="str">
            <v>PLA-193</v>
          </cell>
          <cell r="C445" t="str">
            <v>PLATEAUX</v>
          </cell>
          <cell r="D445" t="str">
            <v>EFFOUFAMI</v>
          </cell>
          <cell r="E445">
            <v>70996471</v>
          </cell>
          <cell r="F445" t="str">
            <v>2G</v>
          </cell>
          <cell r="G445"/>
          <cell r="H445"/>
          <cell r="I445"/>
          <cell r="J445"/>
          <cell r="K445"/>
          <cell r="L445"/>
          <cell r="M445"/>
        </row>
        <row r="446">
          <cell r="A446" t="str">
            <v>3SCA</v>
          </cell>
          <cell r="B446" t="str">
            <v>KAR-141</v>
          </cell>
          <cell r="C446" t="str">
            <v>KARA</v>
          </cell>
          <cell r="D446" t="str">
            <v>EFOLO</v>
          </cell>
          <cell r="E446">
            <v>70997292</v>
          </cell>
          <cell r="F446" t="str">
            <v>2G</v>
          </cell>
          <cell r="G446"/>
          <cell r="H446"/>
          <cell r="I446"/>
          <cell r="J446"/>
          <cell r="K446"/>
          <cell r="L446"/>
          <cell r="M446"/>
        </row>
        <row r="447">
          <cell r="A447" t="str">
            <v>MRG</v>
          </cell>
          <cell r="B447"/>
          <cell r="C447" t="str">
            <v>KARA</v>
          </cell>
          <cell r="D447" t="str">
            <v>EFOLO</v>
          </cell>
          <cell r="E447">
            <v>70997292</v>
          </cell>
          <cell r="F447" t="str">
            <v>Android</v>
          </cell>
          <cell r="G447"/>
          <cell r="H447"/>
          <cell r="I447"/>
          <cell r="J447"/>
          <cell r="K447"/>
          <cell r="L447"/>
          <cell r="M447"/>
        </row>
        <row r="448">
          <cell r="A448" t="str">
            <v>3SCA</v>
          </cell>
          <cell r="B448" t="str">
            <v>PLA-172</v>
          </cell>
          <cell r="C448" t="str">
            <v>PLATEAUX</v>
          </cell>
          <cell r="D448" t="str">
            <v>EHOUI</v>
          </cell>
          <cell r="E448">
            <v>70996784</v>
          </cell>
          <cell r="F448" t="str">
            <v>2G</v>
          </cell>
          <cell r="G448"/>
          <cell r="H448"/>
          <cell r="I448"/>
          <cell r="J448"/>
          <cell r="K448"/>
          <cell r="L448"/>
          <cell r="M448"/>
        </row>
        <row r="449">
          <cell r="A449" t="str">
            <v>SSV</v>
          </cell>
          <cell r="B449"/>
          <cell r="C449" t="str">
            <v>PLATEAUX</v>
          </cell>
          <cell r="D449" t="str">
            <v>EHOUI</v>
          </cell>
          <cell r="E449">
            <v>70996784</v>
          </cell>
          <cell r="F449" t="str">
            <v>Android</v>
          </cell>
          <cell r="G449"/>
          <cell r="H449"/>
          <cell r="I449"/>
          <cell r="J449"/>
          <cell r="K449"/>
          <cell r="L449"/>
          <cell r="M449"/>
        </row>
        <row r="450">
          <cell r="A450" t="str">
            <v>MRG</v>
          </cell>
          <cell r="B450"/>
          <cell r="C450" t="str">
            <v>PLATEAUX</v>
          </cell>
          <cell r="D450" t="str">
            <v>EKETO ELAVAGNON</v>
          </cell>
          <cell r="E450" t="str">
            <v>70996786</v>
          </cell>
          <cell r="F450" t="str">
            <v>Android</v>
          </cell>
          <cell r="G450"/>
          <cell r="H450"/>
          <cell r="I450"/>
          <cell r="J450"/>
          <cell r="K450"/>
          <cell r="L450"/>
          <cell r="M450"/>
        </row>
        <row r="451">
          <cell r="A451" t="str">
            <v>3SCA</v>
          </cell>
          <cell r="B451" t="str">
            <v>PLA-163</v>
          </cell>
          <cell r="C451" t="str">
            <v>PLATEAUX</v>
          </cell>
          <cell r="D451" t="str">
            <v>EKETO ELAVAGNON</v>
          </cell>
          <cell r="E451">
            <v>70996786</v>
          </cell>
          <cell r="F451" t="str">
            <v>2G</v>
          </cell>
          <cell r="G451"/>
          <cell r="H451"/>
          <cell r="I451"/>
          <cell r="J451"/>
          <cell r="K451"/>
          <cell r="L451"/>
          <cell r="M451"/>
        </row>
        <row r="452">
          <cell r="A452" t="str">
            <v>3SCA</v>
          </cell>
          <cell r="B452" t="str">
            <v>PLA-226</v>
          </cell>
          <cell r="C452" t="str">
            <v>PLATEAUX</v>
          </cell>
          <cell r="D452" t="str">
            <v>EKPEGNON VAKPO</v>
          </cell>
          <cell r="E452">
            <v>70997274</v>
          </cell>
          <cell r="F452" t="str">
            <v>2G</v>
          </cell>
          <cell r="G452"/>
          <cell r="H452"/>
          <cell r="I452"/>
          <cell r="J452"/>
          <cell r="K452"/>
          <cell r="L452"/>
          <cell r="M452"/>
        </row>
        <row r="453">
          <cell r="A453" t="str">
            <v>3SCA</v>
          </cell>
          <cell r="B453" t="str">
            <v>LOM-338</v>
          </cell>
          <cell r="C453" t="str">
            <v>MARITIME</v>
          </cell>
          <cell r="D453" t="str">
            <v>EKPUI</v>
          </cell>
          <cell r="E453">
            <v>70997394</v>
          </cell>
          <cell r="F453" t="str">
            <v>2G</v>
          </cell>
          <cell r="G453"/>
          <cell r="H453"/>
          <cell r="I453"/>
          <cell r="J453"/>
          <cell r="K453"/>
          <cell r="L453"/>
          <cell r="M453"/>
        </row>
        <row r="454">
          <cell r="A454" t="str">
            <v>MRG</v>
          </cell>
          <cell r="B454" t="str">
            <v>PLA-086</v>
          </cell>
          <cell r="C454" t="str">
            <v>PLATEAUX</v>
          </cell>
          <cell r="D454" t="str">
            <v>ELAVAGNON</v>
          </cell>
          <cell r="E454">
            <v>70996787</v>
          </cell>
          <cell r="F454" t="str">
            <v>2G</v>
          </cell>
          <cell r="G454"/>
          <cell r="H454"/>
          <cell r="I454"/>
          <cell r="J454"/>
          <cell r="K454"/>
          <cell r="L454"/>
          <cell r="M454"/>
        </row>
        <row r="455">
          <cell r="A455" t="str">
            <v>3SCA</v>
          </cell>
          <cell r="B455"/>
          <cell r="C455" t="str">
            <v>CENTRALE</v>
          </cell>
          <cell r="D455" t="str">
            <v>ELAVAGNON TODJI</v>
          </cell>
          <cell r="E455">
            <v>70997282</v>
          </cell>
          <cell r="F455" t="str">
            <v>2G</v>
          </cell>
          <cell r="G455"/>
          <cell r="H455"/>
          <cell r="I455"/>
          <cell r="J455"/>
          <cell r="K455"/>
          <cell r="L455"/>
          <cell r="M455"/>
        </row>
        <row r="456">
          <cell r="A456" t="str">
            <v>3SCA</v>
          </cell>
          <cell r="B456"/>
          <cell r="C456" t="str">
            <v>CENTRALE</v>
          </cell>
          <cell r="D456" t="str">
            <v>ELAVAGNON TODJI</v>
          </cell>
          <cell r="E456">
            <v>70997282</v>
          </cell>
          <cell r="F456" t="str">
            <v>Android</v>
          </cell>
          <cell r="G456"/>
          <cell r="H456"/>
          <cell r="I456"/>
          <cell r="J456"/>
          <cell r="K456"/>
          <cell r="L456"/>
          <cell r="M456"/>
        </row>
        <row r="457">
          <cell r="A457" t="str">
            <v>MRG</v>
          </cell>
          <cell r="B457" t="str">
            <v>PLA-140</v>
          </cell>
          <cell r="C457" t="str">
            <v>PLATEAUX</v>
          </cell>
          <cell r="D457" t="str">
            <v>ELAVAGNON-OKOUTAWAGA</v>
          </cell>
          <cell r="E457">
            <v>70996788</v>
          </cell>
          <cell r="F457" t="str">
            <v>2G</v>
          </cell>
          <cell r="G457"/>
          <cell r="H457"/>
          <cell r="I457"/>
          <cell r="J457"/>
          <cell r="K457"/>
          <cell r="L457"/>
          <cell r="M457"/>
        </row>
        <row r="458">
          <cell r="A458" t="str">
            <v>MRG</v>
          </cell>
          <cell r="B458"/>
          <cell r="C458" t="str">
            <v>KARA</v>
          </cell>
          <cell r="D458" t="str">
            <v>Faisceaux</v>
          </cell>
          <cell r="E458">
            <v>70996789</v>
          </cell>
          <cell r="F458" t="str">
            <v>2G</v>
          </cell>
          <cell r="G458"/>
          <cell r="H458"/>
          <cell r="I458"/>
          <cell r="J458"/>
          <cell r="K458"/>
          <cell r="L458"/>
          <cell r="M458"/>
        </row>
        <row r="459">
          <cell r="A459" t="str">
            <v>MRG</v>
          </cell>
          <cell r="B459" t="str">
            <v>KAR-028</v>
          </cell>
          <cell r="C459" t="str">
            <v>KARA</v>
          </cell>
          <cell r="D459" t="str">
            <v>FARENDE</v>
          </cell>
          <cell r="E459">
            <v>70996790</v>
          </cell>
          <cell r="F459" t="str">
            <v>2G</v>
          </cell>
          <cell r="G459"/>
          <cell r="H459"/>
          <cell r="I459"/>
          <cell r="J459"/>
          <cell r="K459"/>
          <cell r="L459"/>
          <cell r="M459"/>
        </row>
        <row r="460">
          <cell r="A460" t="str">
            <v>MRG</v>
          </cell>
          <cell r="B460"/>
          <cell r="C460" t="str">
            <v>KARA</v>
          </cell>
          <cell r="D460" t="str">
            <v>FARENDE</v>
          </cell>
          <cell r="E460" t="str">
            <v>70996790</v>
          </cell>
          <cell r="F460" t="str">
            <v>Android</v>
          </cell>
          <cell r="G460"/>
          <cell r="H460"/>
          <cell r="I460"/>
          <cell r="J460"/>
          <cell r="K460"/>
          <cell r="L460"/>
          <cell r="M460"/>
        </row>
        <row r="461">
          <cell r="A461" t="str">
            <v>MRG</v>
          </cell>
          <cell r="B461" t="str">
            <v>CEN-027</v>
          </cell>
          <cell r="C461" t="str">
            <v>CENTRALE</v>
          </cell>
          <cell r="D461" t="str">
            <v>FAZAO</v>
          </cell>
          <cell r="E461">
            <v>70996791</v>
          </cell>
          <cell r="F461" t="str">
            <v>2G</v>
          </cell>
          <cell r="G461"/>
          <cell r="H461"/>
          <cell r="I461"/>
          <cell r="J461"/>
          <cell r="K461"/>
          <cell r="L461"/>
          <cell r="M461"/>
        </row>
        <row r="462">
          <cell r="A462" t="str">
            <v>MRG</v>
          </cell>
          <cell r="B462"/>
          <cell r="C462" t="str">
            <v>CENTRALE</v>
          </cell>
          <cell r="D462" t="str">
            <v>FAZAO</v>
          </cell>
          <cell r="E462" t="str">
            <v>70996791</v>
          </cell>
          <cell r="F462" t="str">
            <v>Android</v>
          </cell>
          <cell r="G462"/>
          <cell r="H462"/>
          <cell r="I462"/>
          <cell r="J462"/>
          <cell r="K462"/>
          <cell r="L462"/>
          <cell r="M462"/>
        </row>
        <row r="463">
          <cell r="A463" t="str">
            <v>SSV</v>
          </cell>
          <cell r="B463"/>
          <cell r="C463"/>
          <cell r="D463" t="str">
            <v>FIDEKPUI 2</v>
          </cell>
          <cell r="E463"/>
          <cell r="F463"/>
          <cell r="G463"/>
          <cell r="H463"/>
          <cell r="I463"/>
          <cell r="J463"/>
          <cell r="K463"/>
          <cell r="L463"/>
          <cell r="M463"/>
        </row>
        <row r="464">
          <cell r="A464" t="str">
            <v>SSV</v>
          </cell>
          <cell r="B464"/>
          <cell r="C464"/>
          <cell r="D464" t="str">
            <v>FIDEKPUI 3</v>
          </cell>
          <cell r="E464"/>
          <cell r="F464"/>
          <cell r="G464"/>
          <cell r="H464"/>
          <cell r="I464"/>
          <cell r="J464"/>
          <cell r="K464"/>
          <cell r="L464"/>
          <cell r="M464"/>
        </row>
        <row r="465">
          <cell r="A465" t="str">
            <v>SSV</v>
          </cell>
          <cell r="B465" t="str">
            <v>LOM-023</v>
          </cell>
          <cell r="C465" t="str">
            <v>LOME</v>
          </cell>
          <cell r="D465" t="str">
            <v>FIDOKPUI</v>
          </cell>
          <cell r="E465">
            <v>70996792</v>
          </cell>
          <cell r="F465" t="str">
            <v>2G</v>
          </cell>
          <cell r="G465"/>
          <cell r="H465"/>
          <cell r="I465"/>
          <cell r="J465"/>
          <cell r="K465"/>
          <cell r="L465"/>
          <cell r="M465"/>
        </row>
        <row r="466">
          <cell r="A466" t="str">
            <v>3SCA</v>
          </cell>
          <cell r="B466"/>
          <cell r="C466"/>
          <cell r="D466" t="str">
            <v>FIDOKPUI 1</v>
          </cell>
          <cell r="E466"/>
          <cell r="F466"/>
          <cell r="G466"/>
          <cell r="H466"/>
          <cell r="I466"/>
          <cell r="J466"/>
          <cell r="K466"/>
          <cell r="L466"/>
          <cell r="M466"/>
        </row>
        <row r="467">
          <cell r="A467" t="str">
            <v>3SCA</v>
          </cell>
          <cell r="B467" t="str">
            <v>LOM-306</v>
          </cell>
          <cell r="C467" t="str">
            <v>LOME</v>
          </cell>
          <cell r="D467" t="str">
            <v>FIDOKPUI 3</v>
          </cell>
          <cell r="E467">
            <v>70996473</v>
          </cell>
          <cell r="F467" t="str">
            <v>2G</v>
          </cell>
          <cell r="G467"/>
          <cell r="H467"/>
          <cell r="I467"/>
          <cell r="J467"/>
          <cell r="K467"/>
          <cell r="L467"/>
          <cell r="M467"/>
        </row>
        <row r="468">
          <cell r="A468" t="str">
            <v>MRG</v>
          </cell>
          <cell r="B468" t="str">
            <v>LOM-279</v>
          </cell>
          <cell r="C468" t="str">
            <v>MARITIME</v>
          </cell>
          <cell r="D468" t="str">
            <v>FIDOKPUI2</v>
          </cell>
          <cell r="E468">
            <v>70996472</v>
          </cell>
          <cell r="F468" t="str">
            <v>2G</v>
          </cell>
          <cell r="G468"/>
          <cell r="H468"/>
          <cell r="I468"/>
          <cell r="J468"/>
          <cell r="K468"/>
          <cell r="L468"/>
          <cell r="M468"/>
        </row>
        <row r="469">
          <cell r="A469" t="str">
            <v>MRG</v>
          </cell>
          <cell r="B469" t="str">
            <v>LOM-096</v>
          </cell>
          <cell r="C469" t="str">
            <v>LOME</v>
          </cell>
          <cell r="D469" t="str">
            <v>FOIRE TOGO 2000</v>
          </cell>
          <cell r="E469">
            <v>70996434</v>
          </cell>
          <cell r="F469" t="str">
            <v>2G</v>
          </cell>
          <cell r="G469"/>
          <cell r="H469"/>
          <cell r="I469"/>
          <cell r="J469"/>
          <cell r="K469"/>
          <cell r="L469"/>
          <cell r="M469"/>
        </row>
        <row r="470">
          <cell r="A470" t="str">
            <v>MRG</v>
          </cell>
          <cell r="B470" t="str">
            <v>CEN-108</v>
          </cell>
          <cell r="C470" t="str">
            <v>CENTRALE</v>
          </cell>
          <cell r="D470" t="str">
            <v>FOLO BANDA</v>
          </cell>
          <cell r="E470">
            <v>70996409</v>
          </cell>
          <cell r="F470" t="str">
            <v>2G</v>
          </cell>
          <cell r="G470"/>
          <cell r="H470"/>
          <cell r="I470"/>
          <cell r="J470"/>
          <cell r="K470"/>
          <cell r="L470"/>
          <cell r="M470"/>
        </row>
        <row r="471">
          <cell r="A471" t="str">
            <v>MRG</v>
          </cell>
          <cell r="B471"/>
          <cell r="C471" t="str">
            <v>KARA</v>
          </cell>
          <cell r="D471" t="str">
            <v>FOLO BANDA</v>
          </cell>
          <cell r="E471" t="str">
            <v>70996409</v>
          </cell>
          <cell r="F471" t="str">
            <v>Android</v>
          </cell>
          <cell r="G471"/>
          <cell r="H471"/>
          <cell r="I471"/>
          <cell r="J471"/>
          <cell r="K471"/>
          <cell r="L471"/>
          <cell r="M471"/>
        </row>
        <row r="472">
          <cell r="A472" t="str">
            <v>MRG</v>
          </cell>
          <cell r="B472"/>
          <cell r="C472"/>
          <cell r="D472" t="str">
            <v>GAKLI</v>
          </cell>
          <cell r="E472"/>
          <cell r="F472"/>
          <cell r="G472"/>
          <cell r="H472"/>
          <cell r="I472"/>
          <cell r="J472"/>
          <cell r="K472"/>
          <cell r="L472"/>
          <cell r="M472"/>
        </row>
        <row r="473">
          <cell r="A473" t="str">
            <v>MRG</v>
          </cell>
          <cell r="B473" t="str">
            <v>LOM-106</v>
          </cell>
          <cell r="C473" t="str">
            <v>LOME</v>
          </cell>
          <cell r="D473" t="str">
            <v>GAKLI 2</v>
          </cell>
          <cell r="E473">
            <v>70996794</v>
          </cell>
          <cell r="F473" t="str">
            <v>2G</v>
          </cell>
          <cell r="G473"/>
          <cell r="H473"/>
          <cell r="I473"/>
          <cell r="J473"/>
          <cell r="K473"/>
          <cell r="L473"/>
          <cell r="M473"/>
        </row>
        <row r="474">
          <cell r="A474" t="str">
            <v>MRG</v>
          </cell>
          <cell r="B474" t="str">
            <v>LOM-086</v>
          </cell>
          <cell r="C474" t="str">
            <v>LOME</v>
          </cell>
          <cell r="D474" t="str">
            <v>GAKLI1</v>
          </cell>
          <cell r="E474">
            <v>70996793</v>
          </cell>
          <cell r="F474" t="str">
            <v>2G</v>
          </cell>
          <cell r="G474"/>
          <cell r="H474"/>
          <cell r="I474"/>
          <cell r="J474"/>
          <cell r="K474"/>
          <cell r="L474"/>
          <cell r="M474"/>
        </row>
        <row r="475">
          <cell r="A475" t="str">
            <v>3SCA</v>
          </cell>
          <cell r="B475" t="str">
            <v>SAV-044</v>
          </cell>
          <cell r="C475" t="str">
            <v>SAVANES</v>
          </cell>
          <cell r="D475" t="str">
            <v>GALANGACHI</v>
          </cell>
          <cell r="E475">
            <v>70996795</v>
          </cell>
          <cell r="F475" t="str">
            <v>2G</v>
          </cell>
          <cell r="G475"/>
          <cell r="H475"/>
          <cell r="I475"/>
          <cell r="J475"/>
          <cell r="K475"/>
          <cell r="L475"/>
          <cell r="M475"/>
        </row>
        <row r="476">
          <cell r="A476" t="str">
            <v>3SCA</v>
          </cell>
          <cell r="B476" t="str">
            <v>MAR-063</v>
          </cell>
          <cell r="C476" t="str">
            <v>MARITIME</v>
          </cell>
          <cell r="D476" t="str">
            <v>GAME</v>
          </cell>
          <cell r="E476">
            <v>70996796</v>
          </cell>
          <cell r="F476" t="str">
            <v>2G</v>
          </cell>
          <cell r="G476"/>
          <cell r="H476"/>
          <cell r="I476"/>
          <cell r="J476"/>
          <cell r="K476"/>
          <cell r="L476"/>
          <cell r="M476"/>
        </row>
        <row r="477">
          <cell r="A477" t="str">
            <v>3SCA</v>
          </cell>
          <cell r="B477" t="str">
            <v>PLA-104</v>
          </cell>
          <cell r="C477" t="str">
            <v>PLATEAUX</v>
          </cell>
          <cell r="D477" t="str">
            <v>GAME (Plateau)</v>
          </cell>
          <cell r="E477">
            <v>70996797</v>
          </cell>
          <cell r="F477" t="str">
            <v>2G</v>
          </cell>
          <cell r="G477"/>
          <cell r="H477"/>
          <cell r="I477"/>
          <cell r="J477"/>
          <cell r="K477"/>
          <cell r="L477"/>
          <cell r="M477"/>
        </row>
        <row r="478">
          <cell r="A478" t="str">
            <v>3SCA</v>
          </cell>
          <cell r="B478" t="str">
            <v>MAR-095</v>
          </cell>
          <cell r="C478" t="str">
            <v>MARITIME</v>
          </cell>
          <cell r="D478" t="str">
            <v>Gamé Lili</v>
          </cell>
          <cell r="E478">
            <v>70996474</v>
          </cell>
          <cell r="F478" t="str">
            <v>2G</v>
          </cell>
          <cell r="G478"/>
          <cell r="H478"/>
          <cell r="I478"/>
          <cell r="J478"/>
          <cell r="K478"/>
          <cell r="L478"/>
          <cell r="M478"/>
        </row>
        <row r="479">
          <cell r="A479" t="str">
            <v>MRG</v>
          </cell>
          <cell r="B479" t="str">
            <v>SAV-050</v>
          </cell>
          <cell r="C479" t="str">
            <v>SAVANES</v>
          </cell>
          <cell r="D479" t="str">
            <v>GANDO</v>
          </cell>
          <cell r="E479">
            <v>70996798</v>
          </cell>
          <cell r="F479" t="str">
            <v>2G</v>
          </cell>
          <cell r="G479"/>
          <cell r="H479"/>
          <cell r="I479"/>
          <cell r="J479"/>
          <cell r="K479"/>
          <cell r="L479"/>
          <cell r="M479"/>
        </row>
        <row r="480">
          <cell r="A480" t="str">
            <v>MRG</v>
          </cell>
          <cell r="B480" t="str">
            <v>PLA-144</v>
          </cell>
          <cell r="C480" t="str">
            <v>PLATEAUX</v>
          </cell>
          <cell r="D480" t="str">
            <v>GAOUGBLE</v>
          </cell>
          <cell r="E480">
            <v>70996799</v>
          </cell>
          <cell r="F480" t="str">
            <v>2G</v>
          </cell>
          <cell r="G480"/>
          <cell r="H480"/>
          <cell r="I480"/>
          <cell r="J480"/>
          <cell r="K480"/>
          <cell r="L480"/>
          <cell r="M480"/>
        </row>
        <row r="481">
          <cell r="A481" t="str">
            <v>MRG</v>
          </cell>
          <cell r="B481" t="str">
            <v>MAR-064</v>
          </cell>
          <cell r="C481" t="str">
            <v>MARITIME</v>
          </cell>
          <cell r="D481" t="str">
            <v>GAPE</v>
          </cell>
          <cell r="E481">
            <v>70996800</v>
          </cell>
          <cell r="F481" t="str">
            <v>2G</v>
          </cell>
          <cell r="G481"/>
          <cell r="H481"/>
          <cell r="I481"/>
          <cell r="J481"/>
          <cell r="K481"/>
          <cell r="L481"/>
          <cell r="M481"/>
        </row>
        <row r="482">
          <cell r="A482" t="str">
            <v>MRG</v>
          </cell>
          <cell r="B482"/>
          <cell r="C482"/>
          <cell r="D482" t="str">
            <v>GAPE ALOYE</v>
          </cell>
          <cell r="E482"/>
          <cell r="F482"/>
          <cell r="G482"/>
          <cell r="H482"/>
          <cell r="I482"/>
          <cell r="J482"/>
          <cell r="K482"/>
          <cell r="L482"/>
          <cell r="M482"/>
        </row>
        <row r="483">
          <cell r="A483" t="str">
            <v>MRG</v>
          </cell>
          <cell r="B483"/>
          <cell r="C483"/>
          <cell r="D483" t="str">
            <v>Gapé Kpédji</v>
          </cell>
          <cell r="E483"/>
          <cell r="F483"/>
          <cell r="G483"/>
          <cell r="H483"/>
          <cell r="I483"/>
          <cell r="J483"/>
          <cell r="K483"/>
          <cell r="L483"/>
          <cell r="M483"/>
        </row>
        <row r="484">
          <cell r="A484" t="str">
            <v>EASY CONCEPT</v>
          </cell>
          <cell r="B484" t="str">
            <v>MAR-065</v>
          </cell>
          <cell r="C484" t="str">
            <v>MARITIME</v>
          </cell>
          <cell r="D484" t="str">
            <v>GAPE-ALOYI</v>
          </cell>
          <cell r="E484">
            <v>70996801</v>
          </cell>
          <cell r="F484" t="str">
            <v>2G</v>
          </cell>
          <cell r="G484"/>
          <cell r="H484"/>
          <cell r="I484"/>
          <cell r="J484"/>
          <cell r="K484"/>
          <cell r="L484"/>
          <cell r="M484"/>
        </row>
        <row r="485">
          <cell r="A485" t="str">
            <v>MRG</v>
          </cell>
          <cell r="B485" t="str">
            <v>MAR-083</v>
          </cell>
          <cell r="C485" t="str">
            <v>MARITIME</v>
          </cell>
          <cell r="D485" t="str">
            <v>GAPE-ATCHANVE</v>
          </cell>
          <cell r="E485">
            <v>70996802</v>
          </cell>
          <cell r="F485" t="str">
            <v>2G</v>
          </cell>
          <cell r="G485"/>
          <cell r="H485"/>
          <cell r="I485"/>
          <cell r="J485"/>
          <cell r="K485"/>
          <cell r="L485"/>
          <cell r="M485"/>
        </row>
        <row r="486">
          <cell r="A486" t="str">
            <v>EASY CONCEPT</v>
          </cell>
          <cell r="B486" t="str">
            <v>MAR-056</v>
          </cell>
          <cell r="C486" t="str">
            <v>PLATEAUX</v>
          </cell>
          <cell r="D486" t="str">
            <v>GAPEDJI</v>
          </cell>
          <cell r="E486">
            <v>70997051</v>
          </cell>
          <cell r="F486" t="str">
            <v>2G</v>
          </cell>
          <cell r="G486"/>
          <cell r="H486"/>
          <cell r="I486"/>
          <cell r="J486"/>
          <cell r="K486"/>
          <cell r="L486"/>
          <cell r="M486"/>
        </row>
        <row r="487">
          <cell r="A487" t="str">
            <v>EASY CONCEPT</v>
          </cell>
          <cell r="B487" t="str">
            <v>MAR-056</v>
          </cell>
          <cell r="C487" t="str">
            <v>MARITIME</v>
          </cell>
          <cell r="D487" t="str">
            <v>GAPEKPEDI</v>
          </cell>
          <cell r="E487">
            <v>70996803</v>
          </cell>
          <cell r="F487" t="str">
            <v>2G</v>
          </cell>
          <cell r="G487"/>
          <cell r="H487"/>
          <cell r="I487"/>
          <cell r="J487"/>
          <cell r="K487"/>
          <cell r="L487"/>
          <cell r="M487"/>
        </row>
        <row r="488">
          <cell r="A488" t="str">
            <v>MRG</v>
          </cell>
          <cell r="B488" t="str">
            <v>MAR-080</v>
          </cell>
          <cell r="C488" t="str">
            <v>MARITIME</v>
          </cell>
          <cell r="D488" t="str">
            <v>GATI-AGODOU</v>
          </cell>
          <cell r="E488">
            <v>70996804</v>
          </cell>
          <cell r="F488" t="str">
            <v>2G</v>
          </cell>
          <cell r="G488"/>
          <cell r="H488"/>
          <cell r="I488"/>
          <cell r="J488"/>
          <cell r="K488"/>
          <cell r="L488"/>
          <cell r="M488"/>
        </row>
        <row r="489">
          <cell r="A489" t="str">
            <v>EASY CONCEPT</v>
          </cell>
          <cell r="B489" t="str">
            <v>LOM-121</v>
          </cell>
          <cell r="C489" t="str">
            <v>LOME</v>
          </cell>
          <cell r="D489" t="str">
            <v>GBADAGO</v>
          </cell>
          <cell r="E489">
            <v>70996805</v>
          </cell>
          <cell r="F489" t="str">
            <v>2G</v>
          </cell>
          <cell r="G489"/>
          <cell r="H489"/>
          <cell r="I489"/>
          <cell r="J489"/>
          <cell r="K489"/>
          <cell r="L489"/>
          <cell r="M489"/>
        </row>
        <row r="490">
          <cell r="A490" t="str">
            <v>EASY CONCEPT</v>
          </cell>
          <cell r="B490" t="str">
            <v>PLA-117</v>
          </cell>
          <cell r="C490" t="str">
            <v>PLATEAUX</v>
          </cell>
          <cell r="D490" t="str">
            <v>GBADINKOUGNA</v>
          </cell>
          <cell r="E490">
            <v>70996806</v>
          </cell>
          <cell r="F490" t="str">
            <v>2G</v>
          </cell>
          <cell r="G490"/>
          <cell r="H490"/>
          <cell r="I490"/>
          <cell r="J490"/>
          <cell r="K490"/>
          <cell r="L490"/>
          <cell r="M490"/>
        </row>
        <row r="491">
          <cell r="A491" t="str">
            <v>SSV</v>
          </cell>
          <cell r="B491"/>
          <cell r="C491" t="str">
            <v>PLATEAUX</v>
          </cell>
          <cell r="D491" t="str">
            <v>GBADINKOUGNA</v>
          </cell>
          <cell r="E491" t="str">
            <v>70996806</v>
          </cell>
          <cell r="F491" t="str">
            <v>Android</v>
          </cell>
          <cell r="G491"/>
          <cell r="H491"/>
          <cell r="I491"/>
          <cell r="J491"/>
          <cell r="K491"/>
          <cell r="L491"/>
          <cell r="M491"/>
        </row>
        <row r="492">
          <cell r="A492" t="str">
            <v>MRG</v>
          </cell>
          <cell r="B492" t="str">
            <v>PLA-087</v>
          </cell>
          <cell r="C492" t="str">
            <v>PLATEAUX</v>
          </cell>
          <cell r="D492" t="str">
            <v>GBADJAHE</v>
          </cell>
          <cell r="E492">
            <v>70996807</v>
          </cell>
          <cell r="F492" t="str">
            <v>2G</v>
          </cell>
          <cell r="G492"/>
          <cell r="H492"/>
          <cell r="I492"/>
          <cell r="J492"/>
          <cell r="K492"/>
          <cell r="L492"/>
          <cell r="M492"/>
        </row>
        <row r="493">
          <cell r="A493" t="str">
            <v>EASY CONCEPT</v>
          </cell>
          <cell r="B493" t="str">
            <v>PLA-080</v>
          </cell>
          <cell r="C493" t="str">
            <v>PLATEAUX</v>
          </cell>
          <cell r="D493" t="str">
            <v>GBAGBADJAKOU</v>
          </cell>
          <cell r="E493">
            <v>70996808</v>
          </cell>
          <cell r="F493" t="str">
            <v>2G</v>
          </cell>
          <cell r="G493"/>
          <cell r="H493"/>
          <cell r="I493"/>
          <cell r="J493"/>
          <cell r="K493"/>
          <cell r="L493"/>
          <cell r="M493"/>
        </row>
        <row r="494">
          <cell r="A494" t="str">
            <v>MRG</v>
          </cell>
          <cell r="B494"/>
          <cell r="C494" t="str">
            <v>PLATEAUX</v>
          </cell>
          <cell r="D494" t="str">
            <v>GBAGBADJAKOU</v>
          </cell>
          <cell r="E494" t="str">
            <v>70996808</v>
          </cell>
          <cell r="F494" t="str">
            <v>Android</v>
          </cell>
          <cell r="G494"/>
          <cell r="H494"/>
          <cell r="I494"/>
          <cell r="J494"/>
          <cell r="K494"/>
          <cell r="L494"/>
          <cell r="M494"/>
        </row>
        <row r="495">
          <cell r="A495" t="str">
            <v>3SCA</v>
          </cell>
          <cell r="B495" t="str">
            <v>SAV-101</v>
          </cell>
          <cell r="C495" t="str">
            <v>SAVANES</v>
          </cell>
          <cell r="D495" t="str">
            <v>GBANKONE</v>
          </cell>
          <cell r="E495">
            <v>70997370</v>
          </cell>
          <cell r="F495" t="str">
            <v>2G</v>
          </cell>
          <cell r="G495"/>
          <cell r="H495"/>
          <cell r="I495"/>
          <cell r="J495"/>
          <cell r="K495"/>
          <cell r="L495"/>
          <cell r="M495"/>
        </row>
        <row r="496">
          <cell r="A496" t="str">
            <v>3SCA</v>
          </cell>
          <cell r="B496" t="str">
            <v>SAV-079</v>
          </cell>
          <cell r="C496" t="str">
            <v>SAVANES</v>
          </cell>
          <cell r="D496" t="str">
            <v>GBANTCHAL</v>
          </cell>
          <cell r="E496">
            <v>70996809</v>
          </cell>
          <cell r="F496" t="str">
            <v>2G</v>
          </cell>
          <cell r="G496"/>
          <cell r="H496"/>
          <cell r="I496"/>
          <cell r="J496"/>
          <cell r="K496"/>
          <cell r="L496"/>
          <cell r="M496"/>
        </row>
        <row r="497">
          <cell r="A497" t="str">
            <v>EASY CONCEPT</v>
          </cell>
          <cell r="B497"/>
          <cell r="C497" t="str">
            <v>SAVANES</v>
          </cell>
          <cell r="D497" t="str">
            <v>GBANTCHAL</v>
          </cell>
          <cell r="E497" t="str">
            <v>70996809</v>
          </cell>
          <cell r="F497" t="str">
            <v>Android</v>
          </cell>
          <cell r="G497"/>
          <cell r="H497"/>
          <cell r="I497"/>
          <cell r="J497"/>
          <cell r="K497"/>
          <cell r="L497"/>
          <cell r="M497"/>
        </row>
        <row r="498">
          <cell r="A498" t="str">
            <v>EASY CONCEPT</v>
          </cell>
          <cell r="B498" t="str">
            <v>MAR-007</v>
          </cell>
          <cell r="C498" t="str">
            <v>MARITIME</v>
          </cell>
          <cell r="D498" t="str">
            <v>GBATOPE</v>
          </cell>
          <cell r="E498">
            <v>70996810</v>
          </cell>
          <cell r="F498" t="str">
            <v>2G</v>
          </cell>
          <cell r="G498"/>
          <cell r="H498"/>
          <cell r="I498"/>
          <cell r="J498"/>
          <cell r="K498"/>
          <cell r="L498"/>
          <cell r="M498"/>
        </row>
        <row r="499">
          <cell r="A499" t="str">
            <v>MRG</v>
          </cell>
          <cell r="B499"/>
          <cell r="C499" t="str">
            <v>MARITIME</v>
          </cell>
          <cell r="D499" t="str">
            <v>GBATOPE</v>
          </cell>
          <cell r="E499" t="str">
            <v>70996810</v>
          </cell>
          <cell r="F499" t="str">
            <v>Android</v>
          </cell>
          <cell r="G499"/>
          <cell r="H499"/>
          <cell r="I499"/>
          <cell r="J499"/>
          <cell r="K499"/>
          <cell r="L499"/>
          <cell r="M499"/>
        </row>
        <row r="500">
          <cell r="A500" t="str">
            <v>MRG</v>
          </cell>
          <cell r="B500" t="str">
            <v>LOM-173</v>
          </cell>
          <cell r="C500" t="str">
            <v>LOME</v>
          </cell>
          <cell r="D500" t="str">
            <v>GBENEDJI 1</v>
          </cell>
          <cell r="E500">
            <v>70996435</v>
          </cell>
          <cell r="F500" t="str">
            <v>2G</v>
          </cell>
          <cell r="G500"/>
          <cell r="H500"/>
          <cell r="I500"/>
          <cell r="J500"/>
          <cell r="K500"/>
          <cell r="L500"/>
          <cell r="M500"/>
        </row>
        <row r="501">
          <cell r="A501" t="str">
            <v>MRG</v>
          </cell>
          <cell r="B501" t="str">
            <v>LOM-174</v>
          </cell>
          <cell r="C501" t="str">
            <v>LOME</v>
          </cell>
          <cell r="D501" t="str">
            <v>GBENEDJI 2</v>
          </cell>
          <cell r="E501">
            <v>70996811</v>
          </cell>
          <cell r="F501" t="str">
            <v>2G</v>
          </cell>
          <cell r="G501"/>
          <cell r="H501"/>
          <cell r="I501"/>
          <cell r="J501"/>
          <cell r="K501"/>
          <cell r="L501"/>
          <cell r="M501"/>
        </row>
        <row r="502">
          <cell r="A502" t="str">
            <v>3SCA</v>
          </cell>
          <cell r="B502" t="str">
            <v>LOM-350</v>
          </cell>
          <cell r="C502" t="str">
            <v>LOME</v>
          </cell>
          <cell r="D502" t="str">
            <v>GBENYEDJI 3</v>
          </cell>
          <cell r="E502">
            <v>70997343</v>
          </cell>
          <cell r="F502" t="str">
            <v>2G</v>
          </cell>
          <cell r="G502"/>
          <cell r="H502"/>
          <cell r="I502"/>
          <cell r="J502"/>
          <cell r="K502"/>
          <cell r="L502"/>
          <cell r="M502"/>
        </row>
        <row r="503">
          <cell r="A503" t="str">
            <v>MRG</v>
          </cell>
          <cell r="B503" t="str">
            <v>LOM-078</v>
          </cell>
          <cell r="C503" t="str">
            <v>LOME</v>
          </cell>
          <cell r="D503" t="str">
            <v>GBLINKOME</v>
          </cell>
          <cell r="E503">
            <v>70996812</v>
          </cell>
          <cell r="F503" t="str">
            <v>2G</v>
          </cell>
          <cell r="G503"/>
          <cell r="H503"/>
          <cell r="I503"/>
          <cell r="J503"/>
          <cell r="K503"/>
          <cell r="L503"/>
          <cell r="M503"/>
        </row>
        <row r="504">
          <cell r="A504" t="str">
            <v>MRG</v>
          </cell>
          <cell r="B504"/>
          <cell r="C504" t="str">
            <v xml:space="preserve">GRAND LOMÉ </v>
          </cell>
          <cell r="D504" t="str">
            <v>GBLINKOME</v>
          </cell>
          <cell r="E504" t="str">
            <v>70996812</v>
          </cell>
          <cell r="F504" t="str">
            <v>Android</v>
          </cell>
          <cell r="G504"/>
          <cell r="H504"/>
          <cell r="I504"/>
          <cell r="J504"/>
          <cell r="K504"/>
          <cell r="L504"/>
          <cell r="M504"/>
        </row>
        <row r="505">
          <cell r="A505" t="str">
            <v>MRG</v>
          </cell>
          <cell r="B505"/>
          <cell r="C505" t="str">
            <v>LOME</v>
          </cell>
          <cell r="D505" t="str">
            <v>GBODJOME</v>
          </cell>
          <cell r="E505">
            <v>70997345</v>
          </cell>
          <cell r="F505" t="str">
            <v>2G</v>
          </cell>
          <cell r="G505"/>
          <cell r="H505"/>
          <cell r="I505"/>
          <cell r="J505"/>
          <cell r="K505"/>
          <cell r="L505"/>
          <cell r="M505"/>
        </row>
        <row r="506">
          <cell r="A506" t="str">
            <v>EASY CONCEPT</v>
          </cell>
          <cell r="B506" t="str">
            <v>LOM-123</v>
          </cell>
          <cell r="C506" t="str">
            <v>LOME</v>
          </cell>
          <cell r="D506" t="str">
            <v>GBOSSIME</v>
          </cell>
          <cell r="E506">
            <v>70996813</v>
          </cell>
          <cell r="F506" t="str">
            <v>2G</v>
          </cell>
          <cell r="G506"/>
          <cell r="H506"/>
          <cell r="I506"/>
          <cell r="J506"/>
          <cell r="K506"/>
          <cell r="L506"/>
          <cell r="M506"/>
        </row>
        <row r="507">
          <cell r="A507" t="str">
            <v>EASY CONCEPT</v>
          </cell>
          <cell r="B507" t="str">
            <v>MAR-046</v>
          </cell>
          <cell r="C507" t="str">
            <v>MARITIME</v>
          </cell>
          <cell r="D507" t="str">
            <v>GBOTO</v>
          </cell>
          <cell r="E507">
            <v>70996814</v>
          </cell>
          <cell r="F507" t="str">
            <v>2G</v>
          </cell>
          <cell r="G507"/>
          <cell r="H507"/>
          <cell r="I507"/>
          <cell r="J507"/>
          <cell r="K507"/>
          <cell r="L507"/>
          <cell r="M507"/>
        </row>
        <row r="508">
          <cell r="A508" t="str">
            <v>EASY CONCEPT</v>
          </cell>
          <cell r="B508"/>
          <cell r="C508" t="str">
            <v>MARITIME</v>
          </cell>
          <cell r="D508" t="str">
            <v>GBOTO</v>
          </cell>
          <cell r="E508" t="str">
            <v>70996814</v>
          </cell>
          <cell r="F508" t="str">
            <v>Android</v>
          </cell>
          <cell r="G508"/>
          <cell r="H508"/>
          <cell r="I508"/>
          <cell r="J508"/>
          <cell r="K508"/>
          <cell r="L508"/>
          <cell r="M508"/>
        </row>
        <row r="509">
          <cell r="A509" t="str">
            <v>EASY CONCEPT</v>
          </cell>
          <cell r="B509" t="str">
            <v>MAR-075</v>
          </cell>
          <cell r="C509" t="str">
            <v>MARITIME</v>
          </cell>
          <cell r="D509" t="str">
            <v>GBOTO-KOSSIDAME</v>
          </cell>
          <cell r="E509">
            <v>70996815</v>
          </cell>
          <cell r="F509" t="str">
            <v>2G</v>
          </cell>
          <cell r="G509"/>
          <cell r="H509"/>
          <cell r="I509"/>
          <cell r="J509"/>
          <cell r="K509"/>
          <cell r="L509"/>
          <cell r="M509"/>
        </row>
        <row r="510">
          <cell r="A510" t="str">
            <v>EASY CONCEPT</v>
          </cell>
          <cell r="B510"/>
          <cell r="C510" t="str">
            <v>MARITIME</v>
          </cell>
          <cell r="D510" t="str">
            <v>GBOTO-KOSSIDAME</v>
          </cell>
          <cell r="E510" t="str">
            <v>70996815</v>
          </cell>
          <cell r="F510" t="str">
            <v>Android</v>
          </cell>
          <cell r="G510"/>
          <cell r="H510"/>
          <cell r="I510"/>
          <cell r="J510"/>
          <cell r="K510"/>
          <cell r="L510"/>
          <cell r="M510"/>
        </row>
        <row r="511">
          <cell r="A511" t="str">
            <v>MRG</v>
          </cell>
          <cell r="B511" t="str">
            <v>PLA-124</v>
          </cell>
          <cell r="C511" t="str">
            <v>PLATEAUX</v>
          </cell>
          <cell r="D511" t="str">
            <v>GLEI</v>
          </cell>
          <cell r="E511">
            <v>70996817</v>
          </cell>
          <cell r="F511" t="str">
            <v>2G</v>
          </cell>
          <cell r="G511"/>
          <cell r="H511"/>
          <cell r="I511"/>
          <cell r="J511"/>
          <cell r="K511"/>
          <cell r="L511"/>
          <cell r="M511"/>
        </row>
        <row r="512">
          <cell r="A512" t="str">
            <v>MRG</v>
          </cell>
          <cell r="B512" t="str">
            <v>PLA-227</v>
          </cell>
          <cell r="C512" t="str">
            <v>PLATEAUX</v>
          </cell>
          <cell r="D512" t="str">
            <v>GLELOU</v>
          </cell>
          <cell r="E512">
            <v>70996504</v>
          </cell>
          <cell r="F512" t="str">
            <v>2G</v>
          </cell>
          <cell r="G512"/>
          <cell r="H512"/>
          <cell r="I512"/>
          <cell r="J512"/>
          <cell r="K512"/>
          <cell r="L512"/>
          <cell r="M512"/>
        </row>
        <row r="513">
          <cell r="A513" t="str">
            <v>MRG</v>
          </cell>
          <cell r="B513" t="str">
            <v>PLA-081</v>
          </cell>
          <cell r="C513" t="str">
            <v>PLATEAUX</v>
          </cell>
          <cell r="D513" t="str">
            <v>GLITO</v>
          </cell>
          <cell r="E513">
            <v>70996818</v>
          </cell>
          <cell r="F513" t="str">
            <v>2G</v>
          </cell>
          <cell r="G513"/>
          <cell r="H513"/>
          <cell r="I513"/>
          <cell r="J513"/>
          <cell r="K513"/>
          <cell r="L513"/>
          <cell r="M513"/>
        </row>
        <row r="514">
          <cell r="A514" t="str">
            <v>MRG</v>
          </cell>
          <cell r="B514"/>
          <cell r="C514" t="str">
            <v>PLATEAUX</v>
          </cell>
          <cell r="D514" t="str">
            <v>GLITO</v>
          </cell>
          <cell r="E514" t="str">
            <v>70996818</v>
          </cell>
          <cell r="F514" t="str">
            <v>Android</v>
          </cell>
          <cell r="G514"/>
          <cell r="H514"/>
          <cell r="I514"/>
          <cell r="J514"/>
          <cell r="K514"/>
          <cell r="L514"/>
          <cell r="M514"/>
        </row>
        <row r="515">
          <cell r="A515" t="str">
            <v>MRG</v>
          </cell>
          <cell r="B515" t="str">
            <v>PLA-092</v>
          </cell>
          <cell r="C515" t="str">
            <v>PLATEAUX</v>
          </cell>
          <cell r="D515" t="str">
            <v>GNAMASSILA</v>
          </cell>
          <cell r="E515">
            <v>70996819</v>
          </cell>
          <cell r="F515" t="str">
            <v>2G</v>
          </cell>
          <cell r="G515"/>
          <cell r="H515"/>
          <cell r="I515"/>
          <cell r="J515"/>
          <cell r="K515"/>
          <cell r="L515"/>
          <cell r="M515"/>
        </row>
        <row r="516">
          <cell r="A516" t="str">
            <v>MRG</v>
          </cell>
          <cell r="B516" t="str">
            <v>KAR-142</v>
          </cell>
          <cell r="C516" t="str">
            <v>KARA</v>
          </cell>
          <cell r="D516" t="str">
            <v>GNANGBADE</v>
          </cell>
          <cell r="E516">
            <v>70997293</v>
          </cell>
          <cell r="F516" t="str">
            <v>2G</v>
          </cell>
          <cell r="G516"/>
          <cell r="H516"/>
          <cell r="I516"/>
          <cell r="J516"/>
          <cell r="K516"/>
          <cell r="L516"/>
          <cell r="M516"/>
        </row>
        <row r="517">
          <cell r="A517" t="str">
            <v>EASY CONCEPT</v>
          </cell>
          <cell r="B517" t="str">
            <v>LOM-030</v>
          </cell>
          <cell r="C517" t="str">
            <v>LOME</v>
          </cell>
          <cell r="D517" t="str">
            <v>GOLF CLUB</v>
          </cell>
          <cell r="E517">
            <v>70996820</v>
          </cell>
          <cell r="F517" t="str">
            <v>2G</v>
          </cell>
          <cell r="G517"/>
          <cell r="H517"/>
          <cell r="I517"/>
          <cell r="J517"/>
          <cell r="K517"/>
          <cell r="L517"/>
          <cell r="M517"/>
        </row>
        <row r="518">
          <cell r="A518" t="str">
            <v>EASY CONCEPT</v>
          </cell>
          <cell r="B518" t="str">
            <v>CEN-058</v>
          </cell>
          <cell r="C518" t="str">
            <v>CENTRALE</v>
          </cell>
          <cell r="D518" t="str">
            <v>GOUBI</v>
          </cell>
          <cell r="E518">
            <v>70996821</v>
          </cell>
          <cell r="F518" t="str">
            <v>2G</v>
          </cell>
          <cell r="G518"/>
          <cell r="H518"/>
          <cell r="I518"/>
          <cell r="J518"/>
          <cell r="K518"/>
          <cell r="L518"/>
          <cell r="M518"/>
        </row>
        <row r="519">
          <cell r="A519" t="str">
            <v>MRG</v>
          </cell>
          <cell r="B519"/>
          <cell r="C519" t="str">
            <v>CENTRALE</v>
          </cell>
          <cell r="D519" t="str">
            <v>GOUBI</v>
          </cell>
          <cell r="E519" t="str">
            <v>70996821</v>
          </cell>
          <cell r="F519" t="str">
            <v>Android</v>
          </cell>
          <cell r="G519"/>
          <cell r="H519"/>
          <cell r="I519"/>
          <cell r="J519"/>
          <cell r="K519"/>
          <cell r="L519"/>
          <cell r="M519"/>
        </row>
        <row r="520">
          <cell r="A520" t="str">
            <v>MRG</v>
          </cell>
          <cell r="B520" t="str">
            <v>PLA-069</v>
          </cell>
          <cell r="C520" t="str">
            <v>PLATEAUX</v>
          </cell>
          <cell r="D520" t="str">
            <v>GOUDEVE</v>
          </cell>
          <cell r="E520">
            <v>70996822</v>
          </cell>
          <cell r="F520" t="str">
            <v>2G</v>
          </cell>
          <cell r="G520"/>
          <cell r="H520"/>
          <cell r="I520"/>
          <cell r="J520"/>
          <cell r="K520"/>
          <cell r="L520"/>
          <cell r="M520"/>
        </row>
        <row r="521">
          <cell r="A521" t="str">
            <v>MRG</v>
          </cell>
          <cell r="B521" t="str">
            <v>KAR-109</v>
          </cell>
          <cell r="C521" t="str">
            <v>KARA</v>
          </cell>
          <cell r="D521" t="str">
            <v>GOULBI</v>
          </cell>
          <cell r="E521">
            <v>70996823</v>
          </cell>
          <cell r="F521" t="str">
            <v>2G</v>
          </cell>
          <cell r="G521"/>
          <cell r="H521"/>
          <cell r="I521"/>
          <cell r="J521"/>
          <cell r="K521"/>
          <cell r="L521"/>
          <cell r="M521"/>
        </row>
        <row r="522">
          <cell r="A522" t="str">
            <v>MRG</v>
          </cell>
          <cell r="B522"/>
          <cell r="C522" t="str">
            <v>KARA</v>
          </cell>
          <cell r="D522" t="str">
            <v>GOULBI</v>
          </cell>
          <cell r="E522" t="str">
            <v>70996823</v>
          </cell>
          <cell r="F522" t="str">
            <v>Android</v>
          </cell>
          <cell r="G522"/>
          <cell r="H522"/>
          <cell r="I522"/>
          <cell r="J522"/>
          <cell r="K522"/>
          <cell r="L522"/>
          <cell r="M522"/>
        </row>
        <row r="523">
          <cell r="A523" t="str">
            <v>EASY CONCEPT</v>
          </cell>
          <cell r="B523" t="str">
            <v>SAV-013</v>
          </cell>
          <cell r="C523" t="str">
            <v>SAVANES</v>
          </cell>
          <cell r="D523" t="str">
            <v>GOULOUNGOUSSI</v>
          </cell>
          <cell r="E523">
            <v>70996824</v>
          </cell>
          <cell r="F523" t="str">
            <v>2G</v>
          </cell>
          <cell r="G523"/>
          <cell r="H523"/>
          <cell r="I523"/>
          <cell r="J523"/>
          <cell r="K523"/>
          <cell r="L523"/>
          <cell r="M523"/>
        </row>
        <row r="524">
          <cell r="A524" t="str">
            <v>MRG</v>
          </cell>
          <cell r="B524" t="str">
            <v>LOM-107</v>
          </cell>
          <cell r="C524" t="str">
            <v>LOME</v>
          </cell>
          <cell r="D524" t="str">
            <v>GTA</v>
          </cell>
          <cell r="E524">
            <v>70996825</v>
          </cell>
          <cell r="F524" t="str">
            <v>2G</v>
          </cell>
          <cell r="G524"/>
          <cell r="H524"/>
          <cell r="I524"/>
          <cell r="J524"/>
          <cell r="K524"/>
          <cell r="L524"/>
          <cell r="M524"/>
        </row>
        <row r="525">
          <cell r="A525" t="str">
            <v>MRG</v>
          </cell>
          <cell r="B525"/>
          <cell r="C525" t="str">
            <v>KARA</v>
          </cell>
          <cell r="D525" t="str">
            <v>GUERIN KOUKA1</v>
          </cell>
          <cell r="E525" t="str">
            <v>70996907</v>
          </cell>
          <cell r="F525" t="str">
            <v>Android</v>
          </cell>
          <cell r="G525"/>
          <cell r="H525"/>
          <cell r="I525"/>
          <cell r="J525"/>
          <cell r="K525"/>
          <cell r="L525"/>
          <cell r="M525"/>
        </row>
        <row r="526">
          <cell r="A526" t="str">
            <v>MRG</v>
          </cell>
          <cell r="B526" t="str">
            <v>PLA-057</v>
          </cell>
          <cell r="C526" t="str">
            <v>PLATEAUX</v>
          </cell>
          <cell r="D526" t="str">
            <v>HAHOMEGBE</v>
          </cell>
          <cell r="E526">
            <v>70996826</v>
          </cell>
          <cell r="F526" t="str">
            <v>2G</v>
          </cell>
          <cell r="G526"/>
          <cell r="H526"/>
          <cell r="I526"/>
          <cell r="J526"/>
          <cell r="K526"/>
          <cell r="L526"/>
          <cell r="M526"/>
        </row>
        <row r="527">
          <cell r="A527" t="str">
            <v>MRG</v>
          </cell>
          <cell r="B527" t="str">
            <v>MAR-022</v>
          </cell>
          <cell r="C527" t="str">
            <v>MARITIME</v>
          </cell>
          <cell r="D527" t="str">
            <v>HAHOTOE</v>
          </cell>
          <cell r="E527">
            <v>70996827</v>
          </cell>
          <cell r="F527" t="str">
            <v>2G</v>
          </cell>
          <cell r="G527"/>
          <cell r="H527"/>
          <cell r="I527"/>
          <cell r="J527"/>
          <cell r="K527"/>
          <cell r="L527"/>
          <cell r="M527"/>
        </row>
        <row r="528">
          <cell r="A528" t="str">
            <v>MRG</v>
          </cell>
          <cell r="B528"/>
          <cell r="C528"/>
          <cell r="D528" t="str">
            <v>HAHOTOE</v>
          </cell>
          <cell r="E528"/>
          <cell r="F528"/>
          <cell r="G528"/>
          <cell r="H528"/>
          <cell r="I528"/>
          <cell r="J528"/>
          <cell r="K528"/>
          <cell r="L528"/>
          <cell r="M528"/>
        </row>
        <row r="529">
          <cell r="A529" t="str">
            <v>MRG</v>
          </cell>
          <cell r="B529" t="str">
            <v>MAR-023</v>
          </cell>
          <cell r="C529" t="str">
            <v>MARITIME</v>
          </cell>
          <cell r="D529" t="str">
            <v>HAHOTOE-KPODJI</v>
          </cell>
          <cell r="E529">
            <v>70996828</v>
          </cell>
          <cell r="F529" t="str">
            <v>2G</v>
          </cell>
          <cell r="G529"/>
          <cell r="H529"/>
          <cell r="I529"/>
          <cell r="J529"/>
          <cell r="K529"/>
          <cell r="L529"/>
          <cell r="M529"/>
        </row>
        <row r="530">
          <cell r="A530" t="str">
            <v>EASY CONCEPT</v>
          </cell>
          <cell r="B530" t="str">
            <v>CEN-080</v>
          </cell>
          <cell r="C530" t="str">
            <v>CENTRALE</v>
          </cell>
          <cell r="D530" t="str">
            <v>HALOUKPABOUNDOU</v>
          </cell>
          <cell r="E530">
            <v>70996830</v>
          </cell>
          <cell r="F530" t="str">
            <v>2G</v>
          </cell>
          <cell r="G530"/>
          <cell r="H530"/>
          <cell r="I530"/>
          <cell r="J530"/>
          <cell r="K530"/>
          <cell r="L530"/>
          <cell r="M530"/>
        </row>
        <row r="531">
          <cell r="A531" t="str">
            <v>EASY CONCEPT</v>
          </cell>
          <cell r="B531"/>
          <cell r="C531" t="str">
            <v>CENTRALE</v>
          </cell>
          <cell r="D531" t="str">
            <v>HALOUKPABOUNDOU</v>
          </cell>
          <cell r="E531" t="str">
            <v>70996830</v>
          </cell>
          <cell r="F531" t="str">
            <v>Android</v>
          </cell>
          <cell r="G531"/>
          <cell r="H531"/>
          <cell r="I531"/>
          <cell r="J531"/>
          <cell r="K531"/>
          <cell r="L531"/>
          <cell r="M531"/>
        </row>
        <row r="532">
          <cell r="A532" t="str">
            <v>MRG</v>
          </cell>
          <cell r="B532" t="str">
            <v>LOM-137</v>
          </cell>
          <cell r="C532" t="str">
            <v>LOME</v>
          </cell>
          <cell r="D532" t="str">
            <v>HANOUKOPE</v>
          </cell>
          <cell r="E532">
            <v>70996436</v>
          </cell>
          <cell r="F532" t="str">
            <v>2G</v>
          </cell>
          <cell r="G532"/>
          <cell r="H532"/>
          <cell r="I532"/>
          <cell r="J532"/>
          <cell r="K532"/>
          <cell r="L532"/>
          <cell r="M532"/>
        </row>
        <row r="533">
          <cell r="A533" t="str">
            <v>MRG</v>
          </cell>
          <cell r="B533" t="str">
            <v>PLA-014</v>
          </cell>
          <cell r="C533" t="str">
            <v>PLATEAUX</v>
          </cell>
          <cell r="D533" t="str">
            <v>HANYIGBA</v>
          </cell>
          <cell r="E533">
            <v>70996831</v>
          </cell>
          <cell r="F533" t="str">
            <v>2G</v>
          </cell>
          <cell r="G533"/>
          <cell r="H533"/>
          <cell r="I533"/>
          <cell r="J533"/>
          <cell r="K533"/>
          <cell r="L533"/>
          <cell r="M533"/>
        </row>
        <row r="534">
          <cell r="A534" t="str">
            <v>EASY CONCEPT</v>
          </cell>
          <cell r="B534" t="str">
            <v>PLA-204</v>
          </cell>
          <cell r="C534" t="str">
            <v>PLATEAUX</v>
          </cell>
          <cell r="D534" t="str">
            <v>HANYIGBA TODJI</v>
          </cell>
          <cell r="E534">
            <v>70996410</v>
          </cell>
          <cell r="F534" t="str">
            <v>2G</v>
          </cell>
          <cell r="G534"/>
          <cell r="H534"/>
          <cell r="I534"/>
          <cell r="J534"/>
          <cell r="K534"/>
          <cell r="L534"/>
          <cell r="M534"/>
        </row>
        <row r="535">
          <cell r="A535" t="str">
            <v>EASY CONCEPT</v>
          </cell>
          <cell r="B535" t="str">
            <v>MAR-074</v>
          </cell>
          <cell r="C535" t="str">
            <v>MARITIME</v>
          </cell>
          <cell r="D535" t="str">
            <v>HAVE</v>
          </cell>
          <cell r="E535">
            <v>70996832</v>
          </cell>
          <cell r="F535" t="str">
            <v>2G</v>
          </cell>
          <cell r="G535"/>
          <cell r="H535"/>
          <cell r="I535"/>
          <cell r="J535"/>
          <cell r="K535"/>
          <cell r="L535"/>
          <cell r="M535"/>
        </row>
        <row r="536">
          <cell r="A536" t="str">
            <v>EASY CONCEPT</v>
          </cell>
          <cell r="B536" t="str">
            <v>LOM-098</v>
          </cell>
          <cell r="C536" t="str">
            <v>LOME</v>
          </cell>
          <cell r="D536" t="str">
            <v>HEDZRANAWOE 2</v>
          </cell>
          <cell r="E536">
            <v>70996833</v>
          </cell>
          <cell r="F536" t="str">
            <v>2G</v>
          </cell>
          <cell r="G536"/>
          <cell r="H536"/>
          <cell r="I536"/>
          <cell r="J536"/>
          <cell r="K536"/>
          <cell r="L536"/>
          <cell r="M536"/>
        </row>
        <row r="537">
          <cell r="A537" t="str">
            <v>EASY CONCEPT</v>
          </cell>
          <cell r="B537" t="str">
            <v>LOM-100</v>
          </cell>
          <cell r="C537" t="str">
            <v>LOME</v>
          </cell>
          <cell r="D537" t="str">
            <v>HEDZRANAWOE 3</v>
          </cell>
          <cell r="E537">
            <v>70996835</v>
          </cell>
          <cell r="F537" t="str">
            <v>2G</v>
          </cell>
          <cell r="G537"/>
          <cell r="H537"/>
          <cell r="I537"/>
          <cell r="J537"/>
          <cell r="K537"/>
          <cell r="L537"/>
          <cell r="M537"/>
        </row>
        <row r="538">
          <cell r="A538" t="str">
            <v>EASY CONCEPT</v>
          </cell>
          <cell r="B538" t="str">
            <v>LOM-099</v>
          </cell>
          <cell r="C538" t="str">
            <v>LOME</v>
          </cell>
          <cell r="D538" t="str">
            <v>HEDZRANAWOE 4</v>
          </cell>
          <cell r="E538">
            <v>70996844</v>
          </cell>
          <cell r="F538" t="str">
            <v>2G</v>
          </cell>
          <cell r="G538"/>
          <cell r="H538"/>
          <cell r="I538"/>
          <cell r="J538"/>
          <cell r="K538"/>
          <cell r="L538"/>
          <cell r="M538"/>
        </row>
        <row r="539">
          <cell r="A539" t="str">
            <v>MRG</v>
          </cell>
          <cell r="B539" t="str">
            <v>KAR-048</v>
          </cell>
          <cell r="C539" t="str">
            <v>KARA</v>
          </cell>
          <cell r="D539" t="str">
            <v>HELOTA</v>
          </cell>
          <cell r="E539">
            <v>70996836</v>
          </cell>
          <cell r="F539" t="str">
            <v>2G</v>
          </cell>
          <cell r="G539"/>
          <cell r="H539"/>
          <cell r="I539"/>
          <cell r="J539"/>
          <cell r="K539"/>
          <cell r="L539"/>
          <cell r="M539"/>
        </row>
        <row r="540">
          <cell r="A540" t="str">
            <v>MRG</v>
          </cell>
          <cell r="B540"/>
          <cell r="C540" t="str">
            <v>KARA</v>
          </cell>
          <cell r="D540" t="str">
            <v>HELOTA</v>
          </cell>
          <cell r="E540" t="str">
            <v>70996836</v>
          </cell>
          <cell r="F540" t="str">
            <v>Android</v>
          </cell>
          <cell r="G540"/>
          <cell r="H540"/>
          <cell r="I540"/>
          <cell r="J540"/>
          <cell r="K540"/>
          <cell r="L540"/>
          <cell r="M540"/>
        </row>
        <row r="541">
          <cell r="A541" t="str">
            <v>EASY CONCEPT</v>
          </cell>
          <cell r="B541" t="str">
            <v>CEN-059</v>
          </cell>
          <cell r="C541" t="str">
            <v>CENTRALE</v>
          </cell>
          <cell r="D541" t="str">
            <v>HEZOUDE</v>
          </cell>
          <cell r="E541">
            <v>70996837</v>
          </cell>
          <cell r="F541" t="str">
            <v>2G</v>
          </cell>
          <cell r="G541"/>
          <cell r="H541"/>
          <cell r="I541"/>
          <cell r="J541"/>
          <cell r="K541"/>
          <cell r="L541"/>
          <cell r="M541"/>
        </row>
        <row r="542">
          <cell r="A542" t="str">
            <v>EASY CONCEPT</v>
          </cell>
          <cell r="B542"/>
          <cell r="C542" t="str">
            <v>CENTRALE</v>
          </cell>
          <cell r="D542" t="str">
            <v>HEZOUDE</v>
          </cell>
          <cell r="E542" t="str">
            <v>70996837</v>
          </cell>
          <cell r="F542" t="str">
            <v>Android</v>
          </cell>
          <cell r="G542"/>
          <cell r="H542"/>
          <cell r="I542"/>
          <cell r="J542"/>
          <cell r="K542"/>
          <cell r="L542"/>
          <cell r="M542"/>
        </row>
        <row r="543">
          <cell r="A543" t="str">
            <v>EASY CONCEPT</v>
          </cell>
          <cell r="B543" t="str">
            <v>CEN-114</v>
          </cell>
          <cell r="C543" t="str">
            <v>CENTRALE</v>
          </cell>
          <cell r="D543" t="str">
            <v>HEZOUWE</v>
          </cell>
          <cell r="E543">
            <v>70997377</v>
          </cell>
          <cell r="F543" t="str">
            <v>2G</v>
          </cell>
          <cell r="G543"/>
          <cell r="H543"/>
          <cell r="I543"/>
          <cell r="J543"/>
          <cell r="K543"/>
          <cell r="L543"/>
          <cell r="M543"/>
        </row>
        <row r="544">
          <cell r="A544" t="str">
            <v>EASY CONCEPT</v>
          </cell>
          <cell r="B544" t="str">
            <v>PLA-011</v>
          </cell>
          <cell r="C544" t="str">
            <v>PLATEAUX</v>
          </cell>
          <cell r="D544" t="str">
            <v>HIHEATRO</v>
          </cell>
          <cell r="E544">
            <v>70996838</v>
          </cell>
          <cell r="F544" t="str">
            <v>2G</v>
          </cell>
          <cell r="G544"/>
          <cell r="H544"/>
          <cell r="I544"/>
          <cell r="J544"/>
          <cell r="K544"/>
          <cell r="L544"/>
          <cell r="M544"/>
        </row>
        <row r="545">
          <cell r="A545" t="str">
            <v>MRG</v>
          </cell>
          <cell r="B545"/>
          <cell r="C545"/>
          <cell r="D545" t="str">
            <v>HIHEATRO</v>
          </cell>
          <cell r="E545"/>
          <cell r="F545"/>
          <cell r="G545"/>
          <cell r="H545"/>
          <cell r="I545"/>
          <cell r="J545"/>
          <cell r="K545"/>
          <cell r="L545"/>
          <cell r="M545"/>
        </row>
        <row r="546">
          <cell r="A546" t="str">
            <v>MRG</v>
          </cell>
          <cell r="B546" t="str">
            <v>PLA-194</v>
          </cell>
          <cell r="C546" t="str">
            <v>PLATEAUX</v>
          </cell>
          <cell r="D546" t="str">
            <v>HIHEATRO 2</v>
          </cell>
          <cell r="E546">
            <v>70996475</v>
          </cell>
          <cell r="F546" t="str">
            <v>2G</v>
          </cell>
          <cell r="G546"/>
          <cell r="H546"/>
          <cell r="I546"/>
          <cell r="J546"/>
          <cell r="K546"/>
          <cell r="L546"/>
          <cell r="M546"/>
        </row>
        <row r="547">
          <cell r="A547" t="str">
            <v>SSV</v>
          </cell>
          <cell r="B547" t="str">
            <v>LOM-101</v>
          </cell>
          <cell r="C547" t="str">
            <v>LOME</v>
          </cell>
          <cell r="D547" t="str">
            <v>HOUNTIGOME</v>
          </cell>
          <cell r="E547">
            <v>70996839</v>
          </cell>
          <cell r="F547" t="str">
            <v>2G</v>
          </cell>
          <cell r="G547"/>
          <cell r="H547"/>
          <cell r="I547"/>
          <cell r="J547"/>
          <cell r="K547"/>
          <cell r="L547"/>
          <cell r="M547"/>
        </row>
        <row r="548">
          <cell r="A548" t="str">
            <v>EASY CONCEPT</v>
          </cell>
          <cell r="B548"/>
          <cell r="C548"/>
          <cell r="D548" t="str">
            <v>HOUNTIGOME 1</v>
          </cell>
          <cell r="E548"/>
          <cell r="F548"/>
          <cell r="G548"/>
          <cell r="H548"/>
          <cell r="I548"/>
          <cell r="J548"/>
          <cell r="K548"/>
          <cell r="L548"/>
          <cell r="M548"/>
        </row>
        <row r="549">
          <cell r="A549" t="str">
            <v>SSV</v>
          </cell>
          <cell r="B549" t="str">
            <v>LOM-132</v>
          </cell>
          <cell r="C549" t="str">
            <v>LOME</v>
          </cell>
          <cell r="D549" t="str">
            <v>HOUNTIGOME 2</v>
          </cell>
          <cell r="E549">
            <v>70996840</v>
          </cell>
          <cell r="F549" t="str">
            <v>2G</v>
          </cell>
          <cell r="G549"/>
          <cell r="H549"/>
          <cell r="I549"/>
          <cell r="J549"/>
          <cell r="K549"/>
          <cell r="L549"/>
          <cell r="M549"/>
        </row>
        <row r="550">
          <cell r="A550" t="str">
            <v>EASY CONCEPT</v>
          </cell>
          <cell r="B550" t="str">
            <v>PLA-135</v>
          </cell>
          <cell r="C550" t="str">
            <v>PLATEAUX</v>
          </cell>
          <cell r="D550" t="str">
            <v>HUILEHUI</v>
          </cell>
          <cell r="E550">
            <v>70996841</v>
          </cell>
          <cell r="F550" t="str">
            <v>2G</v>
          </cell>
          <cell r="G550"/>
          <cell r="H550"/>
          <cell r="I550"/>
          <cell r="J550"/>
          <cell r="K550"/>
          <cell r="L550"/>
          <cell r="M550"/>
        </row>
        <row r="551">
          <cell r="A551" t="str">
            <v>EASY CONCEPT</v>
          </cell>
          <cell r="B551"/>
          <cell r="C551" t="str">
            <v>PLATEAUX</v>
          </cell>
          <cell r="D551" t="str">
            <v>HUILEHUI</v>
          </cell>
          <cell r="E551" t="str">
            <v>70996841</v>
          </cell>
          <cell r="F551" t="str">
            <v>Android</v>
          </cell>
          <cell r="G551"/>
          <cell r="H551"/>
          <cell r="I551"/>
          <cell r="J551"/>
          <cell r="K551"/>
          <cell r="L551"/>
          <cell r="M551"/>
        </row>
        <row r="552">
          <cell r="A552" t="str">
            <v>EASY CONCEPT</v>
          </cell>
          <cell r="B552" t="str">
            <v>KAR-065</v>
          </cell>
          <cell r="C552" t="str">
            <v>KARA</v>
          </cell>
          <cell r="D552" t="str">
            <v>IBOBO</v>
          </cell>
          <cell r="E552">
            <v>70996842</v>
          </cell>
          <cell r="F552" t="str">
            <v>2G</v>
          </cell>
          <cell r="G552"/>
          <cell r="H552"/>
          <cell r="I552"/>
          <cell r="J552"/>
          <cell r="K552"/>
          <cell r="L552"/>
          <cell r="M552"/>
        </row>
        <row r="553">
          <cell r="A553" t="str">
            <v>EASY CONCEPT</v>
          </cell>
          <cell r="B553"/>
          <cell r="C553" t="str">
            <v>KARA</v>
          </cell>
          <cell r="D553" t="str">
            <v>IBOBO</v>
          </cell>
          <cell r="E553" t="str">
            <v>70996842</v>
          </cell>
          <cell r="F553" t="str">
            <v>Android</v>
          </cell>
          <cell r="G553"/>
          <cell r="H553"/>
          <cell r="I553"/>
          <cell r="J553"/>
          <cell r="K553"/>
          <cell r="L553"/>
          <cell r="M553"/>
        </row>
        <row r="554">
          <cell r="A554" t="str">
            <v>EASY CONCEPT</v>
          </cell>
          <cell r="B554" t="str">
            <v>PLA-075</v>
          </cell>
          <cell r="C554" t="str">
            <v>PLATEAUX</v>
          </cell>
          <cell r="D554" t="str">
            <v>IGBEVE</v>
          </cell>
          <cell r="E554">
            <v>70996843</v>
          </cell>
          <cell r="F554" t="str">
            <v>2G</v>
          </cell>
          <cell r="G554"/>
          <cell r="H554"/>
          <cell r="I554"/>
          <cell r="J554"/>
          <cell r="K554"/>
          <cell r="L554"/>
          <cell r="M554"/>
        </row>
        <row r="555">
          <cell r="A555" t="str">
            <v>EASY CONCEPT</v>
          </cell>
          <cell r="B555"/>
          <cell r="C555" t="str">
            <v>PLATEAUX</v>
          </cell>
          <cell r="D555" t="str">
            <v>IGBEVE</v>
          </cell>
          <cell r="E555" t="str">
            <v>70996843</v>
          </cell>
          <cell r="F555" t="str">
            <v>Android</v>
          </cell>
          <cell r="G555"/>
          <cell r="H555"/>
          <cell r="I555"/>
          <cell r="J555"/>
          <cell r="K555"/>
          <cell r="L555"/>
          <cell r="M555"/>
        </row>
        <row r="556">
          <cell r="A556" t="str">
            <v>EASY CONCEPT</v>
          </cell>
          <cell r="B556"/>
          <cell r="C556" t="str">
            <v>PLATEAUX</v>
          </cell>
          <cell r="D556" t="str">
            <v>IGBOLOUDJA</v>
          </cell>
          <cell r="E556" t="str">
            <v>70996844</v>
          </cell>
          <cell r="F556" t="str">
            <v>Android</v>
          </cell>
          <cell r="G556"/>
          <cell r="H556"/>
          <cell r="I556"/>
          <cell r="J556"/>
          <cell r="K556"/>
          <cell r="L556"/>
          <cell r="M556"/>
        </row>
        <row r="557">
          <cell r="A557" t="str">
            <v>EASY CONCEPT</v>
          </cell>
          <cell r="B557" t="str">
            <v>PLA-229</v>
          </cell>
          <cell r="C557" t="str">
            <v>PLATEAUX</v>
          </cell>
          <cell r="D557" t="str">
            <v>ILEKOHAN</v>
          </cell>
          <cell r="E557">
            <v>70996503</v>
          </cell>
          <cell r="F557" t="str">
            <v>2G</v>
          </cell>
          <cell r="G557"/>
          <cell r="H557"/>
          <cell r="I557"/>
          <cell r="J557"/>
          <cell r="K557"/>
          <cell r="L557"/>
          <cell r="M557"/>
        </row>
        <row r="558">
          <cell r="A558" t="str">
            <v>EASY CONCEPT</v>
          </cell>
          <cell r="B558" t="str">
            <v>KAR-144</v>
          </cell>
          <cell r="C558" t="str">
            <v>KARA</v>
          </cell>
          <cell r="D558" t="str">
            <v>INIBA</v>
          </cell>
          <cell r="E558">
            <v>70997268</v>
          </cell>
          <cell r="F558" t="str">
            <v>2G</v>
          </cell>
          <cell r="G558"/>
          <cell r="H558"/>
          <cell r="I558"/>
          <cell r="J558"/>
          <cell r="K558"/>
          <cell r="L558"/>
          <cell r="M558"/>
        </row>
        <row r="559">
          <cell r="A559" t="str">
            <v>EASY CONCEPT</v>
          </cell>
          <cell r="B559" t="str">
            <v>PLA-036</v>
          </cell>
          <cell r="C559" t="str">
            <v>PLATEAUX</v>
          </cell>
          <cell r="D559" t="str">
            <v>ISATI</v>
          </cell>
          <cell r="E559">
            <v>70996845</v>
          </cell>
          <cell r="F559" t="str">
            <v>2G</v>
          </cell>
          <cell r="G559"/>
          <cell r="H559"/>
          <cell r="I559"/>
          <cell r="J559"/>
          <cell r="K559"/>
          <cell r="L559"/>
          <cell r="M559"/>
        </row>
        <row r="560">
          <cell r="A560" t="str">
            <v>EASY CONCEPT</v>
          </cell>
          <cell r="B560"/>
          <cell r="C560" t="str">
            <v>PLATEAUX</v>
          </cell>
          <cell r="D560" t="str">
            <v>ISATI</v>
          </cell>
          <cell r="E560" t="str">
            <v>70996845</v>
          </cell>
          <cell r="F560" t="str">
            <v>Android</v>
          </cell>
          <cell r="G560"/>
          <cell r="H560"/>
          <cell r="I560"/>
          <cell r="J560"/>
          <cell r="K560"/>
          <cell r="L560"/>
          <cell r="M560"/>
        </row>
        <row r="561">
          <cell r="A561" t="str">
            <v>EASY CONCEPT</v>
          </cell>
          <cell r="B561" t="str">
            <v>PLA-182</v>
          </cell>
          <cell r="C561" t="str">
            <v>PLATEAUX</v>
          </cell>
          <cell r="D561" t="str">
            <v>ITOKOUBE</v>
          </cell>
          <cell r="E561">
            <v>70996846</v>
          </cell>
          <cell r="F561" t="str">
            <v>2G</v>
          </cell>
          <cell r="G561"/>
          <cell r="H561"/>
          <cell r="I561"/>
          <cell r="J561"/>
          <cell r="K561"/>
          <cell r="L561"/>
          <cell r="M561"/>
        </row>
        <row r="562">
          <cell r="A562" t="str">
            <v>EASY CONCEPT</v>
          </cell>
          <cell r="B562"/>
          <cell r="C562" t="str">
            <v>PLATEAUX</v>
          </cell>
          <cell r="D562" t="str">
            <v>ITOKOUBE</v>
          </cell>
          <cell r="E562" t="str">
            <v>70996846</v>
          </cell>
          <cell r="F562" t="str">
            <v>Android</v>
          </cell>
          <cell r="G562"/>
          <cell r="H562"/>
          <cell r="I562"/>
          <cell r="J562"/>
          <cell r="K562"/>
          <cell r="L562"/>
          <cell r="M562"/>
        </row>
        <row r="563">
          <cell r="A563" t="str">
            <v>EASY CONCEPT</v>
          </cell>
          <cell r="B563" t="str">
            <v>PLA-099</v>
          </cell>
          <cell r="C563" t="str">
            <v>PLATEAUX</v>
          </cell>
          <cell r="D563" t="str">
            <v>KABAGNI</v>
          </cell>
          <cell r="E563">
            <v>70996847</v>
          </cell>
          <cell r="F563" t="str">
            <v>2G</v>
          </cell>
          <cell r="G563"/>
          <cell r="H563"/>
          <cell r="I563"/>
          <cell r="J563"/>
          <cell r="K563"/>
          <cell r="L563"/>
          <cell r="M563"/>
        </row>
        <row r="564">
          <cell r="A564" t="str">
            <v>EASY CONCEPT</v>
          </cell>
          <cell r="B564"/>
          <cell r="C564" t="str">
            <v>PLATEAUX</v>
          </cell>
          <cell r="D564" t="str">
            <v>KABAGNI</v>
          </cell>
          <cell r="E564" t="str">
            <v>70996847</v>
          </cell>
          <cell r="F564" t="str">
            <v>Android</v>
          </cell>
          <cell r="G564"/>
          <cell r="H564"/>
          <cell r="I564"/>
          <cell r="J564"/>
          <cell r="K564"/>
          <cell r="L564"/>
          <cell r="M564"/>
        </row>
        <row r="565">
          <cell r="A565" t="str">
            <v>EASY CONCEPT</v>
          </cell>
          <cell r="B565" t="str">
            <v>KAR-080</v>
          </cell>
          <cell r="C565" t="str">
            <v>KARA</v>
          </cell>
          <cell r="D565" t="str">
            <v>KABOU</v>
          </cell>
          <cell r="E565">
            <v>70996848</v>
          </cell>
          <cell r="F565" t="str">
            <v>2G</v>
          </cell>
          <cell r="G565"/>
          <cell r="H565"/>
          <cell r="I565"/>
          <cell r="J565"/>
          <cell r="K565"/>
          <cell r="L565"/>
          <cell r="M565"/>
        </row>
        <row r="566">
          <cell r="A566" t="str">
            <v>EASY CONCEPT</v>
          </cell>
          <cell r="B566"/>
          <cell r="C566" t="str">
            <v>KARA</v>
          </cell>
          <cell r="D566" t="str">
            <v>KABOU</v>
          </cell>
          <cell r="E566" t="str">
            <v>70996848</v>
          </cell>
          <cell r="F566" t="str">
            <v>Android</v>
          </cell>
          <cell r="G566"/>
          <cell r="H566"/>
          <cell r="I566"/>
          <cell r="J566"/>
          <cell r="K566"/>
          <cell r="L566"/>
          <cell r="M566"/>
        </row>
        <row r="567">
          <cell r="A567" t="str">
            <v>EASY CONCEPT</v>
          </cell>
          <cell r="B567" t="str">
            <v>PLA-178</v>
          </cell>
          <cell r="C567" t="str">
            <v>PLATEAUX</v>
          </cell>
          <cell r="D567" t="str">
            <v>KADJAFE</v>
          </cell>
          <cell r="E567">
            <v>70996849</v>
          </cell>
          <cell r="F567" t="str">
            <v>2G</v>
          </cell>
          <cell r="G567"/>
          <cell r="H567"/>
          <cell r="I567"/>
          <cell r="J567"/>
          <cell r="K567"/>
          <cell r="L567"/>
          <cell r="M567"/>
        </row>
        <row r="568">
          <cell r="A568" t="str">
            <v>EASY CONCEPT</v>
          </cell>
          <cell r="B568"/>
          <cell r="C568" t="str">
            <v>PLATEAUX</v>
          </cell>
          <cell r="D568" t="str">
            <v>KADJAFE</v>
          </cell>
          <cell r="E568" t="str">
            <v>70996849</v>
          </cell>
          <cell r="F568" t="str">
            <v>Android</v>
          </cell>
          <cell r="G568"/>
          <cell r="H568"/>
          <cell r="I568"/>
          <cell r="J568"/>
          <cell r="K568"/>
          <cell r="L568"/>
          <cell r="M568"/>
        </row>
        <row r="569">
          <cell r="A569" t="str">
            <v>EASY CONCEPT</v>
          </cell>
          <cell r="B569" t="str">
            <v>KAR-058</v>
          </cell>
          <cell r="C569" t="str">
            <v>KARA</v>
          </cell>
          <cell r="D569" t="str">
            <v>KADJALA</v>
          </cell>
          <cell r="E569">
            <v>70996850</v>
          </cell>
          <cell r="F569" t="str">
            <v>2G</v>
          </cell>
          <cell r="G569"/>
          <cell r="H569"/>
          <cell r="I569"/>
          <cell r="J569"/>
          <cell r="K569"/>
          <cell r="L569"/>
          <cell r="M569"/>
        </row>
        <row r="570">
          <cell r="A570" t="str">
            <v>EASY CONCEPT</v>
          </cell>
          <cell r="B570" t="str">
            <v>KAR-129</v>
          </cell>
          <cell r="C570" t="str">
            <v>KARA</v>
          </cell>
          <cell r="D570" t="str">
            <v>KADOGOU</v>
          </cell>
          <cell r="E570">
            <v>70996851</v>
          </cell>
          <cell r="F570" t="str">
            <v>2G</v>
          </cell>
          <cell r="G570"/>
          <cell r="H570"/>
          <cell r="I570"/>
          <cell r="J570"/>
          <cell r="K570"/>
          <cell r="L570"/>
          <cell r="M570"/>
        </row>
        <row r="571">
          <cell r="A571" t="str">
            <v>EASY CONCEPT</v>
          </cell>
          <cell r="B571"/>
          <cell r="C571" t="str">
            <v>KARA</v>
          </cell>
          <cell r="D571" t="str">
            <v>KADOGOU</v>
          </cell>
          <cell r="E571" t="str">
            <v>70996851</v>
          </cell>
          <cell r="F571" t="str">
            <v>Android</v>
          </cell>
          <cell r="G571"/>
          <cell r="H571"/>
          <cell r="I571"/>
          <cell r="J571"/>
          <cell r="K571"/>
          <cell r="L571"/>
          <cell r="M571"/>
        </row>
        <row r="572">
          <cell r="A572" t="str">
            <v>EASY CONCEPT</v>
          </cell>
          <cell r="B572" t="str">
            <v>CEN-024</v>
          </cell>
          <cell r="C572" t="str">
            <v>CENTRALE</v>
          </cell>
          <cell r="D572" t="str">
            <v>KAGNIGBARA</v>
          </cell>
          <cell r="E572">
            <v>70996852</v>
          </cell>
          <cell r="F572" t="str">
            <v>2G</v>
          </cell>
          <cell r="G572"/>
          <cell r="H572"/>
          <cell r="I572"/>
          <cell r="J572"/>
          <cell r="K572"/>
          <cell r="L572"/>
          <cell r="M572"/>
        </row>
        <row r="573">
          <cell r="A573" t="str">
            <v>EASY CONCEPT</v>
          </cell>
          <cell r="B573"/>
          <cell r="C573" t="str">
            <v>KARA</v>
          </cell>
          <cell r="D573" t="str">
            <v>KAGNIGBARA</v>
          </cell>
          <cell r="E573" t="str">
            <v>70996852</v>
          </cell>
          <cell r="F573" t="str">
            <v>Android</v>
          </cell>
          <cell r="G573"/>
          <cell r="H573"/>
          <cell r="I573"/>
          <cell r="J573"/>
          <cell r="K573"/>
          <cell r="L573"/>
          <cell r="M573"/>
        </row>
        <row r="574">
          <cell r="A574" t="str">
            <v>EASY CONCEPT</v>
          </cell>
          <cell r="B574" t="str">
            <v>LOM-187</v>
          </cell>
          <cell r="C574" t="str">
            <v>LOME</v>
          </cell>
          <cell r="D574" t="str">
            <v>KAGNIKOPE 1</v>
          </cell>
          <cell r="E574">
            <v>70996853</v>
          </cell>
          <cell r="F574" t="str">
            <v>2G</v>
          </cell>
          <cell r="G574"/>
          <cell r="H574"/>
          <cell r="I574"/>
          <cell r="J574"/>
          <cell r="K574"/>
          <cell r="L574"/>
          <cell r="M574"/>
        </row>
        <row r="575">
          <cell r="A575" t="str">
            <v>MRG</v>
          </cell>
          <cell r="B575"/>
          <cell r="C575"/>
          <cell r="D575" t="str">
            <v>KAGNIKOPE 2</v>
          </cell>
          <cell r="E575"/>
          <cell r="F575"/>
          <cell r="G575"/>
          <cell r="H575"/>
          <cell r="I575"/>
          <cell r="J575"/>
          <cell r="K575"/>
          <cell r="L575"/>
          <cell r="M575"/>
        </row>
        <row r="576">
          <cell r="A576" t="str">
            <v>EASY CONCEPT</v>
          </cell>
          <cell r="B576" t="str">
            <v>LOM-209</v>
          </cell>
          <cell r="C576" t="str">
            <v>LOME</v>
          </cell>
          <cell r="D576" t="str">
            <v>KAGOME</v>
          </cell>
          <cell r="E576">
            <v>70996437</v>
          </cell>
          <cell r="F576" t="str">
            <v>2G</v>
          </cell>
          <cell r="G576"/>
          <cell r="H576"/>
          <cell r="I576"/>
          <cell r="J576"/>
          <cell r="K576"/>
          <cell r="L576"/>
          <cell r="M576"/>
        </row>
        <row r="577">
          <cell r="A577" t="str">
            <v>EASY CONCEPT</v>
          </cell>
          <cell r="B577"/>
          <cell r="C577"/>
          <cell r="D577" t="str">
            <v>KAGOME 1</v>
          </cell>
          <cell r="E577"/>
          <cell r="F577"/>
          <cell r="G577"/>
          <cell r="H577"/>
          <cell r="I577"/>
          <cell r="J577"/>
          <cell r="K577"/>
          <cell r="L577"/>
          <cell r="M577"/>
        </row>
        <row r="578">
          <cell r="A578" t="str">
            <v>EASY CONCEPT</v>
          </cell>
          <cell r="B578" t="str">
            <v>KAR-105</v>
          </cell>
          <cell r="C578" t="str">
            <v>KARA</v>
          </cell>
          <cell r="D578" t="str">
            <v>KALANGA</v>
          </cell>
          <cell r="E578">
            <v>70996854</v>
          </cell>
          <cell r="F578" t="str">
            <v>2G</v>
          </cell>
          <cell r="G578"/>
          <cell r="H578"/>
          <cell r="I578"/>
          <cell r="J578"/>
          <cell r="K578"/>
          <cell r="L578"/>
          <cell r="M578"/>
        </row>
        <row r="579">
          <cell r="A579" t="str">
            <v>EASY CONCEPT</v>
          </cell>
          <cell r="B579"/>
          <cell r="C579" t="str">
            <v>KARA</v>
          </cell>
          <cell r="D579" t="str">
            <v>KALANGA</v>
          </cell>
          <cell r="E579" t="str">
            <v>70996854</v>
          </cell>
          <cell r="F579" t="str">
            <v>Android</v>
          </cell>
          <cell r="G579"/>
          <cell r="H579"/>
          <cell r="I579"/>
          <cell r="J579"/>
          <cell r="K579"/>
          <cell r="L579"/>
          <cell r="M579"/>
        </row>
        <row r="580">
          <cell r="A580" t="str">
            <v>MRG</v>
          </cell>
          <cell r="B580" t="str">
            <v>CEN-067</v>
          </cell>
          <cell r="C580" t="str">
            <v>CENTRALE</v>
          </cell>
          <cell r="D580" t="str">
            <v>KAMBOLI</v>
          </cell>
          <cell r="E580">
            <v>70996855</v>
          </cell>
          <cell r="F580" t="str">
            <v>2G</v>
          </cell>
          <cell r="G580"/>
          <cell r="H580"/>
          <cell r="I580"/>
          <cell r="J580"/>
          <cell r="K580"/>
          <cell r="L580"/>
          <cell r="M580"/>
        </row>
        <row r="581">
          <cell r="A581" t="str">
            <v>MRG</v>
          </cell>
          <cell r="B581"/>
          <cell r="C581" t="str">
            <v>CENTRALE</v>
          </cell>
          <cell r="D581" t="str">
            <v>KAMBOLI</v>
          </cell>
          <cell r="E581" t="str">
            <v>70996855</v>
          </cell>
          <cell r="F581" t="str">
            <v>Android</v>
          </cell>
          <cell r="G581"/>
          <cell r="H581"/>
          <cell r="I581"/>
          <cell r="J581"/>
          <cell r="K581"/>
          <cell r="L581"/>
          <cell r="M581"/>
        </row>
        <row r="582">
          <cell r="A582" t="str">
            <v>MRG</v>
          </cell>
          <cell r="B582" t="str">
            <v>PLA-093</v>
          </cell>
          <cell r="C582" t="str">
            <v>PLATEAUX</v>
          </cell>
          <cell r="D582" t="str">
            <v>KAMINA</v>
          </cell>
          <cell r="E582">
            <v>70996856</v>
          </cell>
          <cell r="F582" t="str">
            <v>2G</v>
          </cell>
          <cell r="G582"/>
          <cell r="H582"/>
          <cell r="I582"/>
          <cell r="J582"/>
          <cell r="K582"/>
          <cell r="L582"/>
          <cell r="M582"/>
        </row>
        <row r="583">
          <cell r="A583" t="str">
            <v>MRG</v>
          </cell>
          <cell r="B583"/>
          <cell r="C583" t="str">
            <v>PLATEAUX</v>
          </cell>
          <cell r="D583" t="str">
            <v>KAMINA</v>
          </cell>
          <cell r="E583" t="str">
            <v>70996856</v>
          </cell>
          <cell r="F583" t="str">
            <v>Android</v>
          </cell>
          <cell r="G583"/>
          <cell r="H583"/>
          <cell r="I583"/>
          <cell r="J583"/>
          <cell r="K583"/>
          <cell r="L583"/>
          <cell r="M583"/>
        </row>
        <row r="584">
          <cell r="A584" t="str">
            <v>MRG</v>
          </cell>
          <cell r="B584" t="str">
            <v>SAV-102</v>
          </cell>
          <cell r="C584" t="str">
            <v>SAVANES</v>
          </cell>
          <cell r="D584" t="str">
            <v>KANGOUNOU</v>
          </cell>
          <cell r="E584">
            <v>70997371</v>
          </cell>
          <cell r="F584" t="str">
            <v>2G</v>
          </cell>
          <cell r="G584"/>
          <cell r="H584"/>
          <cell r="I584"/>
          <cell r="J584"/>
          <cell r="K584"/>
          <cell r="L584"/>
          <cell r="M584"/>
        </row>
        <row r="585">
          <cell r="A585" t="str">
            <v>MRG</v>
          </cell>
          <cell r="B585" t="str">
            <v>CEN-038</v>
          </cell>
          <cell r="C585" t="str">
            <v>CENTRALE</v>
          </cell>
          <cell r="D585" t="str">
            <v>KANIAMBOUA</v>
          </cell>
          <cell r="E585">
            <v>70996857</v>
          </cell>
          <cell r="F585" t="str">
            <v>2G</v>
          </cell>
          <cell r="G585"/>
          <cell r="H585"/>
          <cell r="I585"/>
          <cell r="J585"/>
          <cell r="K585"/>
          <cell r="L585"/>
          <cell r="M585"/>
        </row>
        <row r="586">
          <cell r="A586" t="str">
            <v>EASY CONCEPT</v>
          </cell>
          <cell r="B586" t="str">
            <v>SAV-103</v>
          </cell>
          <cell r="C586" t="str">
            <v>SAVANES</v>
          </cell>
          <cell r="D586" t="str">
            <v>KANKANGOU</v>
          </cell>
          <cell r="E586">
            <v>70997260</v>
          </cell>
          <cell r="F586" t="str">
            <v>2G</v>
          </cell>
          <cell r="G586"/>
          <cell r="H586"/>
          <cell r="I586"/>
          <cell r="J586"/>
          <cell r="K586"/>
          <cell r="L586"/>
          <cell r="M586"/>
        </row>
        <row r="587">
          <cell r="A587" t="str">
            <v>EASY CONCEPT</v>
          </cell>
          <cell r="B587" t="str">
            <v>KAR-040</v>
          </cell>
          <cell r="C587" t="str">
            <v>KARA</v>
          </cell>
          <cell r="D587" t="str">
            <v>KANTE</v>
          </cell>
          <cell r="E587">
            <v>70996858</v>
          </cell>
          <cell r="F587" t="str">
            <v>2G</v>
          </cell>
          <cell r="G587"/>
          <cell r="H587"/>
          <cell r="I587"/>
          <cell r="J587"/>
          <cell r="K587"/>
          <cell r="L587"/>
          <cell r="M587"/>
        </row>
        <row r="588">
          <cell r="A588" t="str">
            <v>EASY CONCEPT</v>
          </cell>
          <cell r="B588"/>
          <cell r="C588"/>
          <cell r="D588" t="str">
            <v>KANTE 1 TELECOM</v>
          </cell>
          <cell r="E588"/>
          <cell r="F588"/>
          <cell r="G588"/>
          <cell r="H588"/>
          <cell r="I588"/>
          <cell r="J588"/>
          <cell r="K588"/>
          <cell r="L588"/>
          <cell r="M588"/>
        </row>
        <row r="589">
          <cell r="A589" t="str">
            <v>MRG</v>
          </cell>
          <cell r="B589" t="str">
            <v>KAR-145</v>
          </cell>
          <cell r="C589" t="str">
            <v>KARA</v>
          </cell>
          <cell r="D589" t="str">
            <v>KANTE 2</v>
          </cell>
          <cell r="E589">
            <v>70997294</v>
          </cell>
          <cell r="F589" t="str">
            <v>2G</v>
          </cell>
          <cell r="G589"/>
          <cell r="H589"/>
          <cell r="I589"/>
          <cell r="J589"/>
          <cell r="K589"/>
          <cell r="L589"/>
          <cell r="M589"/>
        </row>
        <row r="590">
          <cell r="A590" t="str">
            <v>MRG</v>
          </cell>
          <cell r="B590"/>
          <cell r="C590" t="str">
            <v>KARA</v>
          </cell>
          <cell r="D590" t="str">
            <v>KANTE DEOUTE</v>
          </cell>
          <cell r="E590">
            <v>70997305</v>
          </cell>
          <cell r="F590" t="str">
            <v>2G</v>
          </cell>
          <cell r="G590"/>
          <cell r="H590"/>
          <cell r="I590"/>
          <cell r="J590"/>
          <cell r="K590"/>
          <cell r="L590"/>
          <cell r="M590"/>
        </row>
        <row r="591">
          <cell r="A591" t="str">
            <v>EASY CONCEPT</v>
          </cell>
          <cell r="B591"/>
          <cell r="C591"/>
          <cell r="D591" t="str">
            <v>KANTE VILLA LOUE</v>
          </cell>
          <cell r="E591"/>
          <cell r="F591"/>
          <cell r="G591"/>
          <cell r="H591"/>
          <cell r="I591"/>
          <cell r="J591"/>
          <cell r="K591"/>
          <cell r="L591"/>
          <cell r="M591"/>
        </row>
        <row r="592">
          <cell r="A592" t="str">
            <v>EASY CONCEPT</v>
          </cell>
          <cell r="B592" t="str">
            <v>KARA</v>
          </cell>
          <cell r="C592" t="str">
            <v>KARA</v>
          </cell>
          <cell r="D592" t="str">
            <v>Kara ALCATEL 10</v>
          </cell>
          <cell r="E592">
            <v>70996859</v>
          </cell>
          <cell r="F592" t="str">
            <v>2G</v>
          </cell>
          <cell r="G592"/>
          <cell r="H592"/>
          <cell r="I592"/>
          <cell r="J592"/>
          <cell r="K592"/>
          <cell r="L592"/>
          <cell r="M592"/>
        </row>
        <row r="593">
          <cell r="A593" t="str">
            <v>EASY CONCEPT</v>
          </cell>
          <cell r="B593"/>
          <cell r="C593"/>
          <cell r="D593" t="str">
            <v>Kara ALCATEL 10 (TOMDE 3)</v>
          </cell>
          <cell r="E593"/>
          <cell r="F593"/>
          <cell r="G593"/>
          <cell r="H593"/>
          <cell r="I593"/>
          <cell r="J593"/>
          <cell r="K593"/>
          <cell r="L593"/>
          <cell r="M593"/>
        </row>
        <row r="594">
          <cell r="A594" t="str">
            <v>EASY CONCEPT</v>
          </cell>
          <cell r="B594" t="str">
            <v>KAR-147</v>
          </cell>
          <cell r="C594" t="str">
            <v>KARA</v>
          </cell>
          <cell r="D594" t="str">
            <v>KARA CAMP</v>
          </cell>
          <cell r="E594">
            <v>70997296</v>
          </cell>
          <cell r="F594" t="str">
            <v>2G</v>
          </cell>
          <cell r="G594"/>
          <cell r="H594"/>
          <cell r="I594"/>
          <cell r="J594"/>
          <cell r="K594"/>
          <cell r="L594"/>
          <cell r="M594"/>
        </row>
        <row r="595">
          <cell r="A595" t="str">
            <v>3SCA</v>
          </cell>
          <cell r="B595"/>
          <cell r="C595" t="str">
            <v>KARA</v>
          </cell>
          <cell r="D595" t="str">
            <v>KARA POWAYI</v>
          </cell>
          <cell r="E595">
            <v>70997376</v>
          </cell>
          <cell r="F595" t="str">
            <v>2G</v>
          </cell>
          <cell r="G595"/>
          <cell r="H595"/>
          <cell r="I595"/>
          <cell r="J595"/>
          <cell r="K595"/>
          <cell r="L595"/>
          <cell r="M595"/>
        </row>
        <row r="596">
          <cell r="A596" t="str">
            <v>MRG</v>
          </cell>
          <cell r="B596"/>
          <cell r="C596" t="str">
            <v>KARA</v>
          </cell>
          <cell r="D596" t="str">
            <v>KARA SRTK</v>
          </cell>
          <cell r="E596">
            <v>70997306</v>
          </cell>
          <cell r="F596" t="str">
            <v>2G</v>
          </cell>
          <cell r="G596"/>
          <cell r="H596"/>
          <cell r="I596"/>
          <cell r="J596"/>
          <cell r="K596"/>
          <cell r="L596"/>
          <cell r="M596"/>
        </row>
        <row r="597">
          <cell r="A597" t="str">
            <v>EASY CONCEPT</v>
          </cell>
          <cell r="B597" t="str">
            <v>KAR-135</v>
          </cell>
          <cell r="C597" t="str">
            <v>KARA</v>
          </cell>
          <cell r="D597" t="str">
            <v>KARA TCHALOUDE</v>
          </cell>
          <cell r="E597">
            <v>70996411</v>
          </cell>
          <cell r="F597" t="str">
            <v>2G</v>
          </cell>
          <cell r="G597"/>
          <cell r="H597"/>
          <cell r="I597"/>
          <cell r="J597"/>
          <cell r="K597"/>
          <cell r="L597"/>
          <cell r="M597"/>
        </row>
        <row r="598">
          <cell r="A598" t="str">
            <v>EASY CONCEPT</v>
          </cell>
          <cell r="B598"/>
          <cell r="C598"/>
          <cell r="D598" t="str">
            <v>KARA_SRTK</v>
          </cell>
          <cell r="E598"/>
          <cell r="F598"/>
          <cell r="G598"/>
          <cell r="H598"/>
          <cell r="I598"/>
          <cell r="J598"/>
          <cell r="K598"/>
          <cell r="L598"/>
          <cell r="M598"/>
        </row>
        <row r="599">
          <cell r="A599" t="str">
            <v>EASY CONCEPT</v>
          </cell>
          <cell r="B599"/>
          <cell r="C599"/>
          <cell r="D599" t="str">
            <v>KARA-ADJAMADESSI</v>
          </cell>
          <cell r="E599"/>
          <cell r="F599"/>
          <cell r="G599"/>
          <cell r="H599"/>
          <cell r="I599"/>
          <cell r="J599"/>
          <cell r="K599"/>
          <cell r="L599"/>
          <cell r="M599"/>
        </row>
        <row r="600">
          <cell r="A600" t="str">
            <v>EASY CONCEPT</v>
          </cell>
          <cell r="B600"/>
          <cell r="C600" t="str">
            <v>KARA</v>
          </cell>
          <cell r="D600" t="str">
            <v>KARA-AGENCE /central</v>
          </cell>
          <cell r="E600" t="str">
            <v>70996730</v>
          </cell>
          <cell r="F600" t="str">
            <v>Android</v>
          </cell>
          <cell r="G600"/>
          <cell r="H600"/>
          <cell r="I600"/>
          <cell r="J600"/>
          <cell r="K600"/>
          <cell r="L600"/>
          <cell r="M600"/>
        </row>
        <row r="601">
          <cell r="A601" t="str">
            <v>EASY CONCEPT</v>
          </cell>
          <cell r="B601" t="str">
            <v>KAR-012</v>
          </cell>
          <cell r="C601" t="str">
            <v>KARA</v>
          </cell>
          <cell r="D601" t="str">
            <v>KARA-ATEDA</v>
          </cell>
          <cell r="E601">
            <v>70996860</v>
          </cell>
          <cell r="F601" t="str">
            <v>2G</v>
          </cell>
          <cell r="G601"/>
          <cell r="H601"/>
          <cell r="I601"/>
          <cell r="J601"/>
          <cell r="K601"/>
          <cell r="L601"/>
          <cell r="M601"/>
        </row>
        <row r="602">
          <cell r="A602" t="str">
            <v>MRG</v>
          </cell>
          <cell r="B602" t="str">
            <v>KAR-117</v>
          </cell>
          <cell r="C602" t="str">
            <v>KARA</v>
          </cell>
          <cell r="D602" t="str">
            <v>KARA-BOSCO</v>
          </cell>
          <cell r="E602">
            <v>70996861</v>
          </cell>
          <cell r="F602" t="str">
            <v>2G</v>
          </cell>
          <cell r="G602"/>
          <cell r="H602"/>
          <cell r="I602"/>
          <cell r="J602"/>
          <cell r="K602"/>
          <cell r="L602"/>
          <cell r="M602"/>
        </row>
        <row r="603">
          <cell r="A603" t="str">
            <v>MRG</v>
          </cell>
          <cell r="B603"/>
          <cell r="C603"/>
          <cell r="D603" t="str">
            <v>KARA-CAMP</v>
          </cell>
          <cell r="E603"/>
          <cell r="F603"/>
          <cell r="G603"/>
          <cell r="H603"/>
          <cell r="I603"/>
          <cell r="J603"/>
          <cell r="K603"/>
          <cell r="L603"/>
          <cell r="M603"/>
        </row>
        <row r="604">
          <cell r="A604" t="str">
            <v>MRG</v>
          </cell>
          <cell r="B604" t="str">
            <v>KAR-014</v>
          </cell>
          <cell r="C604" t="str">
            <v>KARA</v>
          </cell>
          <cell r="D604" t="str">
            <v>KARA-DONGOYO</v>
          </cell>
          <cell r="E604">
            <v>70996862</v>
          </cell>
          <cell r="F604" t="str">
            <v>2G</v>
          </cell>
          <cell r="G604"/>
          <cell r="H604"/>
          <cell r="I604"/>
          <cell r="J604"/>
          <cell r="K604"/>
          <cell r="L604"/>
          <cell r="M604"/>
        </row>
        <row r="605">
          <cell r="A605" t="str">
            <v>MRG</v>
          </cell>
          <cell r="B605" t="str">
            <v>KAR-001</v>
          </cell>
          <cell r="C605" t="str">
            <v>KARA</v>
          </cell>
          <cell r="D605" t="str">
            <v>KARA-HOTEL-FRANCE</v>
          </cell>
          <cell r="E605">
            <v>70996863</v>
          </cell>
          <cell r="F605" t="str">
            <v>2G</v>
          </cell>
          <cell r="G605"/>
          <cell r="H605"/>
          <cell r="I605"/>
          <cell r="J605"/>
          <cell r="K605"/>
          <cell r="L605"/>
          <cell r="M605"/>
        </row>
        <row r="606">
          <cell r="A606" t="str">
            <v>MRG</v>
          </cell>
          <cell r="B606"/>
          <cell r="C606"/>
          <cell r="D606" t="str">
            <v>KARA-KANDJIDE</v>
          </cell>
          <cell r="E606"/>
          <cell r="F606"/>
          <cell r="G606"/>
          <cell r="H606"/>
          <cell r="I606"/>
          <cell r="J606"/>
          <cell r="K606"/>
          <cell r="L606"/>
          <cell r="M606"/>
        </row>
        <row r="607">
          <cell r="A607" t="str">
            <v>EASY CONCEPT</v>
          </cell>
          <cell r="B607" t="str">
            <v>KAR-015</v>
          </cell>
          <cell r="C607" t="str">
            <v>KARA</v>
          </cell>
          <cell r="D607" t="str">
            <v>KARA-MARCHE</v>
          </cell>
          <cell r="E607">
            <v>70996864</v>
          </cell>
          <cell r="F607" t="str">
            <v>2G</v>
          </cell>
          <cell r="G607"/>
          <cell r="H607"/>
          <cell r="I607"/>
          <cell r="J607"/>
          <cell r="K607"/>
          <cell r="L607"/>
          <cell r="M607"/>
        </row>
        <row r="608">
          <cell r="A608" t="str">
            <v>EASY CONCEPT</v>
          </cell>
          <cell r="B608" t="str">
            <v>KAR-002</v>
          </cell>
          <cell r="C608" t="str">
            <v>KARA</v>
          </cell>
          <cell r="D608" t="str">
            <v>KARA-PISSA</v>
          </cell>
          <cell r="E608">
            <v>70996865</v>
          </cell>
          <cell r="F608" t="str">
            <v>2G</v>
          </cell>
          <cell r="G608"/>
          <cell r="H608"/>
          <cell r="I608"/>
          <cell r="J608"/>
          <cell r="K608"/>
          <cell r="L608"/>
          <cell r="M608"/>
        </row>
        <row r="609">
          <cell r="A609" t="str">
            <v>MRG</v>
          </cell>
          <cell r="B609"/>
          <cell r="C609"/>
          <cell r="D609" t="str">
            <v>KARA-POWAYI</v>
          </cell>
          <cell r="E609"/>
          <cell r="F609"/>
          <cell r="G609"/>
          <cell r="H609"/>
          <cell r="I609"/>
          <cell r="J609"/>
          <cell r="K609"/>
          <cell r="L609"/>
          <cell r="M609"/>
        </row>
        <row r="610">
          <cell r="A610" t="str">
            <v>MRG</v>
          </cell>
          <cell r="B610" t="str">
            <v>KAR-003</v>
          </cell>
          <cell r="C610" t="str">
            <v>KARA</v>
          </cell>
          <cell r="D610" t="str">
            <v>KARA-SITO</v>
          </cell>
          <cell r="E610">
            <v>70996866</v>
          </cell>
          <cell r="F610" t="str">
            <v>2G</v>
          </cell>
          <cell r="G610"/>
          <cell r="H610"/>
          <cell r="I610"/>
          <cell r="J610"/>
          <cell r="K610"/>
          <cell r="L610"/>
          <cell r="M610"/>
        </row>
        <row r="611">
          <cell r="A611" t="str">
            <v>MRG</v>
          </cell>
          <cell r="B611"/>
          <cell r="C611" t="str">
            <v>KARA</v>
          </cell>
          <cell r="D611" t="str">
            <v>KARA-SITO</v>
          </cell>
          <cell r="E611" t="str">
            <v>70996866</v>
          </cell>
          <cell r="F611" t="str">
            <v>Android</v>
          </cell>
          <cell r="G611"/>
          <cell r="H611"/>
          <cell r="I611"/>
          <cell r="J611"/>
          <cell r="K611"/>
          <cell r="L611"/>
          <cell r="M611"/>
        </row>
        <row r="612">
          <cell r="A612" t="str">
            <v>MRG</v>
          </cell>
          <cell r="B612" t="str">
            <v>KAR-118</v>
          </cell>
          <cell r="C612" t="str">
            <v>KARA</v>
          </cell>
          <cell r="D612" t="str">
            <v>KARA-SOS</v>
          </cell>
          <cell r="E612">
            <v>70996867</v>
          </cell>
          <cell r="F612" t="str">
            <v>2G</v>
          </cell>
          <cell r="G612"/>
          <cell r="H612"/>
          <cell r="I612"/>
          <cell r="J612"/>
          <cell r="K612"/>
          <cell r="L612"/>
          <cell r="M612"/>
        </row>
        <row r="613">
          <cell r="A613" t="str">
            <v>MRG</v>
          </cell>
          <cell r="B613" t="str">
            <v>KAR-016</v>
          </cell>
          <cell r="C613" t="str">
            <v>KARA</v>
          </cell>
          <cell r="D613" t="str">
            <v>KARA-SUD</v>
          </cell>
          <cell r="E613">
            <v>70996868</v>
          </cell>
          <cell r="F613" t="str">
            <v>2G</v>
          </cell>
          <cell r="G613"/>
          <cell r="H613"/>
          <cell r="I613"/>
          <cell r="J613"/>
          <cell r="K613"/>
          <cell r="L613"/>
          <cell r="M613"/>
        </row>
        <row r="614">
          <cell r="A614" t="str">
            <v>MRG</v>
          </cell>
          <cell r="B614"/>
          <cell r="C614"/>
          <cell r="D614" t="str">
            <v>KARA-TCHALOUDE</v>
          </cell>
          <cell r="E614"/>
          <cell r="F614"/>
          <cell r="G614"/>
          <cell r="H614"/>
          <cell r="I614"/>
          <cell r="J614"/>
          <cell r="K614"/>
          <cell r="L614"/>
          <cell r="M614"/>
        </row>
        <row r="615">
          <cell r="A615" t="str">
            <v>MRG</v>
          </cell>
          <cell r="B615" t="str">
            <v>KAR-119</v>
          </cell>
          <cell r="C615" t="str">
            <v>KARA</v>
          </cell>
          <cell r="D615" t="str">
            <v>KARA-TCHINTCHINDA</v>
          </cell>
          <cell r="E615">
            <v>70996869</v>
          </cell>
          <cell r="F615" t="str">
            <v>2G</v>
          </cell>
          <cell r="G615"/>
          <cell r="H615"/>
          <cell r="I615"/>
          <cell r="J615"/>
          <cell r="K615"/>
          <cell r="L615"/>
          <cell r="M615"/>
        </row>
        <row r="616">
          <cell r="A616" t="str">
            <v>MRG</v>
          </cell>
          <cell r="B616"/>
          <cell r="C616"/>
          <cell r="D616" t="str">
            <v>KARA-UNIVERSITE</v>
          </cell>
          <cell r="E616"/>
          <cell r="F616"/>
          <cell r="G616"/>
          <cell r="H616"/>
          <cell r="I616"/>
          <cell r="J616"/>
          <cell r="K616"/>
          <cell r="L616"/>
          <cell r="M616"/>
        </row>
        <row r="617">
          <cell r="A617" t="str">
            <v>3SCA</v>
          </cell>
          <cell r="B617"/>
          <cell r="C617"/>
          <cell r="D617" t="str">
            <v>KARA-WOLADE</v>
          </cell>
          <cell r="E617"/>
          <cell r="F617"/>
          <cell r="G617"/>
          <cell r="H617"/>
          <cell r="I617"/>
          <cell r="J617"/>
          <cell r="K617"/>
          <cell r="L617"/>
          <cell r="M617"/>
        </row>
        <row r="618">
          <cell r="A618" t="str">
            <v>EASY CONCEPT</v>
          </cell>
          <cell r="B618"/>
          <cell r="C618" t="str">
            <v>CENTRALE</v>
          </cell>
          <cell r="D618" t="str">
            <v>KASSENA</v>
          </cell>
          <cell r="E618">
            <v>70997283</v>
          </cell>
          <cell r="F618" t="str">
            <v>2G</v>
          </cell>
          <cell r="G618"/>
          <cell r="H618"/>
          <cell r="I618"/>
          <cell r="J618"/>
          <cell r="K618"/>
          <cell r="L618"/>
          <cell r="M618"/>
        </row>
        <row r="619">
          <cell r="A619" t="str">
            <v>EASY CONCEPT</v>
          </cell>
          <cell r="B619" t="str">
            <v>CEN-039</v>
          </cell>
          <cell r="C619" t="str">
            <v>CENTRALE</v>
          </cell>
          <cell r="D619" t="str">
            <v>KASSIKADE</v>
          </cell>
          <cell r="E619">
            <v>70996870</v>
          </cell>
          <cell r="F619" t="str">
            <v>2G</v>
          </cell>
          <cell r="G619"/>
          <cell r="H619"/>
          <cell r="I619"/>
          <cell r="J619"/>
          <cell r="K619"/>
          <cell r="L619"/>
          <cell r="M619"/>
        </row>
        <row r="620">
          <cell r="A620" t="str">
            <v>SSV</v>
          </cell>
          <cell r="B620"/>
          <cell r="C620" t="str">
            <v>CENTRALE</v>
          </cell>
          <cell r="D620" t="str">
            <v>KASSIKADE</v>
          </cell>
          <cell r="E620" t="str">
            <v>70996870</v>
          </cell>
          <cell r="F620" t="str">
            <v>Android</v>
          </cell>
          <cell r="G620"/>
          <cell r="H620"/>
          <cell r="I620"/>
          <cell r="J620"/>
          <cell r="K620"/>
          <cell r="L620"/>
          <cell r="M620"/>
        </row>
        <row r="621">
          <cell r="A621" t="str">
            <v>SSV</v>
          </cell>
          <cell r="B621" t="str">
            <v>KAR-052</v>
          </cell>
          <cell r="C621" t="str">
            <v>KARA</v>
          </cell>
          <cell r="D621" t="str">
            <v>KATCHAMBA</v>
          </cell>
          <cell r="E621">
            <v>70996871</v>
          </cell>
          <cell r="F621" t="str">
            <v>2G</v>
          </cell>
          <cell r="G621"/>
          <cell r="H621"/>
          <cell r="I621"/>
          <cell r="J621"/>
          <cell r="K621"/>
          <cell r="L621"/>
          <cell r="M621"/>
        </row>
        <row r="622">
          <cell r="A622" t="str">
            <v>MRG</v>
          </cell>
          <cell r="B622"/>
          <cell r="C622" t="str">
            <v>KARA</v>
          </cell>
          <cell r="D622" t="str">
            <v>KATCHAMBA</v>
          </cell>
          <cell r="E622" t="str">
            <v>70996871</v>
          </cell>
          <cell r="F622" t="str">
            <v>Android</v>
          </cell>
          <cell r="G622"/>
          <cell r="H622"/>
          <cell r="I622"/>
          <cell r="J622"/>
          <cell r="K622"/>
          <cell r="L622"/>
          <cell r="M622"/>
        </row>
        <row r="623">
          <cell r="A623" t="str">
            <v>EASY CONCEPT</v>
          </cell>
          <cell r="B623" t="str">
            <v>PLA-154</v>
          </cell>
          <cell r="C623" t="str">
            <v>PLATEAUX</v>
          </cell>
          <cell r="D623" t="str">
            <v>KAVE</v>
          </cell>
          <cell r="E623">
            <v>70996872</v>
          </cell>
          <cell r="F623" t="str">
            <v>2G</v>
          </cell>
          <cell r="G623"/>
          <cell r="H623"/>
          <cell r="I623"/>
          <cell r="J623"/>
          <cell r="K623"/>
          <cell r="L623"/>
          <cell r="M623"/>
        </row>
        <row r="624">
          <cell r="A624" t="str">
            <v>EASY CONCEPT</v>
          </cell>
          <cell r="B624" t="str">
            <v>KAR-138</v>
          </cell>
          <cell r="C624" t="str">
            <v>KARA</v>
          </cell>
          <cell r="D624" t="str">
            <v>KAWA ABONANDA</v>
          </cell>
          <cell r="E624">
            <v>70996476</v>
          </cell>
          <cell r="F624" t="str">
            <v>2G</v>
          </cell>
          <cell r="G624"/>
          <cell r="H624"/>
          <cell r="I624"/>
          <cell r="J624"/>
          <cell r="K624"/>
          <cell r="L624"/>
          <cell r="M624"/>
        </row>
        <row r="625">
          <cell r="A625" t="str">
            <v>3SCA</v>
          </cell>
          <cell r="B625" t="str">
            <v>CEN-040</v>
          </cell>
          <cell r="C625" t="str">
            <v>CENTRALE</v>
          </cell>
          <cell r="D625" t="str">
            <v>KAZABOUA</v>
          </cell>
          <cell r="E625">
            <v>70996873</v>
          </cell>
          <cell r="F625" t="str">
            <v>2G</v>
          </cell>
          <cell r="G625"/>
          <cell r="H625"/>
          <cell r="I625"/>
          <cell r="J625"/>
          <cell r="K625"/>
          <cell r="L625"/>
          <cell r="M625"/>
        </row>
        <row r="626">
          <cell r="A626" t="str">
            <v>SSV</v>
          </cell>
          <cell r="B626"/>
          <cell r="C626" t="str">
            <v>CENTRALE</v>
          </cell>
          <cell r="D626" t="str">
            <v>KAZABOUA</v>
          </cell>
          <cell r="E626" t="str">
            <v>70996873</v>
          </cell>
          <cell r="F626" t="str">
            <v>Android</v>
          </cell>
          <cell r="G626"/>
          <cell r="H626"/>
          <cell r="I626"/>
          <cell r="J626"/>
          <cell r="K626"/>
          <cell r="L626"/>
          <cell r="M626"/>
        </row>
        <row r="627">
          <cell r="A627" t="str">
            <v>SSV</v>
          </cell>
          <cell r="B627" t="str">
            <v>CEN-003</v>
          </cell>
          <cell r="C627" t="str">
            <v>CENTRALE</v>
          </cell>
          <cell r="D627" t="str">
            <v>KEDIA</v>
          </cell>
          <cell r="E627">
            <v>70996874</v>
          </cell>
          <cell r="F627" t="str">
            <v>2G</v>
          </cell>
          <cell r="G627"/>
          <cell r="H627"/>
          <cell r="I627"/>
          <cell r="J627"/>
          <cell r="K627"/>
          <cell r="L627"/>
          <cell r="M627"/>
        </row>
        <row r="628">
          <cell r="A628" t="str">
            <v>MRG</v>
          </cell>
          <cell r="B628" t="str">
            <v>LOM-091</v>
          </cell>
          <cell r="C628" t="str">
            <v>LOME</v>
          </cell>
          <cell r="D628" t="str">
            <v>KEGUE 1</v>
          </cell>
          <cell r="E628">
            <v>70996439</v>
          </cell>
          <cell r="F628" t="str">
            <v>2G</v>
          </cell>
          <cell r="G628"/>
          <cell r="H628"/>
          <cell r="I628"/>
          <cell r="J628"/>
          <cell r="K628"/>
          <cell r="L628"/>
          <cell r="M628"/>
        </row>
        <row r="629">
          <cell r="A629" t="str">
            <v>MRG</v>
          </cell>
          <cell r="B629" t="str">
            <v>LOM-092</v>
          </cell>
          <cell r="C629" t="str">
            <v>LOME</v>
          </cell>
          <cell r="D629" t="str">
            <v>KEGUE 2</v>
          </cell>
          <cell r="E629">
            <v>70996875</v>
          </cell>
          <cell r="F629" t="str">
            <v>2G</v>
          </cell>
          <cell r="G629"/>
          <cell r="H629"/>
          <cell r="I629"/>
          <cell r="J629"/>
          <cell r="K629"/>
          <cell r="L629"/>
          <cell r="M629"/>
        </row>
        <row r="630">
          <cell r="A630" t="str">
            <v>EASY CONCEPT</v>
          </cell>
          <cell r="B630" t="str">
            <v>LOM-094</v>
          </cell>
          <cell r="C630" t="str">
            <v>LOME</v>
          </cell>
          <cell r="D630" t="str">
            <v>KEGUE STADE</v>
          </cell>
          <cell r="E630">
            <v>70996876</v>
          </cell>
          <cell r="F630" t="str">
            <v>2G</v>
          </cell>
          <cell r="G630"/>
          <cell r="H630"/>
          <cell r="I630"/>
          <cell r="J630"/>
          <cell r="K630"/>
          <cell r="L630"/>
          <cell r="M630"/>
        </row>
        <row r="631">
          <cell r="A631" t="str">
            <v>EASY CONCEPT</v>
          </cell>
          <cell r="B631" t="str">
            <v>LOM-007</v>
          </cell>
          <cell r="C631" t="str">
            <v>LOME</v>
          </cell>
          <cell r="D631" t="str">
            <v>KELEGOUGAN</v>
          </cell>
          <cell r="E631">
            <v>70996877</v>
          </cell>
          <cell r="F631" t="str">
            <v>2G</v>
          </cell>
          <cell r="G631"/>
          <cell r="H631"/>
          <cell r="I631"/>
          <cell r="J631"/>
          <cell r="K631"/>
          <cell r="L631"/>
          <cell r="M631"/>
        </row>
        <row r="632">
          <cell r="A632" t="str">
            <v>EASY CONCEPT</v>
          </cell>
          <cell r="B632"/>
          <cell r="C632"/>
          <cell r="D632" t="str">
            <v>KELEGOUGAN 1</v>
          </cell>
          <cell r="E632"/>
          <cell r="F632"/>
          <cell r="G632"/>
          <cell r="H632"/>
          <cell r="I632"/>
          <cell r="J632"/>
          <cell r="K632"/>
          <cell r="L632"/>
          <cell r="M632"/>
        </row>
        <row r="633">
          <cell r="A633" t="str">
            <v>EASY CONCEPT</v>
          </cell>
          <cell r="B633" t="str">
            <v>LOM-008</v>
          </cell>
          <cell r="C633" t="str">
            <v>LOME</v>
          </cell>
          <cell r="D633" t="str">
            <v>KELEGOUGAN 2</v>
          </cell>
          <cell r="E633">
            <v>70996878</v>
          </cell>
          <cell r="F633" t="str">
            <v>2G</v>
          </cell>
          <cell r="G633"/>
          <cell r="H633"/>
          <cell r="I633"/>
          <cell r="J633"/>
          <cell r="K633"/>
          <cell r="L633"/>
          <cell r="M633"/>
        </row>
        <row r="634">
          <cell r="A634" t="str">
            <v>EASY CONCEPT</v>
          </cell>
          <cell r="B634" t="str">
            <v>PLA-125</v>
          </cell>
          <cell r="C634" t="str">
            <v>PLATEAUX</v>
          </cell>
          <cell r="D634" t="str">
            <v>KELEKPE</v>
          </cell>
          <cell r="E634">
            <v>70996879</v>
          </cell>
          <cell r="F634" t="str">
            <v>2G</v>
          </cell>
          <cell r="G634"/>
          <cell r="H634"/>
          <cell r="I634"/>
          <cell r="J634"/>
          <cell r="K634"/>
          <cell r="L634"/>
          <cell r="M634"/>
        </row>
        <row r="635">
          <cell r="A635" t="str">
            <v>EASY CONCEPT</v>
          </cell>
          <cell r="B635" t="str">
            <v>KAR-094</v>
          </cell>
          <cell r="C635" t="str">
            <v>KARA</v>
          </cell>
          <cell r="D635" t="str">
            <v>KEMENI</v>
          </cell>
          <cell r="E635">
            <v>70996880</v>
          </cell>
          <cell r="F635" t="str">
            <v>2G</v>
          </cell>
          <cell r="G635"/>
          <cell r="H635"/>
          <cell r="I635"/>
          <cell r="J635"/>
          <cell r="K635"/>
          <cell r="L635"/>
          <cell r="M635"/>
        </row>
        <row r="636">
          <cell r="A636" t="str">
            <v>EASY CONCEPT</v>
          </cell>
          <cell r="B636"/>
          <cell r="C636" t="str">
            <v>CENTRALE</v>
          </cell>
          <cell r="D636" t="str">
            <v>KEMENI</v>
          </cell>
          <cell r="E636" t="str">
            <v>70996880</v>
          </cell>
          <cell r="F636" t="str">
            <v>Android</v>
          </cell>
          <cell r="G636"/>
          <cell r="H636"/>
          <cell r="I636"/>
          <cell r="J636"/>
          <cell r="K636"/>
          <cell r="L636"/>
          <cell r="M636"/>
        </row>
        <row r="637">
          <cell r="A637" t="str">
            <v>EASY CONCEPT</v>
          </cell>
          <cell r="B637" t="str">
            <v>KAR-032</v>
          </cell>
          <cell r="C637" t="str">
            <v>KARA</v>
          </cell>
          <cell r="D637" t="str">
            <v>KEMERIDA</v>
          </cell>
          <cell r="E637">
            <v>70996881</v>
          </cell>
          <cell r="F637" t="str">
            <v>2G</v>
          </cell>
          <cell r="G637"/>
          <cell r="H637"/>
          <cell r="I637"/>
          <cell r="J637"/>
          <cell r="K637"/>
          <cell r="L637"/>
          <cell r="M637"/>
        </row>
        <row r="638">
          <cell r="A638" t="str">
            <v>EASY CONCEPT</v>
          </cell>
          <cell r="B638"/>
          <cell r="C638" t="str">
            <v>PLATEAUX</v>
          </cell>
          <cell r="D638" t="str">
            <v>KESSIBO - WAWA</v>
          </cell>
          <cell r="E638">
            <v>70996882</v>
          </cell>
          <cell r="F638" t="str">
            <v>2G</v>
          </cell>
          <cell r="G638"/>
          <cell r="H638"/>
          <cell r="I638"/>
          <cell r="J638"/>
          <cell r="K638"/>
          <cell r="L638"/>
          <cell r="M638"/>
        </row>
        <row r="639">
          <cell r="A639" t="str">
            <v>EASY CONCEPT</v>
          </cell>
          <cell r="B639"/>
          <cell r="C639" t="str">
            <v>PLATEAUX</v>
          </cell>
          <cell r="D639" t="str">
            <v>KESSIBO - WAWA</v>
          </cell>
          <cell r="E639" t="str">
            <v>70996680</v>
          </cell>
          <cell r="F639" t="str">
            <v>Android</v>
          </cell>
          <cell r="G639"/>
          <cell r="H639"/>
          <cell r="I639"/>
          <cell r="J639"/>
          <cell r="K639"/>
          <cell r="L639"/>
          <cell r="M639"/>
        </row>
        <row r="640">
          <cell r="A640" t="str">
            <v>EASY CONCEPT</v>
          </cell>
          <cell r="B640"/>
          <cell r="C640" t="str">
            <v>KARA</v>
          </cell>
          <cell r="D640" t="str">
            <v>KETAO GNIOUDE</v>
          </cell>
          <cell r="E640">
            <v>70997307</v>
          </cell>
          <cell r="F640" t="str">
            <v>2G</v>
          </cell>
          <cell r="G640"/>
          <cell r="H640"/>
          <cell r="I640"/>
          <cell r="J640"/>
          <cell r="K640"/>
          <cell r="L640"/>
          <cell r="M640"/>
        </row>
        <row r="641">
          <cell r="A641" t="str">
            <v>EASY CONCEPT</v>
          </cell>
          <cell r="B641"/>
          <cell r="C641"/>
          <cell r="D641" t="str">
            <v>KETAWO</v>
          </cell>
          <cell r="E641"/>
          <cell r="F641"/>
          <cell r="G641"/>
          <cell r="H641"/>
          <cell r="I641"/>
          <cell r="J641"/>
          <cell r="K641"/>
          <cell r="L641"/>
          <cell r="M641"/>
        </row>
        <row r="642">
          <cell r="A642" t="str">
            <v>MRG</v>
          </cell>
          <cell r="B642" t="str">
            <v>KAR-029</v>
          </cell>
          <cell r="C642" t="str">
            <v>KARA</v>
          </cell>
          <cell r="D642" t="str">
            <v>KETAWO1</v>
          </cell>
          <cell r="E642">
            <v>70996883</v>
          </cell>
          <cell r="F642" t="str">
            <v>2G</v>
          </cell>
          <cell r="G642"/>
          <cell r="H642"/>
          <cell r="I642"/>
          <cell r="J642"/>
          <cell r="K642"/>
          <cell r="L642"/>
          <cell r="M642"/>
        </row>
        <row r="643">
          <cell r="A643" t="str">
            <v>MRG</v>
          </cell>
          <cell r="B643" t="str">
            <v>KAR-019</v>
          </cell>
          <cell r="C643" t="str">
            <v>KARA</v>
          </cell>
          <cell r="D643" t="str">
            <v>KETAWO2</v>
          </cell>
          <cell r="E643">
            <v>70996884</v>
          </cell>
          <cell r="F643" t="str">
            <v>2G</v>
          </cell>
          <cell r="G643"/>
          <cell r="H643"/>
          <cell r="I643"/>
          <cell r="J643"/>
          <cell r="K643"/>
          <cell r="L643"/>
          <cell r="M643"/>
        </row>
        <row r="644">
          <cell r="A644" t="str">
            <v>SSV</v>
          </cell>
          <cell r="B644"/>
          <cell r="C644" t="str">
            <v>KARA</v>
          </cell>
          <cell r="D644" t="str">
            <v>KETAWO2</v>
          </cell>
          <cell r="E644" t="str">
            <v>70996884</v>
          </cell>
          <cell r="F644" t="str">
            <v>Android</v>
          </cell>
          <cell r="G644"/>
          <cell r="H644"/>
          <cell r="I644"/>
          <cell r="J644"/>
          <cell r="K644"/>
          <cell r="L644"/>
          <cell r="M644"/>
        </row>
        <row r="645">
          <cell r="A645" t="str">
            <v>SSV</v>
          </cell>
          <cell r="B645"/>
          <cell r="C645"/>
          <cell r="D645" t="str">
            <v>KETAWO-GNIYOUDE</v>
          </cell>
          <cell r="E645"/>
          <cell r="F645"/>
          <cell r="G645"/>
          <cell r="H645"/>
          <cell r="I645"/>
          <cell r="J645"/>
          <cell r="K645"/>
          <cell r="L645"/>
          <cell r="M645"/>
        </row>
        <row r="646">
          <cell r="A646" t="str">
            <v>EASY CONCEPT</v>
          </cell>
          <cell r="B646" t="str">
            <v>MAR-057</v>
          </cell>
          <cell r="C646" t="str">
            <v>MARITIME</v>
          </cell>
          <cell r="D646" t="str">
            <v>KEVE</v>
          </cell>
          <cell r="E646">
            <v>70996885</v>
          </cell>
          <cell r="F646" t="str">
            <v>2G</v>
          </cell>
          <cell r="G646"/>
          <cell r="H646"/>
          <cell r="I646"/>
          <cell r="J646"/>
          <cell r="K646"/>
          <cell r="L646"/>
          <cell r="M646"/>
        </row>
        <row r="647">
          <cell r="A647" t="str">
            <v>EASY CONCEPT</v>
          </cell>
          <cell r="B647"/>
          <cell r="C647" t="str">
            <v>LOME</v>
          </cell>
          <cell r="D647" t="str">
            <v>KEVE 2</v>
          </cell>
          <cell r="E647">
            <v>70996932</v>
          </cell>
          <cell r="F647" t="str">
            <v>2G</v>
          </cell>
          <cell r="G647"/>
          <cell r="H647"/>
          <cell r="I647"/>
          <cell r="J647"/>
          <cell r="K647"/>
          <cell r="L647"/>
          <cell r="M647"/>
        </row>
        <row r="648">
          <cell r="A648" t="str">
            <v>SSV</v>
          </cell>
          <cell r="B648"/>
          <cell r="C648"/>
          <cell r="D648" t="str">
            <v>Kévé technique</v>
          </cell>
          <cell r="E648"/>
          <cell r="F648"/>
          <cell r="G648"/>
          <cell r="H648"/>
          <cell r="I648"/>
          <cell r="J648"/>
          <cell r="K648"/>
          <cell r="L648"/>
          <cell r="M648"/>
        </row>
        <row r="649">
          <cell r="A649" t="str">
            <v>SSV</v>
          </cell>
          <cell r="B649" t="str">
            <v>KAR-053</v>
          </cell>
          <cell r="C649" t="str">
            <v>KARA</v>
          </cell>
          <cell r="D649" t="str">
            <v>KIDJABOUM</v>
          </cell>
          <cell r="E649">
            <v>70996886</v>
          </cell>
          <cell r="F649" t="str">
            <v>2G</v>
          </cell>
          <cell r="G649"/>
          <cell r="H649"/>
          <cell r="I649"/>
          <cell r="J649"/>
          <cell r="K649"/>
          <cell r="L649"/>
          <cell r="M649"/>
        </row>
        <row r="650">
          <cell r="A650" t="str">
            <v>SSV</v>
          </cell>
          <cell r="B650"/>
          <cell r="C650" t="str">
            <v>KARA</v>
          </cell>
          <cell r="D650" t="str">
            <v>KIDJABOUM</v>
          </cell>
          <cell r="E650" t="str">
            <v>70996886</v>
          </cell>
          <cell r="F650" t="str">
            <v>Android</v>
          </cell>
          <cell r="G650"/>
          <cell r="H650"/>
          <cell r="I650"/>
          <cell r="J650"/>
          <cell r="K650"/>
          <cell r="L650"/>
          <cell r="M650"/>
        </row>
        <row r="651">
          <cell r="A651" t="str">
            <v>EASY CONCEPT</v>
          </cell>
          <cell r="B651" t="str">
            <v>KAR-132</v>
          </cell>
          <cell r="C651" t="str">
            <v>KARA</v>
          </cell>
          <cell r="D651" t="str">
            <v>Kikpéou</v>
          </cell>
          <cell r="E651">
            <v>70996477</v>
          </cell>
          <cell r="F651" t="str">
            <v>2G</v>
          </cell>
          <cell r="G651"/>
          <cell r="H651"/>
          <cell r="I651"/>
          <cell r="J651"/>
          <cell r="K651"/>
          <cell r="L651"/>
          <cell r="M651"/>
        </row>
        <row r="652">
          <cell r="A652" t="str">
            <v>EASY CONCEPT</v>
          </cell>
          <cell r="B652" t="str">
            <v>CEN-092</v>
          </cell>
          <cell r="C652" t="str">
            <v>CENTRALE</v>
          </cell>
          <cell r="D652" t="str">
            <v>KITANGOULI</v>
          </cell>
          <cell r="E652">
            <v>70996887</v>
          </cell>
          <cell r="F652" t="str">
            <v>2G</v>
          </cell>
          <cell r="G652"/>
          <cell r="H652"/>
          <cell r="I652"/>
          <cell r="J652"/>
          <cell r="K652"/>
          <cell r="L652"/>
          <cell r="M652"/>
        </row>
        <row r="653">
          <cell r="A653" t="str">
            <v>SSV</v>
          </cell>
          <cell r="B653"/>
          <cell r="C653" t="str">
            <v>CENTRALE</v>
          </cell>
          <cell r="D653" t="str">
            <v>KITANGOULI</v>
          </cell>
          <cell r="E653" t="str">
            <v>70996887</v>
          </cell>
          <cell r="F653" t="str">
            <v>Android</v>
          </cell>
          <cell r="G653"/>
          <cell r="H653"/>
          <cell r="I653"/>
          <cell r="J653"/>
          <cell r="K653"/>
          <cell r="L653"/>
          <cell r="M653"/>
        </row>
        <row r="654">
          <cell r="A654" t="str">
            <v>EASY CONCEPT</v>
          </cell>
          <cell r="B654" t="str">
            <v>PLA-105</v>
          </cell>
          <cell r="C654" t="str">
            <v>PLATEAUX</v>
          </cell>
          <cell r="D654" t="str">
            <v>KLABE EFFOUKPA</v>
          </cell>
          <cell r="E654">
            <v>70996888</v>
          </cell>
          <cell r="F654" t="str">
            <v>2G</v>
          </cell>
          <cell r="G654"/>
          <cell r="H654"/>
          <cell r="I654"/>
          <cell r="J654"/>
          <cell r="K654"/>
          <cell r="L654"/>
          <cell r="M654"/>
        </row>
        <row r="655">
          <cell r="A655" t="str">
            <v>SSV</v>
          </cell>
          <cell r="B655" t="str">
            <v>LOM-059</v>
          </cell>
          <cell r="C655" t="str">
            <v>LOME</v>
          </cell>
          <cell r="D655" t="str">
            <v>KLEME 1</v>
          </cell>
          <cell r="E655">
            <v>70996889</v>
          </cell>
          <cell r="F655" t="str">
            <v>2G</v>
          </cell>
          <cell r="G655"/>
          <cell r="H655"/>
          <cell r="I655"/>
          <cell r="J655"/>
          <cell r="K655"/>
          <cell r="L655"/>
          <cell r="M655"/>
        </row>
        <row r="656">
          <cell r="A656" t="str">
            <v>SSV</v>
          </cell>
          <cell r="B656" t="str">
            <v>LOM-309</v>
          </cell>
          <cell r="C656" t="str">
            <v>LOME</v>
          </cell>
          <cell r="D656" t="str">
            <v>KLEME 2</v>
          </cell>
          <cell r="E656">
            <v>70996403</v>
          </cell>
          <cell r="F656" t="str">
            <v>2G</v>
          </cell>
          <cell r="G656"/>
          <cell r="H656"/>
          <cell r="I656"/>
          <cell r="J656"/>
          <cell r="K656"/>
          <cell r="L656"/>
          <cell r="M656"/>
        </row>
        <row r="657">
          <cell r="A657" t="str">
            <v>SSV</v>
          </cell>
          <cell r="B657" t="str">
            <v>LOM-305</v>
          </cell>
          <cell r="C657" t="str">
            <v>LOME</v>
          </cell>
          <cell r="D657" t="str">
            <v>KLEME AGOKANOU</v>
          </cell>
          <cell r="E657">
            <v>70996421</v>
          </cell>
          <cell r="F657" t="str">
            <v>2G</v>
          </cell>
          <cell r="G657"/>
          <cell r="H657"/>
          <cell r="I657"/>
          <cell r="J657"/>
          <cell r="K657"/>
          <cell r="L657"/>
          <cell r="M657"/>
        </row>
        <row r="658">
          <cell r="A658" t="str">
            <v>SSV</v>
          </cell>
          <cell r="B658" t="str">
            <v>LOM-308</v>
          </cell>
          <cell r="C658" t="str">
            <v>LOME</v>
          </cell>
          <cell r="D658" t="str">
            <v>KLEME YEWEPE</v>
          </cell>
          <cell r="E658">
            <v>70996412</v>
          </cell>
          <cell r="F658" t="str">
            <v>2G</v>
          </cell>
          <cell r="G658"/>
          <cell r="H658"/>
          <cell r="I658"/>
          <cell r="J658"/>
          <cell r="K658"/>
          <cell r="L658"/>
          <cell r="M658"/>
        </row>
        <row r="659">
          <cell r="A659" t="str">
            <v>SSV</v>
          </cell>
          <cell r="B659" t="str">
            <v>KAR-130</v>
          </cell>
          <cell r="C659" t="str">
            <v>KARA</v>
          </cell>
          <cell r="D659" t="str">
            <v>KLOUKPON</v>
          </cell>
          <cell r="E659">
            <v>70996891</v>
          </cell>
          <cell r="F659" t="str">
            <v>2G</v>
          </cell>
          <cell r="G659"/>
          <cell r="H659"/>
          <cell r="I659"/>
          <cell r="J659"/>
          <cell r="K659"/>
          <cell r="L659"/>
          <cell r="M659"/>
        </row>
        <row r="660">
          <cell r="A660" t="str">
            <v>SSV</v>
          </cell>
          <cell r="B660"/>
          <cell r="C660" t="str">
            <v>KARA</v>
          </cell>
          <cell r="D660" t="str">
            <v>KLOUKPON</v>
          </cell>
          <cell r="E660" t="str">
            <v>70996891</v>
          </cell>
          <cell r="F660" t="str">
            <v>Android</v>
          </cell>
          <cell r="G660"/>
          <cell r="H660"/>
          <cell r="I660"/>
          <cell r="J660"/>
          <cell r="K660"/>
          <cell r="L660"/>
          <cell r="M660"/>
        </row>
        <row r="661">
          <cell r="A661" t="str">
            <v>EASY CONCEPT</v>
          </cell>
          <cell r="B661" t="str">
            <v>LOM-138</v>
          </cell>
          <cell r="C661" t="str">
            <v>LOME</v>
          </cell>
          <cell r="D661" t="str">
            <v>KODJOVIAKOPE</v>
          </cell>
          <cell r="E661">
            <v>70996892</v>
          </cell>
          <cell r="F661" t="str">
            <v>2G</v>
          </cell>
          <cell r="G661"/>
          <cell r="H661"/>
          <cell r="I661"/>
          <cell r="J661"/>
          <cell r="K661"/>
          <cell r="L661"/>
          <cell r="M661"/>
        </row>
        <row r="662">
          <cell r="A662" t="str">
            <v>EASY CONCEPT</v>
          </cell>
          <cell r="B662" t="str">
            <v>LOM-124</v>
          </cell>
          <cell r="C662" t="str">
            <v>LOME</v>
          </cell>
          <cell r="D662" t="str">
            <v>KODOME</v>
          </cell>
          <cell r="E662">
            <v>70996893</v>
          </cell>
          <cell r="F662" t="str">
            <v>2G</v>
          </cell>
          <cell r="G662"/>
          <cell r="H662"/>
          <cell r="I662"/>
          <cell r="J662"/>
          <cell r="K662"/>
          <cell r="L662"/>
          <cell r="M662"/>
        </row>
        <row r="663">
          <cell r="A663" t="str">
            <v>EASY CONCEPT</v>
          </cell>
          <cell r="B663"/>
          <cell r="C663"/>
          <cell r="D663" t="str">
            <v>KODOME 1</v>
          </cell>
          <cell r="E663"/>
          <cell r="F663"/>
          <cell r="G663"/>
          <cell r="H663"/>
          <cell r="I663"/>
          <cell r="J663"/>
          <cell r="K663"/>
          <cell r="L663"/>
          <cell r="M663"/>
        </row>
        <row r="664">
          <cell r="A664" t="str">
            <v>EASY CONCEPT</v>
          </cell>
          <cell r="B664" t="str">
            <v>LOM-125</v>
          </cell>
          <cell r="C664" t="str">
            <v>LOME</v>
          </cell>
          <cell r="D664" t="str">
            <v>KODOME 2</v>
          </cell>
          <cell r="E664">
            <v>70996894</v>
          </cell>
          <cell r="F664" t="str">
            <v>2G</v>
          </cell>
          <cell r="G664"/>
          <cell r="H664"/>
          <cell r="I664"/>
          <cell r="J664"/>
          <cell r="K664"/>
          <cell r="L664"/>
          <cell r="M664"/>
        </row>
        <row r="665">
          <cell r="A665" t="str">
            <v>EASY CONCEPT</v>
          </cell>
          <cell r="B665"/>
          <cell r="C665"/>
          <cell r="D665" t="str">
            <v>KOGNITO</v>
          </cell>
          <cell r="E665"/>
          <cell r="F665"/>
          <cell r="G665"/>
          <cell r="H665"/>
          <cell r="I665"/>
          <cell r="J665"/>
          <cell r="K665"/>
          <cell r="L665"/>
          <cell r="M665"/>
        </row>
        <row r="666">
          <cell r="A666" t="str">
            <v>EASY CONCEPT</v>
          </cell>
          <cell r="B666" t="str">
            <v>LOM-060</v>
          </cell>
          <cell r="C666" t="str">
            <v>LOME</v>
          </cell>
          <cell r="D666" t="str">
            <v>KOHE</v>
          </cell>
          <cell r="E666">
            <v>70996895</v>
          </cell>
          <cell r="F666" t="str">
            <v>2G</v>
          </cell>
          <cell r="G666"/>
          <cell r="H666"/>
          <cell r="I666"/>
          <cell r="J666"/>
          <cell r="K666"/>
          <cell r="L666"/>
          <cell r="M666"/>
        </row>
        <row r="667">
          <cell r="A667" t="str">
            <v>EASY CONCEPT</v>
          </cell>
          <cell r="B667" t="str">
            <v>LOM-342</v>
          </cell>
          <cell r="C667" t="str">
            <v>LOME</v>
          </cell>
          <cell r="D667" t="str">
            <v>KOHE 2</v>
          </cell>
          <cell r="E667">
            <v>70997348</v>
          </cell>
          <cell r="F667" t="str">
            <v>2G</v>
          </cell>
          <cell r="G667"/>
          <cell r="H667"/>
          <cell r="I667"/>
          <cell r="J667"/>
          <cell r="K667"/>
          <cell r="L667"/>
          <cell r="M667"/>
        </row>
        <row r="668">
          <cell r="A668" t="str">
            <v>EASY CONCEPT</v>
          </cell>
          <cell r="B668" t="str">
            <v>LOM-363</v>
          </cell>
          <cell r="C668" t="str">
            <v>LOME</v>
          </cell>
          <cell r="D668" t="str">
            <v>KOKETIME</v>
          </cell>
          <cell r="E668">
            <v>70997349</v>
          </cell>
          <cell r="F668" t="str">
            <v>2G</v>
          </cell>
          <cell r="G668"/>
          <cell r="H668"/>
          <cell r="I668"/>
          <cell r="J668"/>
          <cell r="K668"/>
          <cell r="L668"/>
          <cell r="M668"/>
        </row>
        <row r="669">
          <cell r="A669" t="str">
            <v>EASY CONCEPT</v>
          </cell>
          <cell r="B669" t="str">
            <v>PLA-088</v>
          </cell>
          <cell r="C669" t="str">
            <v>PLATEAUX</v>
          </cell>
          <cell r="D669" t="str">
            <v>KOLOKOPE</v>
          </cell>
          <cell r="E669">
            <v>70997124</v>
          </cell>
          <cell r="F669" t="str">
            <v>2G</v>
          </cell>
          <cell r="G669"/>
          <cell r="H669"/>
          <cell r="I669"/>
          <cell r="J669"/>
          <cell r="K669"/>
          <cell r="L669"/>
          <cell r="M669"/>
        </row>
        <row r="670">
          <cell r="A670" t="str">
            <v>3SCA</v>
          </cell>
          <cell r="B670" t="str">
            <v>PLA-152</v>
          </cell>
          <cell r="C670" t="str">
            <v>PLATEAUX</v>
          </cell>
          <cell r="D670" t="str">
            <v>KOLO-MESSIWOBE</v>
          </cell>
          <cell r="E670">
            <v>70996897</v>
          </cell>
          <cell r="F670" t="str">
            <v>2G</v>
          </cell>
          <cell r="G670"/>
          <cell r="H670"/>
          <cell r="I670"/>
          <cell r="J670"/>
          <cell r="K670"/>
          <cell r="L670"/>
          <cell r="M670"/>
        </row>
        <row r="671">
          <cell r="A671" t="str">
            <v>MRG</v>
          </cell>
          <cell r="B671"/>
          <cell r="C671" t="str">
            <v>MARITIME</v>
          </cell>
          <cell r="D671" t="str">
            <v>KOLO-MESSIWOBE</v>
          </cell>
          <cell r="E671" t="str">
            <v>70996897</v>
          </cell>
          <cell r="F671" t="str">
            <v>Android</v>
          </cell>
          <cell r="G671"/>
          <cell r="H671"/>
          <cell r="I671"/>
          <cell r="J671"/>
          <cell r="K671"/>
          <cell r="L671"/>
          <cell r="M671"/>
        </row>
        <row r="672">
          <cell r="A672" t="str">
            <v>MRG</v>
          </cell>
          <cell r="B672"/>
          <cell r="C672"/>
          <cell r="D672" t="str">
            <v>KOMAH 2</v>
          </cell>
          <cell r="E672"/>
          <cell r="F672"/>
          <cell r="G672"/>
          <cell r="H672"/>
          <cell r="I672"/>
          <cell r="J672"/>
          <cell r="K672"/>
          <cell r="L672"/>
          <cell r="M672"/>
        </row>
        <row r="673">
          <cell r="A673" t="str">
            <v>MRG</v>
          </cell>
          <cell r="B673" t="str">
            <v>CEN-104</v>
          </cell>
          <cell r="C673" t="str">
            <v>CENTRALE</v>
          </cell>
          <cell r="D673" t="str">
            <v>KOMAH 3</v>
          </cell>
          <cell r="E673">
            <v>70997284</v>
          </cell>
          <cell r="F673" t="str">
            <v>2G</v>
          </cell>
          <cell r="G673"/>
          <cell r="H673"/>
          <cell r="I673"/>
          <cell r="J673"/>
          <cell r="K673"/>
          <cell r="L673"/>
          <cell r="M673"/>
        </row>
        <row r="674">
          <cell r="A674" t="str">
            <v>MRG</v>
          </cell>
          <cell r="B674" t="str">
            <v>CEN-010</v>
          </cell>
          <cell r="C674" t="str">
            <v>CENTRALE</v>
          </cell>
          <cell r="D674" t="str">
            <v>KOMAH1</v>
          </cell>
          <cell r="E674">
            <v>70996898</v>
          </cell>
          <cell r="F674" t="str">
            <v>2G</v>
          </cell>
          <cell r="G674"/>
          <cell r="H674"/>
          <cell r="I674"/>
          <cell r="J674"/>
          <cell r="K674"/>
          <cell r="L674"/>
          <cell r="M674"/>
        </row>
        <row r="675">
          <cell r="A675" t="str">
            <v>MRG</v>
          </cell>
          <cell r="B675" t="str">
            <v>SAV-027</v>
          </cell>
          <cell r="C675" t="str">
            <v>SAVANES</v>
          </cell>
          <cell r="D675" t="str">
            <v>KORBONGOU</v>
          </cell>
          <cell r="E675">
            <v>70996899</v>
          </cell>
          <cell r="F675" t="str">
            <v>2G</v>
          </cell>
          <cell r="G675"/>
          <cell r="H675"/>
          <cell r="I675"/>
          <cell r="J675"/>
          <cell r="K675"/>
          <cell r="L675"/>
          <cell r="M675"/>
        </row>
        <row r="676">
          <cell r="A676" t="str">
            <v>MRG</v>
          </cell>
          <cell r="B676"/>
          <cell r="C676" t="str">
            <v>SAVANES</v>
          </cell>
          <cell r="D676" t="str">
            <v>KORBONGOU</v>
          </cell>
          <cell r="E676" t="str">
            <v>70996899</v>
          </cell>
          <cell r="F676" t="str">
            <v>Android</v>
          </cell>
          <cell r="G676"/>
          <cell r="H676"/>
          <cell r="I676"/>
          <cell r="J676"/>
          <cell r="K676"/>
          <cell r="L676"/>
          <cell r="M676"/>
        </row>
        <row r="677">
          <cell r="A677" t="str">
            <v>MRG</v>
          </cell>
          <cell r="B677" t="str">
            <v>PLA-007</v>
          </cell>
          <cell r="C677" t="str">
            <v>PLATEAUX</v>
          </cell>
          <cell r="D677" t="str">
            <v>KOSSIKITI</v>
          </cell>
          <cell r="E677">
            <v>70996653</v>
          </cell>
          <cell r="F677" t="str">
            <v>2G</v>
          </cell>
          <cell r="G677"/>
          <cell r="H677"/>
          <cell r="I677"/>
          <cell r="J677"/>
          <cell r="K677"/>
          <cell r="L677"/>
          <cell r="M677"/>
        </row>
        <row r="678">
          <cell r="A678" t="str">
            <v>MRG</v>
          </cell>
          <cell r="B678" t="str">
            <v>KAR-122</v>
          </cell>
          <cell r="C678" t="str">
            <v>KARA</v>
          </cell>
          <cell r="D678" t="str">
            <v>KOUBOUABOU</v>
          </cell>
          <cell r="E678">
            <v>70996900</v>
          </cell>
          <cell r="F678" t="str">
            <v>2G</v>
          </cell>
          <cell r="G678"/>
          <cell r="H678"/>
          <cell r="I678"/>
          <cell r="J678"/>
          <cell r="K678"/>
          <cell r="L678"/>
          <cell r="M678"/>
        </row>
        <row r="679">
          <cell r="A679" t="str">
            <v>MRG</v>
          </cell>
          <cell r="B679"/>
          <cell r="C679" t="str">
            <v>KARA</v>
          </cell>
          <cell r="D679" t="str">
            <v>KOUBOUABOU</v>
          </cell>
          <cell r="E679" t="str">
            <v>70996900</v>
          </cell>
          <cell r="F679" t="str">
            <v>Android</v>
          </cell>
          <cell r="G679"/>
          <cell r="H679"/>
          <cell r="I679"/>
          <cell r="J679"/>
          <cell r="K679"/>
          <cell r="L679"/>
          <cell r="M679"/>
        </row>
        <row r="680">
          <cell r="A680" t="str">
            <v>MRG</v>
          </cell>
          <cell r="B680" t="str">
            <v>MAR-068</v>
          </cell>
          <cell r="C680" t="str">
            <v>MARITIME</v>
          </cell>
          <cell r="D680" t="str">
            <v>KOUDASSI</v>
          </cell>
          <cell r="E680">
            <v>70996901</v>
          </cell>
          <cell r="F680" t="str">
            <v>2G</v>
          </cell>
          <cell r="G680"/>
          <cell r="H680"/>
          <cell r="I680"/>
          <cell r="J680"/>
          <cell r="K680"/>
          <cell r="L680"/>
          <cell r="M680"/>
        </row>
        <row r="681">
          <cell r="A681" t="str">
            <v>MRG</v>
          </cell>
          <cell r="B681" t="str">
            <v>SAV-035</v>
          </cell>
          <cell r="C681" t="str">
            <v>SAVANES</v>
          </cell>
          <cell r="D681" t="str">
            <v>KOUDOUGOU</v>
          </cell>
          <cell r="E681">
            <v>70996902</v>
          </cell>
          <cell r="F681" t="str">
            <v>2G</v>
          </cell>
          <cell r="G681"/>
          <cell r="H681"/>
          <cell r="I681"/>
          <cell r="J681"/>
          <cell r="K681"/>
          <cell r="L681"/>
          <cell r="M681"/>
        </row>
        <row r="682">
          <cell r="A682" t="str">
            <v>MRG</v>
          </cell>
          <cell r="B682"/>
          <cell r="C682" t="str">
            <v>SAVANES</v>
          </cell>
          <cell r="D682" t="str">
            <v>KOUDOUGOU</v>
          </cell>
          <cell r="E682" t="str">
            <v>70996902</v>
          </cell>
          <cell r="F682" t="str">
            <v>Android</v>
          </cell>
          <cell r="G682"/>
          <cell r="H682"/>
          <cell r="I682"/>
          <cell r="J682"/>
          <cell r="K682"/>
          <cell r="L682"/>
          <cell r="M682"/>
        </row>
        <row r="683">
          <cell r="A683" t="str">
            <v>MRG</v>
          </cell>
          <cell r="B683" t="str">
            <v>PLA-165</v>
          </cell>
          <cell r="C683" t="str">
            <v>PLATEAUX</v>
          </cell>
          <cell r="D683" t="str">
            <v>KOUDZRAGAN</v>
          </cell>
          <cell r="E683">
            <v>70996903</v>
          </cell>
          <cell r="F683" t="str">
            <v>2G</v>
          </cell>
          <cell r="G683"/>
          <cell r="H683"/>
          <cell r="I683"/>
          <cell r="J683"/>
          <cell r="K683"/>
          <cell r="L683"/>
          <cell r="M683"/>
        </row>
        <row r="684">
          <cell r="A684" t="str">
            <v>MRG</v>
          </cell>
          <cell r="B684" t="str">
            <v>PLA-106</v>
          </cell>
          <cell r="C684" t="str">
            <v>PLATEAUX</v>
          </cell>
          <cell r="D684" t="str">
            <v>KOUGNOHOU</v>
          </cell>
          <cell r="E684">
            <v>70996904</v>
          </cell>
          <cell r="F684" t="str">
            <v>2G</v>
          </cell>
          <cell r="G684"/>
          <cell r="H684"/>
          <cell r="I684"/>
          <cell r="J684"/>
          <cell r="K684"/>
          <cell r="L684"/>
          <cell r="M684"/>
        </row>
        <row r="685">
          <cell r="A685" t="str">
            <v>EASY CONCEPT</v>
          </cell>
          <cell r="B685" t="str">
            <v>CEN-093</v>
          </cell>
          <cell r="C685" t="str">
            <v>CENTRALE</v>
          </cell>
          <cell r="D685" t="str">
            <v>KOUI</v>
          </cell>
          <cell r="E685">
            <v>70996906</v>
          </cell>
          <cell r="F685" t="str">
            <v>2G</v>
          </cell>
          <cell r="G685"/>
          <cell r="H685"/>
          <cell r="I685"/>
          <cell r="J685"/>
          <cell r="K685"/>
          <cell r="L685"/>
          <cell r="M685"/>
        </row>
        <row r="686">
          <cell r="A686" t="str">
            <v>SSV</v>
          </cell>
          <cell r="B686"/>
          <cell r="C686" t="str">
            <v>CENTRALE</v>
          </cell>
          <cell r="D686" t="str">
            <v>KOUI</v>
          </cell>
          <cell r="E686" t="str">
            <v>70996906</v>
          </cell>
          <cell r="F686" t="str">
            <v>Android</v>
          </cell>
          <cell r="G686"/>
          <cell r="H686"/>
          <cell r="I686"/>
          <cell r="J686"/>
          <cell r="K686"/>
          <cell r="L686"/>
          <cell r="M686"/>
        </row>
        <row r="687">
          <cell r="A687" t="str">
            <v>EASY CONCEPT</v>
          </cell>
          <cell r="B687" t="str">
            <v>KAR-054</v>
          </cell>
          <cell r="C687" t="str">
            <v>KARA</v>
          </cell>
          <cell r="D687" t="str">
            <v>KOUKA</v>
          </cell>
          <cell r="E687">
            <v>70996907</v>
          </cell>
          <cell r="F687" t="str">
            <v>2G</v>
          </cell>
          <cell r="G687"/>
          <cell r="H687"/>
          <cell r="I687"/>
          <cell r="J687"/>
          <cell r="K687"/>
          <cell r="L687"/>
          <cell r="M687"/>
        </row>
        <row r="688">
          <cell r="A688" t="str">
            <v>EASY CONCEPT</v>
          </cell>
          <cell r="B688"/>
          <cell r="C688" t="str">
            <v>KARA</v>
          </cell>
          <cell r="D688" t="str">
            <v>KOUKA-GBANGBALE</v>
          </cell>
          <cell r="E688" t="str">
            <v>70996908</v>
          </cell>
          <cell r="F688" t="str">
            <v>Android</v>
          </cell>
          <cell r="G688"/>
          <cell r="H688"/>
          <cell r="I688"/>
          <cell r="J688"/>
          <cell r="K688"/>
          <cell r="L688"/>
          <cell r="M688"/>
        </row>
        <row r="689">
          <cell r="A689" t="str">
            <v>EASY CONCEPT</v>
          </cell>
          <cell r="B689" t="str">
            <v>KAR-055</v>
          </cell>
          <cell r="C689" t="str">
            <v>KARA</v>
          </cell>
          <cell r="D689" t="str">
            <v>KOUKA-GBANGBALE</v>
          </cell>
          <cell r="E689">
            <v>70996908</v>
          </cell>
          <cell r="F689" t="str">
            <v>2G</v>
          </cell>
          <cell r="G689"/>
          <cell r="H689"/>
          <cell r="I689"/>
          <cell r="J689"/>
          <cell r="K689"/>
          <cell r="L689"/>
          <cell r="M689"/>
        </row>
        <row r="690">
          <cell r="A690" t="str">
            <v>EASY CONCEPT</v>
          </cell>
          <cell r="B690" t="str">
            <v>KAR-056</v>
          </cell>
          <cell r="C690" t="str">
            <v>KARA</v>
          </cell>
          <cell r="D690" t="str">
            <v>KOULFIEKOU</v>
          </cell>
          <cell r="E690">
            <v>70996909</v>
          </cell>
          <cell r="F690" t="str">
            <v>2G</v>
          </cell>
          <cell r="G690"/>
          <cell r="H690"/>
          <cell r="I690"/>
          <cell r="J690"/>
          <cell r="K690"/>
          <cell r="L690"/>
          <cell r="M690"/>
        </row>
        <row r="691">
          <cell r="A691" t="str">
            <v>MRG</v>
          </cell>
          <cell r="B691"/>
          <cell r="C691" t="str">
            <v>KARA</v>
          </cell>
          <cell r="D691" t="str">
            <v>KOULFIEKOU</v>
          </cell>
          <cell r="E691" t="str">
            <v>70996909</v>
          </cell>
          <cell r="F691" t="str">
            <v>Android</v>
          </cell>
          <cell r="G691"/>
          <cell r="H691"/>
          <cell r="I691"/>
          <cell r="J691"/>
          <cell r="K691"/>
          <cell r="L691"/>
          <cell r="M691"/>
        </row>
        <row r="692">
          <cell r="A692" t="str">
            <v>3SCA</v>
          </cell>
          <cell r="B692" t="str">
            <v>CEN-051</v>
          </cell>
          <cell r="C692" t="str">
            <v>CENTRALE</v>
          </cell>
          <cell r="D692" t="str">
            <v>KOULOUMI</v>
          </cell>
          <cell r="E692">
            <v>70996910</v>
          </cell>
          <cell r="F692" t="str">
            <v>2G</v>
          </cell>
          <cell r="G692"/>
          <cell r="H692"/>
          <cell r="I692"/>
          <cell r="J692"/>
          <cell r="K692"/>
          <cell r="L692"/>
          <cell r="M692"/>
        </row>
        <row r="693">
          <cell r="A693" t="str">
            <v>EASY CONCEPT</v>
          </cell>
          <cell r="B693"/>
          <cell r="C693" t="str">
            <v>CENTRALE</v>
          </cell>
          <cell r="D693" t="str">
            <v>KOULOUMI</v>
          </cell>
          <cell r="E693" t="str">
            <v>70996910</v>
          </cell>
          <cell r="F693" t="str">
            <v>Android</v>
          </cell>
          <cell r="G693"/>
          <cell r="H693"/>
          <cell r="I693"/>
          <cell r="J693"/>
          <cell r="K693"/>
          <cell r="L693"/>
          <cell r="M693"/>
        </row>
        <row r="694">
          <cell r="A694" t="str">
            <v>EASY CONCEPT</v>
          </cell>
          <cell r="B694" t="str">
            <v>CEN-011</v>
          </cell>
          <cell r="C694" t="str">
            <v>CENTRALE</v>
          </cell>
          <cell r="D694" t="str">
            <v>KOULOUNDE 3</v>
          </cell>
          <cell r="E694">
            <v>70997285</v>
          </cell>
          <cell r="F694" t="str">
            <v>2G</v>
          </cell>
          <cell r="G694"/>
          <cell r="H694"/>
          <cell r="I694"/>
          <cell r="J694"/>
          <cell r="K694"/>
          <cell r="L694"/>
          <cell r="M694"/>
        </row>
        <row r="695">
          <cell r="A695" t="str">
            <v>MRG</v>
          </cell>
          <cell r="B695" t="str">
            <v>CEN-011</v>
          </cell>
          <cell r="C695" t="str">
            <v>CENTRALE</v>
          </cell>
          <cell r="D695" t="str">
            <v>KOULOUNDE/Amada</v>
          </cell>
          <cell r="E695">
            <v>70996912</v>
          </cell>
          <cell r="F695" t="str">
            <v>2G</v>
          </cell>
          <cell r="G695"/>
          <cell r="H695"/>
          <cell r="I695"/>
          <cell r="J695"/>
          <cell r="K695"/>
          <cell r="L695"/>
          <cell r="M695"/>
        </row>
        <row r="696">
          <cell r="A696" t="str">
            <v>MRG</v>
          </cell>
          <cell r="B696" t="str">
            <v>CEN-009</v>
          </cell>
          <cell r="C696" t="str">
            <v>CENTRALE</v>
          </cell>
          <cell r="D696" t="str">
            <v>KOULOUNDE/Café Bazar</v>
          </cell>
          <cell r="E696">
            <v>70996911</v>
          </cell>
          <cell r="F696" t="str">
            <v>2G</v>
          </cell>
          <cell r="G696"/>
          <cell r="H696"/>
          <cell r="I696"/>
          <cell r="J696"/>
          <cell r="K696"/>
          <cell r="L696"/>
          <cell r="M696"/>
        </row>
        <row r="697">
          <cell r="A697" t="str">
            <v>3SCA</v>
          </cell>
          <cell r="B697" t="str">
            <v>PLA-048</v>
          </cell>
          <cell r="C697" t="str">
            <v>PLATEAUX</v>
          </cell>
          <cell r="D697" t="str">
            <v>KOUMA</v>
          </cell>
          <cell r="E697">
            <v>70996913</v>
          </cell>
          <cell r="F697" t="str">
            <v>2G</v>
          </cell>
          <cell r="G697"/>
          <cell r="H697"/>
          <cell r="I697"/>
          <cell r="J697"/>
          <cell r="K697"/>
          <cell r="L697"/>
          <cell r="M697"/>
        </row>
        <row r="698">
          <cell r="A698" t="str">
            <v>MRG</v>
          </cell>
          <cell r="B698" t="str">
            <v>PLA-049</v>
          </cell>
          <cell r="C698" t="str">
            <v>PLATEAUX</v>
          </cell>
          <cell r="D698" t="str">
            <v>KOUMA KONDA</v>
          </cell>
          <cell r="E698">
            <v>70996914</v>
          </cell>
          <cell r="F698" t="str">
            <v>2G</v>
          </cell>
          <cell r="G698"/>
          <cell r="H698"/>
          <cell r="I698"/>
          <cell r="J698"/>
          <cell r="K698"/>
          <cell r="L698"/>
          <cell r="M698"/>
        </row>
        <row r="699">
          <cell r="A699" t="str">
            <v>MRG</v>
          </cell>
          <cell r="B699" t="str">
            <v>SAV-021</v>
          </cell>
          <cell r="C699" t="str">
            <v>SAVANES</v>
          </cell>
          <cell r="D699" t="str">
            <v>KOUMBOG</v>
          </cell>
          <cell r="E699">
            <v>70996915</v>
          </cell>
          <cell r="F699" t="str">
            <v>2G</v>
          </cell>
          <cell r="G699"/>
          <cell r="H699"/>
          <cell r="I699"/>
          <cell r="J699"/>
          <cell r="K699"/>
          <cell r="L699"/>
          <cell r="M699"/>
        </row>
        <row r="700">
          <cell r="A700" t="str">
            <v>MRG</v>
          </cell>
          <cell r="B700"/>
          <cell r="C700" t="str">
            <v>SAVANES</v>
          </cell>
          <cell r="D700" t="str">
            <v>KOUMBOG</v>
          </cell>
          <cell r="E700" t="str">
            <v>70996915</v>
          </cell>
          <cell r="F700" t="str">
            <v>Android</v>
          </cell>
          <cell r="G700"/>
          <cell r="H700"/>
          <cell r="I700"/>
          <cell r="J700"/>
          <cell r="K700"/>
          <cell r="L700"/>
          <cell r="M700"/>
        </row>
        <row r="701">
          <cell r="A701" t="str">
            <v>MRG</v>
          </cell>
          <cell r="B701" t="str">
            <v>KAR-020</v>
          </cell>
          <cell r="C701" t="str">
            <v>KARA</v>
          </cell>
          <cell r="D701" t="str">
            <v>KOUMEA</v>
          </cell>
          <cell r="E701">
            <v>70996916</v>
          </cell>
          <cell r="F701" t="str">
            <v>2G</v>
          </cell>
          <cell r="G701"/>
          <cell r="H701"/>
          <cell r="I701"/>
          <cell r="J701"/>
          <cell r="K701"/>
          <cell r="L701"/>
          <cell r="M701"/>
        </row>
        <row r="702">
          <cell r="A702" t="str">
            <v>MRG</v>
          </cell>
          <cell r="B702" t="str">
            <v>KAR-081</v>
          </cell>
          <cell r="C702" t="str">
            <v>KARA</v>
          </cell>
          <cell r="D702" t="str">
            <v>KOUMONDE</v>
          </cell>
          <cell r="E702">
            <v>70996917</v>
          </cell>
          <cell r="F702" t="str">
            <v>2G</v>
          </cell>
          <cell r="G702"/>
          <cell r="H702"/>
          <cell r="I702"/>
          <cell r="J702"/>
          <cell r="K702"/>
          <cell r="L702"/>
          <cell r="M702"/>
        </row>
        <row r="703">
          <cell r="A703" t="str">
            <v>MRG</v>
          </cell>
          <cell r="B703" t="str">
            <v>SAV-051</v>
          </cell>
          <cell r="C703" t="str">
            <v>SAVANES</v>
          </cell>
          <cell r="D703" t="str">
            <v>KOUMONGOU</v>
          </cell>
          <cell r="E703">
            <v>70996918</v>
          </cell>
          <cell r="F703" t="str">
            <v>2G</v>
          </cell>
          <cell r="G703"/>
          <cell r="H703"/>
          <cell r="I703"/>
          <cell r="J703"/>
          <cell r="K703"/>
          <cell r="L703"/>
          <cell r="M703"/>
        </row>
        <row r="704">
          <cell r="A704" t="str">
            <v>MRG</v>
          </cell>
          <cell r="B704" t="str">
            <v>SAV-052</v>
          </cell>
          <cell r="C704" t="str">
            <v>SAVANES</v>
          </cell>
          <cell r="D704" t="str">
            <v>KOUMONGOUKAN</v>
          </cell>
          <cell r="E704">
            <v>70996919</v>
          </cell>
          <cell r="F704" t="str">
            <v>2G</v>
          </cell>
          <cell r="G704"/>
          <cell r="H704"/>
          <cell r="I704"/>
          <cell r="J704"/>
          <cell r="K704"/>
          <cell r="L704"/>
          <cell r="M704"/>
        </row>
        <row r="705">
          <cell r="A705" t="str">
            <v>MRG</v>
          </cell>
          <cell r="B705"/>
          <cell r="C705" t="str">
            <v>SAVANES</v>
          </cell>
          <cell r="D705" t="str">
            <v>KOUMONGOUKAN</v>
          </cell>
          <cell r="E705" t="str">
            <v>70996919</v>
          </cell>
          <cell r="F705" t="str">
            <v>Android</v>
          </cell>
          <cell r="G705"/>
          <cell r="H705"/>
          <cell r="I705"/>
          <cell r="J705"/>
          <cell r="K705"/>
          <cell r="L705"/>
          <cell r="M705"/>
        </row>
        <row r="706">
          <cell r="A706" t="str">
            <v>EASY CONCEPT</v>
          </cell>
          <cell r="B706" t="str">
            <v>CEN-004</v>
          </cell>
          <cell r="C706" t="str">
            <v>CENTRALE</v>
          </cell>
          <cell r="D706" t="str">
            <v>KOUMONIADE</v>
          </cell>
          <cell r="E706">
            <v>70996920</v>
          </cell>
          <cell r="F706" t="str">
            <v>2G</v>
          </cell>
          <cell r="G706"/>
          <cell r="H706"/>
          <cell r="I706"/>
          <cell r="J706"/>
          <cell r="K706"/>
          <cell r="L706"/>
          <cell r="M706"/>
        </row>
        <row r="707">
          <cell r="A707" t="str">
            <v>MRG</v>
          </cell>
          <cell r="B707"/>
          <cell r="C707" t="str">
            <v>CENTRALE</v>
          </cell>
          <cell r="D707" t="str">
            <v>KOUMONIADE</v>
          </cell>
          <cell r="E707" t="str">
            <v>70996920</v>
          </cell>
          <cell r="F707" t="str">
            <v>Android</v>
          </cell>
          <cell r="G707"/>
          <cell r="H707"/>
          <cell r="I707"/>
          <cell r="J707"/>
          <cell r="K707"/>
          <cell r="L707"/>
          <cell r="M707"/>
        </row>
        <row r="708">
          <cell r="A708" t="str">
            <v>MRG</v>
          </cell>
          <cell r="B708" t="str">
            <v>SAV-042</v>
          </cell>
          <cell r="C708" t="str">
            <v>SAVANES</v>
          </cell>
          <cell r="D708" t="str">
            <v>KOUNDJOUARE</v>
          </cell>
          <cell r="E708">
            <v>70996921</v>
          </cell>
          <cell r="F708" t="str">
            <v>2G</v>
          </cell>
          <cell r="G708"/>
          <cell r="H708"/>
          <cell r="I708"/>
          <cell r="J708"/>
          <cell r="K708"/>
          <cell r="L708"/>
          <cell r="M708"/>
        </row>
        <row r="709">
          <cell r="A709" t="str">
            <v>MRG</v>
          </cell>
          <cell r="B709" t="str">
            <v>KAR-098</v>
          </cell>
          <cell r="C709" t="str">
            <v>KARA</v>
          </cell>
          <cell r="D709" t="str">
            <v>KOUNDOUM</v>
          </cell>
          <cell r="E709">
            <v>70996922</v>
          </cell>
          <cell r="F709" t="str">
            <v>2G</v>
          </cell>
          <cell r="G709"/>
          <cell r="H709"/>
          <cell r="I709"/>
          <cell r="J709"/>
          <cell r="K709"/>
          <cell r="L709"/>
          <cell r="M709"/>
        </row>
        <row r="710">
          <cell r="A710" t="str">
            <v>EASY CONCEPT</v>
          </cell>
          <cell r="B710" t="str">
            <v>SAV-006</v>
          </cell>
          <cell r="C710" t="str">
            <v>SAVANES</v>
          </cell>
          <cell r="D710" t="str">
            <v>KOUNTONGUE</v>
          </cell>
          <cell r="E710">
            <v>70996923</v>
          </cell>
          <cell r="F710" t="str">
            <v>2G</v>
          </cell>
          <cell r="G710"/>
          <cell r="H710"/>
          <cell r="I710"/>
          <cell r="J710"/>
          <cell r="K710"/>
          <cell r="L710"/>
          <cell r="M710"/>
        </row>
        <row r="711">
          <cell r="A711" t="str">
            <v>MRG</v>
          </cell>
          <cell r="B711"/>
          <cell r="C711" t="str">
            <v>SAVANES</v>
          </cell>
          <cell r="D711" t="str">
            <v>KOUNTONGUE</v>
          </cell>
          <cell r="E711" t="str">
            <v>70996923</v>
          </cell>
          <cell r="F711" t="str">
            <v>Android</v>
          </cell>
          <cell r="G711"/>
          <cell r="H711"/>
          <cell r="I711"/>
          <cell r="J711"/>
          <cell r="K711"/>
          <cell r="L711"/>
          <cell r="M711"/>
        </row>
        <row r="712">
          <cell r="A712" t="str">
            <v>MRG</v>
          </cell>
          <cell r="B712" t="str">
            <v>SAV-084</v>
          </cell>
          <cell r="C712" t="str">
            <v>SAVANES</v>
          </cell>
          <cell r="D712" t="str">
            <v>KOUNTOUARE</v>
          </cell>
          <cell r="E712">
            <v>70996924</v>
          </cell>
          <cell r="F712" t="str">
            <v>2G</v>
          </cell>
          <cell r="G712"/>
          <cell r="H712"/>
          <cell r="I712"/>
          <cell r="J712"/>
          <cell r="K712"/>
          <cell r="L712"/>
          <cell r="M712"/>
        </row>
        <row r="713">
          <cell r="A713" t="str">
            <v>EASY CONCEPT</v>
          </cell>
          <cell r="B713"/>
          <cell r="C713" t="str">
            <v>SAVANES</v>
          </cell>
          <cell r="D713" t="str">
            <v>KOUNTOUARE</v>
          </cell>
          <cell r="E713" t="str">
            <v>70996924</v>
          </cell>
          <cell r="F713" t="str">
            <v>Android</v>
          </cell>
          <cell r="G713"/>
          <cell r="H713"/>
          <cell r="I713"/>
          <cell r="J713"/>
          <cell r="K713"/>
          <cell r="L713"/>
          <cell r="M713"/>
        </row>
        <row r="714">
          <cell r="A714" t="str">
            <v>MRG</v>
          </cell>
          <cell r="B714" t="str">
            <v>SAV-085</v>
          </cell>
          <cell r="C714" t="str">
            <v>SAVANES</v>
          </cell>
          <cell r="D714" t="str">
            <v>KOURIENTRE</v>
          </cell>
          <cell r="E714">
            <v>70996925</v>
          </cell>
          <cell r="F714" t="str">
            <v>2G</v>
          </cell>
          <cell r="G714"/>
          <cell r="H714"/>
          <cell r="I714"/>
          <cell r="J714"/>
          <cell r="K714"/>
          <cell r="L714"/>
          <cell r="M714"/>
        </row>
        <row r="715">
          <cell r="A715" t="str">
            <v>MRG</v>
          </cell>
          <cell r="B715"/>
          <cell r="C715" t="str">
            <v>SAVANES</v>
          </cell>
          <cell r="D715" t="str">
            <v>KOURIENTRE</v>
          </cell>
          <cell r="E715" t="str">
            <v>70996925</v>
          </cell>
          <cell r="F715" t="str">
            <v>Android</v>
          </cell>
          <cell r="G715"/>
          <cell r="H715"/>
          <cell r="I715"/>
          <cell r="J715"/>
          <cell r="K715"/>
          <cell r="L715"/>
          <cell r="M715"/>
        </row>
        <row r="716">
          <cell r="A716" t="str">
            <v>MRG</v>
          </cell>
          <cell r="B716" t="str">
            <v>CEN-052</v>
          </cell>
          <cell r="C716" t="str">
            <v>CENTRALE</v>
          </cell>
          <cell r="D716" t="str">
            <v>KOUSSOUNTOU</v>
          </cell>
          <cell r="E716">
            <v>70996926</v>
          </cell>
          <cell r="F716" t="str">
            <v>2G</v>
          </cell>
          <cell r="G716"/>
          <cell r="H716"/>
          <cell r="I716"/>
          <cell r="J716"/>
          <cell r="K716"/>
          <cell r="L716"/>
          <cell r="M716"/>
        </row>
        <row r="717">
          <cell r="A717" t="str">
            <v>MRG</v>
          </cell>
          <cell r="B717"/>
          <cell r="C717" t="str">
            <v>CENTRALE</v>
          </cell>
          <cell r="D717" t="str">
            <v>KOUSSOUNTOU</v>
          </cell>
          <cell r="E717" t="str">
            <v>70996926</v>
          </cell>
          <cell r="F717" t="str">
            <v>Android</v>
          </cell>
          <cell r="G717"/>
          <cell r="H717"/>
          <cell r="I717"/>
          <cell r="J717"/>
          <cell r="K717"/>
          <cell r="L717"/>
          <cell r="M717"/>
        </row>
        <row r="718">
          <cell r="A718" t="str">
            <v>3SCA</v>
          </cell>
          <cell r="B718" t="str">
            <v>KAR-131</v>
          </cell>
          <cell r="C718" t="str">
            <v>KARA</v>
          </cell>
          <cell r="D718" t="str">
            <v>KOUTANGOU</v>
          </cell>
          <cell r="E718">
            <v>70996927</v>
          </cell>
          <cell r="F718" t="str">
            <v>2G</v>
          </cell>
          <cell r="G718"/>
          <cell r="H718"/>
          <cell r="I718"/>
          <cell r="J718"/>
          <cell r="K718"/>
          <cell r="L718"/>
          <cell r="M718"/>
        </row>
        <row r="719">
          <cell r="A719" t="str">
            <v>MRG</v>
          </cell>
          <cell r="B719"/>
          <cell r="C719" t="str">
            <v>KARA</v>
          </cell>
          <cell r="D719" t="str">
            <v>KOUTANGOU</v>
          </cell>
          <cell r="E719" t="str">
            <v>70996927</v>
          </cell>
          <cell r="F719" t="str">
            <v>Android</v>
          </cell>
          <cell r="G719"/>
          <cell r="H719"/>
          <cell r="I719"/>
          <cell r="J719"/>
          <cell r="K719"/>
          <cell r="L719"/>
          <cell r="M719"/>
        </row>
        <row r="720">
          <cell r="A720" t="str">
            <v>3SCA</v>
          </cell>
          <cell r="B720" t="str">
            <v>KAR-121</v>
          </cell>
          <cell r="C720" t="str">
            <v>KARA</v>
          </cell>
          <cell r="D720" t="str">
            <v>KOUTCHITCHEOU</v>
          </cell>
          <cell r="E720">
            <v>70996928</v>
          </cell>
          <cell r="F720" t="str">
            <v>2G</v>
          </cell>
          <cell r="G720"/>
          <cell r="H720"/>
          <cell r="I720"/>
          <cell r="J720"/>
          <cell r="K720"/>
          <cell r="L720"/>
          <cell r="M720"/>
        </row>
        <row r="721">
          <cell r="A721" t="str">
            <v>3SCA</v>
          </cell>
          <cell r="B721" t="str">
            <v>KAR-151</v>
          </cell>
          <cell r="C721" t="str">
            <v>KARA</v>
          </cell>
          <cell r="D721" t="str">
            <v>KOUTIERE</v>
          </cell>
          <cell r="E721">
            <v>70997269</v>
          </cell>
          <cell r="F721" t="str">
            <v>2G</v>
          </cell>
          <cell r="G721"/>
          <cell r="H721"/>
          <cell r="I721"/>
          <cell r="J721"/>
          <cell r="K721"/>
          <cell r="L721"/>
          <cell r="M721"/>
        </row>
        <row r="722">
          <cell r="A722" t="str">
            <v>3SCA</v>
          </cell>
          <cell r="B722"/>
          <cell r="C722" t="str">
            <v>KARA</v>
          </cell>
          <cell r="D722" t="str">
            <v>KOUTIERE</v>
          </cell>
          <cell r="E722">
            <v>70997269</v>
          </cell>
          <cell r="F722" t="str">
            <v>Android</v>
          </cell>
          <cell r="G722"/>
          <cell r="H722"/>
          <cell r="I722"/>
          <cell r="J722"/>
          <cell r="K722"/>
          <cell r="L722"/>
          <cell r="M722"/>
        </row>
        <row r="723">
          <cell r="A723" t="str">
            <v>EASY CONCEPT</v>
          </cell>
          <cell r="B723" t="str">
            <v>KAR-041</v>
          </cell>
          <cell r="C723" t="str">
            <v>KARA</v>
          </cell>
          <cell r="D723" t="str">
            <v>KOUTOUGOU</v>
          </cell>
          <cell r="E723">
            <v>70996929</v>
          </cell>
          <cell r="F723" t="str">
            <v>2G</v>
          </cell>
          <cell r="G723"/>
          <cell r="H723"/>
          <cell r="I723"/>
          <cell r="J723"/>
          <cell r="K723"/>
          <cell r="L723"/>
          <cell r="M723"/>
        </row>
        <row r="724">
          <cell r="A724" t="str">
            <v>EASY CONCEPT</v>
          </cell>
          <cell r="B724"/>
          <cell r="C724" t="str">
            <v>KARA</v>
          </cell>
          <cell r="D724" t="str">
            <v>KOUTOUGOU</v>
          </cell>
          <cell r="E724" t="str">
            <v>70996929</v>
          </cell>
          <cell r="F724" t="str">
            <v>Android</v>
          </cell>
          <cell r="G724"/>
          <cell r="H724"/>
          <cell r="I724"/>
          <cell r="J724"/>
          <cell r="K724"/>
          <cell r="L724"/>
          <cell r="M724"/>
        </row>
        <row r="725">
          <cell r="A725" t="str">
            <v>MRG</v>
          </cell>
          <cell r="B725" t="str">
            <v>MAR-040</v>
          </cell>
          <cell r="C725" t="str">
            <v>MARITIME</v>
          </cell>
          <cell r="D725" t="str">
            <v>KOUVE</v>
          </cell>
          <cell r="E725">
            <v>70996930</v>
          </cell>
          <cell r="F725" t="str">
            <v>2G</v>
          </cell>
          <cell r="G725"/>
          <cell r="H725"/>
          <cell r="I725"/>
          <cell r="J725"/>
          <cell r="K725"/>
          <cell r="L725"/>
          <cell r="M725"/>
        </row>
        <row r="726">
          <cell r="A726" t="str">
            <v>MRG</v>
          </cell>
          <cell r="B726" t="str">
            <v>LOM-047</v>
          </cell>
          <cell r="C726" t="str">
            <v>LOME</v>
          </cell>
          <cell r="D726" t="str">
            <v>KOVE</v>
          </cell>
          <cell r="E726">
            <v>70996931</v>
          </cell>
          <cell r="F726" t="str">
            <v>2G</v>
          </cell>
          <cell r="G726"/>
          <cell r="H726"/>
          <cell r="I726"/>
          <cell r="J726"/>
          <cell r="K726"/>
          <cell r="L726"/>
          <cell r="M726"/>
        </row>
        <row r="727">
          <cell r="A727" t="str">
            <v>3SCA</v>
          </cell>
          <cell r="B727" t="str">
            <v>LOM-310</v>
          </cell>
          <cell r="C727" t="str">
            <v>LOME</v>
          </cell>
          <cell r="D727" t="str">
            <v>KOVE/HOUMBI</v>
          </cell>
          <cell r="E727">
            <v>70996422</v>
          </cell>
          <cell r="F727" t="str">
            <v>2G</v>
          </cell>
          <cell r="G727"/>
          <cell r="H727"/>
          <cell r="I727"/>
          <cell r="J727"/>
          <cell r="K727"/>
          <cell r="L727"/>
          <cell r="M727"/>
        </row>
        <row r="728">
          <cell r="A728" t="str">
            <v>3SCA</v>
          </cell>
          <cell r="B728" t="str">
            <v>PLA-043</v>
          </cell>
          <cell r="C728" t="str">
            <v>PLATEAUX</v>
          </cell>
          <cell r="D728" t="str">
            <v>KPADAPE</v>
          </cell>
          <cell r="E728">
            <v>70996933</v>
          </cell>
          <cell r="F728" t="str">
            <v>2G</v>
          </cell>
          <cell r="G728"/>
          <cell r="H728"/>
          <cell r="I728"/>
          <cell r="J728"/>
          <cell r="K728"/>
          <cell r="L728"/>
          <cell r="M728"/>
        </row>
        <row r="729">
          <cell r="A729" t="str">
            <v>MRG</v>
          </cell>
          <cell r="B729" t="str">
            <v>PLA-015</v>
          </cell>
          <cell r="C729" t="str">
            <v>PLATEAUX</v>
          </cell>
          <cell r="D729" t="str">
            <v>KPALIME</v>
          </cell>
          <cell r="E729">
            <v>70996934</v>
          </cell>
          <cell r="F729" t="str">
            <v>2G</v>
          </cell>
          <cell r="G729"/>
          <cell r="H729"/>
          <cell r="I729"/>
          <cell r="J729"/>
          <cell r="K729"/>
          <cell r="L729"/>
          <cell r="M729"/>
        </row>
        <row r="730">
          <cell r="A730" t="str">
            <v>MRG</v>
          </cell>
          <cell r="B730"/>
          <cell r="C730"/>
          <cell r="D730" t="str">
            <v>KPALIME</v>
          </cell>
          <cell r="E730"/>
          <cell r="F730"/>
          <cell r="G730"/>
          <cell r="H730"/>
          <cell r="I730"/>
          <cell r="J730"/>
          <cell r="K730"/>
          <cell r="L730"/>
          <cell r="M730"/>
        </row>
        <row r="731">
          <cell r="A731" t="str">
            <v>MRG</v>
          </cell>
          <cell r="B731" t="str">
            <v>PLA-016</v>
          </cell>
          <cell r="C731" t="str">
            <v>PLATEAUX</v>
          </cell>
          <cell r="D731" t="str">
            <v>KPALIME 2</v>
          </cell>
          <cell r="E731">
            <v>70996935</v>
          </cell>
          <cell r="F731" t="str">
            <v>2G</v>
          </cell>
          <cell r="G731"/>
          <cell r="H731"/>
          <cell r="I731"/>
          <cell r="J731"/>
          <cell r="K731"/>
          <cell r="L731"/>
          <cell r="M731"/>
        </row>
        <row r="732">
          <cell r="A732" t="str">
            <v>EASY CONCEPT</v>
          </cell>
          <cell r="B732" t="str">
            <v>PLA-017</v>
          </cell>
          <cell r="C732" t="str">
            <v>PLATEAUX</v>
          </cell>
          <cell r="D732" t="str">
            <v>KPALIME 3</v>
          </cell>
          <cell r="E732">
            <v>70996936</v>
          </cell>
          <cell r="F732" t="str">
            <v>2G</v>
          </cell>
          <cell r="G732"/>
          <cell r="H732"/>
          <cell r="I732"/>
          <cell r="J732"/>
          <cell r="K732"/>
          <cell r="L732"/>
          <cell r="M732"/>
        </row>
        <row r="733">
          <cell r="A733" t="str">
            <v>EASY CONCEPT</v>
          </cell>
          <cell r="B733" t="str">
            <v>PLA-018</v>
          </cell>
          <cell r="C733" t="str">
            <v>PLATEAUX</v>
          </cell>
          <cell r="D733" t="str">
            <v>KPALIME 4</v>
          </cell>
          <cell r="E733">
            <v>70996937</v>
          </cell>
          <cell r="F733" t="str">
            <v>2G</v>
          </cell>
          <cell r="G733"/>
          <cell r="H733"/>
          <cell r="I733"/>
          <cell r="J733"/>
          <cell r="K733"/>
          <cell r="L733"/>
          <cell r="M733"/>
        </row>
        <row r="734">
          <cell r="A734" t="str">
            <v>EASY CONCEPT</v>
          </cell>
          <cell r="B734" t="str">
            <v>PLA-205</v>
          </cell>
          <cell r="C734" t="str">
            <v>PLATEAUX</v>
          </cell>
          <cell r="D734" t="str">
            <v>KPALIME 5</v>
          </cell>
          <cell r="E734">
            <v>70996479</v>
          </cell>
          <cell r="F734" t="str">
            <v>2G</v>
          </cell>
          <cell r="G734"/>
          <cell r="H734"/>
          <cell r="I734"/>
          <cell r="J734"/>
          <cell r="K734"/>
          <cell r="L734"/>
          <cell r="M734"/>
        </row>
        <row r="735">
          <cell r="A735" t="str">
            <v>MRG</v>
          </cell>
          <cell r="B735" t="str">
            <v>PLA-206</v>
          </cell>
          <cell r="C735" t="str">
            <v>PLATEAUX</v>
          </cell>
          <cell r="D735" t="str">
            <v>KPALIME 6</v>
          </cell>
          <cell r="E735">
            <v>70996480</v>
          </cell>
          <cell r="F735" t="str">
            <v>2G</v>
          </cell>
          <cell r="G735"/>
          <cell r="H735"/>
          <cell r="I735"/>
          <cell r="J735"/>
          <cell r="K735"/>
          <cell r="L735"/>
          <cell r="M735"/>
        </row>
        <row r="736">
          <cell r="A736" t="str">
            <v>MRG</v>
          </cell>
          <cell r="B736" t="str">
            <v>PLA-168</v>
          </cell>
          <cell r="C736" t="str">
            <v>PLATEAUX</v>
          </cell>
          <cell r="D736" t="str">
            <v>KPALIME HOTEL</v>
          </cell>
          <cell r="E736">
            <v>70996938</v>
          </cell>
          <cell r="F736" t="str">
            <v>2G</v>
          </cell>
          <cell r="G736"/>
          <cell r="H736"/>
          <cell r="I736"/>
          <cell r="J736"/>
          <cell r="K736"/>
          <cell r="L736"/>
          <cell r="M736"/>
        </row>
        <row r="737">
          <cell r="A737" t="str">
            <v>EASY CONCEPT</v>
          </cell>
          <cell r="B737" t="str">
            <v>PLA-019</v>
          </cell>
          <cell r="C737" t="str">
            <v>PLATEAUX</v>
          </cell>
          <cell r="D737" t="str">
            <v>KPALIME KPODJI</v>
          </cell>
          <cell r="E737">
            <v>70996939</v>
          </cell>
          <cell r="F737" t="str">
            <v>2G</v>
          </cell>
          <cell r="G737"/>
          <cell r="H737"/>
          <cell r="I737"/>
          <cell r="J737"/>
          <cell r="K737"/>
          <cell r="L737"/>
          <cell r="M737"/>
        </row>
        <row r="738">
          <cell r="A738" t="str">
            <v>EASY CONCEPT</v>
          </cell>
          <cell r="B738"/>
          <cell r="C738"/>
          <cell r="D738" t="str">
            <v>KPALIME NIYVEME</v>
          </cell>
          <cell r="E738"/>
          <cell r="F738"/>
          <cell r="G738"/>
          <cell r="H738"/>
          <cell r="I738"/>
          <cell r="J738"/>
          <cell r="K738"/>
          <cell r="L738"/>
          <cell r="M738"/>
        </row>
        <row r="739">
          <cell r="A739" t="str">
            <v>SSV</v>
          </cell>
          <cell r="B739" t="str">
            <v>PLA-238</v>
          </cell>
          <cell r="C739" t="str">
            <v>PLATEAUX</v>
          </cell>
          <cell r="D739" t="str">
            <v>KPALIME NUMETOUKONDJI</v>
          </cell>
          <cell r="E739">
            <v>70997365</v>
          </cell>
          <cell r="F739" t="str">
            <v>2G</v>
          </cell>
          <cell r="G739"/>
          <cell r="H739"/>
          <cell r="I739"/>
          <cell r="J739"/>
          <cell r="K739"/>
          <cell r="L739"/>
          <cell r="M739"/>
        </row>
        <row r="740">
          <cell r="A740" t="str">
            <v>SSV</v>
          </cell>
          <cell r="B740"/>
          <cell r="C740"/>
          <cell r="D740" t="str">
            <v>KPALIME NUMETOUKONDJI</v>
          </cell>
          <cell r="E740"/>
          <cell r="F740"/>
          <cell r="G740"/>
          <cell r="H740"/>
          <cell r="I740"/>
          <cell r="J740"/>
          <cell r="K740"/>
          <cell r="L740"/>
          <cell r="M740"/>
        </row>
        <row r="741">
          <cell r="A741" t="str">
            <v>EASY CONCEPT</v>
          </cell>
          <cell r="B741" t="str">
            <v>PLA-184</v>
          </cell>
          <cell r="C741" t="str">
            <v>PLATEAUX</v>
          </cell>
          <cell r="D741" t="str">
            <v>KPALIME NYIVEME</v>
          </cell>
          <cell r="E741">
            <v>70996440</v>
          </cell>
          <cell r="F741" t="str">
            <v>2G</v>
          </cell>
          <cell r="G741"/>
          <cell r="H741"/>
          <cell r="I741"/>
          <cell r="J741"/>
          <cell r="K741"/>
          <cell r="L741"/>
          <cell r="M741"/>
        </row>
        <row r="742">
          <cell r="A742" t="str">
            <v>MRG</v>
          </cell>
          <cell r="B742"/>
          <cell r="C742" t="str">
            <v>PLATEAUX</v>
          </cell>
          <cell r="D742" t="str">
            <v>KPALIME TSIVE</v>
          </cell>
          <cell r="E742">
            <v>70997364</v>
          </cell>
          <cell r="F742" t="str">
            <v>2G</v>
          </cell>
          <cell r="G742"/>
          <cell r="H742"/>
          <cell r="I742"/>
          <cell r="J742"/>
          <cell r="K742"/>
          <cell r="L742"/>
          <cell r="M742"/>
        </row>
        <row r="743">
          <cell r="A743" t="str">
            <v>MRG</v>
          </cell>
          <cell r="B743" t="str">
            <v>KAR-103</v>
          </cell>
          <cell r="C743" t="str">
            <v>KARA</v>
          </cell>
          <cell r="D743" t="str">
            <v>KPALOU</v>
          </cell>
          <cell r="E743">
            <v>70996940</v>
          </cell>
          <cell r="F743" t="str">
            <v>2G</v>
          </cell>
          <cell r="G743"/>
          <cell r="H743"/>
          <cell r="I743"/>
          <cell r="J743"/>
          <cell r="K743"/>
          <cell r="L743"/>
          <cell r="M743"/>
        </row>
        <row r="744">
          <cell r="A744" t="str">
            <v>MRG</v>
          </cell>
          <cell r="B744" t="str">
            <v>SAV-091</v>
          </cell>
          <cell r="C744" t="str">
            <v>SAVANES</v>
          </cell>
          <cell r="D744" t="str">
            <v>KPANDJOARE 2</v>
          </cell>
          <cell r="E744">
            <v>70996413</v>
          </cell>
          <cell r="F744" t="str">
            <v>2G</v>
          </cell>
          <cell r="G744"/>
          <cell r="H744"/>
          <cell r="I744"/>
          <cell r="J744"/>
          <cell r="K744"/>
          <cell r="L744"/>
          <cell r="M744"/>
        </row>
        <row r="745">
          <cell r="A745" t="str">
            <v>MRG</v>
          </cell>
          <cell r="B745" t="str">
            <v>CEN-005</v>
          </cell>
          <cell r="C745" t="str">
            <v>CENTRALE</v>
          </cell>
          <cell r="D745" t="str">
            <v>KPANGALAM</v>
          </cell>
          <cell r="E745">
            <v>70996941</v>
          </cell>
          <cell r="F745" t="str">
            <v>2G</v>
          </cell>
          <cell r="G745"/>
          <cell r="H745"/>
          <cell r="I745"/>
          <cell r="J745"/>
          <cell r="K745"/>
          <cell r="L745"/>
          <cell r="M745"/>
        </row>
        <row r="746">
          <cell r="A746" t="str">
            <v>MRG</v>
          </cell>
          <cell r="B746" t="str">
            <v>CEN-019</v>
          </cell>
          <cell r="C746" t="str">
            <v>CENTRALE</v>
          </cell>
          <cell r="D746" t="str">
            <v>KPARATAO</v>
          </cell>
          <cell r="E746">
            <v>70996942</v>
          </cell>
          <cell r="F746" t="str">
            <v>2G</v>
          </cell>
          <cell r="G746"/>
          <cell r="H746"/>
          <cell r="I746"/>
          <cell r="J746"/>
          <cell r="K746"/>
          <cell r="L746"/>
          <cell r="M746"/>
        </row>
        <row r="747">
          <cell r="A747" t="str">
            <v>EASY CONCEPT</v>
          </cell>
          <cell r="B747"/>
          <cell r="C747" t="str">
            <v>CENTRALE</v>
          </cell>
          <cell r="D747" t="str">
            <v>KPARATAO</v>
          </cell>
          <cell r="E747" t="str">
            <v>70996942</v>
          </cell>
          <cell r="F747" t="str">
            <v>Android</v>
          </cell>
          <cell r="G747"/>
          <cell r="H747"/>
          <cell r="I747"/>
          <cell r="J747"/>
          <cell r="K747"/>
          <cell r="L747"/>
          <cell r="M747"/>
        </row>
        <row r="748">
          <cell r="A748" t="str">
            <v>EASY CONCEPT</v>
          </cell>
          <cell r="B748" t="str">
            <v>CEN-020</v>
          </cell>
          <cell r="C748" t="str">
            <v>CENTRALE</v>
          </cell>
          <cell r="D748" t="str">
            <v>KPASSOUADE</v>
          </cell>
          <cell r="E748">
            <v>70996943</v>
          </cell>
          <cell r="F748" t="str">
            <v>2G</v>
          </cell>
          <cell r="G748"/>
          <cell r="H748"/>
          <cell r="I748"/>
          <cell r="J748"/>
          <cell r="K748"/>
          <cell r="L748"/>
          <cell r="M748"/>
        </row>
        <row r="749">
          <cell r="A749" t="str">
            <v>MRG</v>
          </cell>
          <cell r="B749" t="str">
            <v>PLA-126</v>
          </cell>
          <cell r="C749" t="str">
            <v>PLATEAUX</v>
          </cell>
          <cell r="D749" t="str">
            <v>KPATEGAN</v>
          </cell>
          <cell r="E749">
            <v>70996944</v>
          </cell>
          <cell r="F749" t="str">
            <v>2G</v>
          </cell>
          <cell r="G749"/>
          <cell r="H749"/>
          <cell r="I749"/>
          <cell r="J749"/>
          <cell r="K749"/>
          <cell r="L749"/>
          <cell r="M749"/>
        </row>
        <row r="750">
          <cell r="A750" t="str">
            <v>MRG</v>
          </cell>
          <cell r="B750"/>
          <cell r="C750" t="str">
            <v>MARITIME</v>
          </cell>
          <cell r="D750" t="str">
            <v>KPATEGAN</v>
          </cell>
          <cell r="E750" t="str">
            <v>70996944</v>
          </cell>
          <cell r="F750" t="str">
            <v>Android</v>
          </cell>
          <cell r="G750"/>
          <cell r="H750"/>
          <cell r="I750"/>
          <cell r="J750"/>
          <cell r="K750"/>
          <cell r="L750"/>
          <cell r="M750"/>
        </row>
        <row r="751">
          <cell r="A751" t="str">
            <v>3SCA</v>
          </cell>
          <cell r="B751" t="str">
            <v>CEN-048</v>
          </cell>
          <cell r="C751" t="str">
            <v>CENTRALE</v>
          </cell>
          <cell r="D751" t="str">
            <v>KPAZA</v>
          </cell>
          <cell r="E751">
            <v>70996945</v>
          </cell>
          <cell r="F751" t="str">
            <v>2G</v>
          </cell>
          <cell r="G751"/>
          <cell r="H751"/>
          <cell r="I751"/>
          <cell r="J751"/>
          <cell r="K751"/>
          <cell r="L751"/>
          <cell r="M751"/>
        </row>
        <row r="752">
          <cell r="A752" t="str">
            <v>EASY CONCEPT</v>
          </cell>
          <cell r="B752"/>
          <cell r="C752" t="str">
            <v>CENTRALE</v>
          </cell>
          <cell r="D752" t="str">
            <v>KPAZA</v>
          </cell>
          <cell r="E752" t="str">
            <v>70996945</v>
          </cell>
          <cell r="F752" t="str">
            <v>Android</v>
          </cell>
          <cell r="G752"/>
          <cell r="H752"/>
          <cell r="I752"/>
          <cell r="J752"/>
          <cell r="K752"/>
          <cell r="L752"/>
          <cell r="M752"/>
        </row>
        <row r="753">
          <cell r="A753" t="str">
            <v>EASY CONCEPT</v>
          </cell>
          <cell r="B753" t="str">
            <v>PLA-131</v>
          </cell>
          <cell r="C753" t="str">
            <v>PLATEAUX</v>
          </cell>
          <cell r="D753" t="str">
            <v>KPEGNON</v>
          </cell>
          <cell r="E753">
            <v>70996946</v>
          </cell>
          <cell r="F753" t="str">
            <v>2G</v>
          </cell>
          <cell r="G753"/>
          <cell r="H753"/>
          <cell r="I753"/>
          <cell r="J753"/>
          <cell r="K753"/>
          <cell r="L753"/>
          <cell r="M753"/>
        </row>
        <row r="754">
          <cell r="A754" t="str">
            <v>MRG</v>
          </cell>
          <cell r="B754" t="str">
            <v>PLA-171</v>
          </cell>
          <cell r="C754" t="str">
            <v>PLATEAUX</v>
          </cell>
          <cell r="D754" t="str">
            <v>KPEKPETA</v>
          </cell>
          <cell r="E754">
            <v>70996947</v>
          </cell>
          <cell r="F754" t="str">
            <v>2G</v>
          </cell>
          <cell r="G754"/>
          <cell r="H754"/>
          <cell r="I754"/>
          <cell r="J754"/>
          <cell r="K754"/>
          <cell r="L754"/>
          <cell r="M754"/>
        </row>
        <row r="755">
          <cell r="A755" t="str">
            <v>MRG</v>
          </cell>
          <cell r="B755"/>
          <cell r="C755" t="str">
            <v>MARITIME</v>
          </cell>
          <cell r="D755" t="str">
            <v>KPEKPETA</v>
          </cell>
          <cell r="E755" t="str">
            <v>70996947</v>
          </cell>
          <cell r="F755" t="str">
            <v>Android</v>
          </cell>
          <cell r="G755"/>
          <cell r="H755"/>
          <cell r="I755"/>
          <cell r="J755"/>
          <cell r="K755"/>
          <cell r="L755"/>
          <cell r="M755"/>
        </row>
        <row r="756">
          <cell r="A756" t="str">
            <v>3SCA</v>
          </cell>
          <cell r="B756" t="str">
            <v>PLA-136</v>
          </cell>
          <cell r="C756" t="str">
            <v>PLATEAUX</v>
          </cell>
          <cell r="D756" t="str">
            <v>KPEKPLEME</v>
          </cell>
          <cell r="E756">
            <v>70996948</v>
          </cell>
          <cell r="F756" t="str">
            <v>2G</v>
          </cell>
          <cell r="G756"/>
          <cell r="H756"/>
          <cell r="I756"/>
          <cell r="J756"/>
          <cell r="K756"/>
          <cell r="L756"/>
          <cell r="M756"/>
        </row>
        <row r="757">
          <cell r="A757" t="str">
            <v>MRG</v>
          </cell>
          <cell r="B757"/>
          <cell r="C757" t="str">
            <v>PLATEAUX</v>
          </cell>
          <cell r="D757" t="str">
            <v>KPEKPLEME</v>
          </cell>
          <cell r="E757" t="str">
            <v>70996948</v>
          </cell>
          <cell r="F757" t="str">
            <v>Android</v>
          </cell>
          <cell r="G757"/>
          <cell r="H757"/>
          <cell r="I757"/>
          <cell r="J757"/>
          <cell r="K757"/>
          <cell r="L757"/>
          <cell r="M757"/>
        </row>
        <row r="758">
          <cell r="A758" t="str">
            <v>MRG</v>
          </cell>
          <cell r="B758" t="str">
            <v>PLA-050</v>
          </cell>
          <cell r="C758" t="str">
            <v>PLATEAUX</v>
          </cell>
          <cell r="D758" t="str">
            <v>KPELE</v>
          </cell>
          <cell r="E758">
            <v>70996949</v>
          </cell>
          <cell r="F758" t="str">
            <v>2G</v>
          </cell>
          <cell r="G758"/>
          <cell r="H758"/>
          <cell r="I758"/>
          <cell r="J758"/>
          <cell r="K758"/>
          <cell r="L758"/>
          <cell r="M758"/>
        </row>
        <row r="759">
          <cell r="A759" t="str">
            <v>MRG</v>
          </cell>
          <cell r="B759" t="str">
            <v>PLA-070</v>
          </cell>
          <cell r="C759" t="str">
            <v>PLATEAUX</v>
          </cell>
          <cell r="D759" t="str">
            <v>KPELE AGAVE</v>
          </cell>
          <cell r="E759">
            <v>70996951</v>
          </cell>
          <cell r="F759" t="str">
            <v>2G</v>
          </cell>
          <cell r="G759"/>
          <cell r="H759"/>
          <cell r="I759"/>
          <cell r="J759"/>
          <cell r="K759"/>
          <cell r="L759"/>
          <cell r="M759"/>
        </row>
        <row r="760">
          <cell r="A760" t="str">
            <v>SSV</v>
          </cell>
          <cell r="B760" t="str">
            <v>PLA-186</v>
          </cell>
          <cell r="C760" t="str">
            <v>PLATEAUX</v>
          </cell>
          <cell r="D760" t="str">
            <v>KPELE AGBANON</v>
          </cell>
          <cell r="E760">
            <v>70996950</v>
          </cell>
          <cell r="F760" t="str">
            <v>2G</v>
          </cell>
          <cell r="G760"/>
          <cell r="H760"/>
          <cell r="I760"/>
          <cell r="J760"/>
          <cell r="K760"/>
          <cell r="L760"/>
          <cell r="M760"/>
        </row>
        <row r="761">
          <cell r="A761" t="str">
            <v>SSV</v>
          </cell>
          <cell r="B761" t="str">
            <v>PLA-063</v>
          </cell>
          <cell r="C761" t="str">
            <v>PLATEAUX</v>
          </cell>
          <cell r="D761" t="str">
            <v>KPELE AKATA</v>
          </cell>
          <cell r="E761">
            <v>70996952</v>
          </cell>
          <cell r="F761" t="str">
            <v>2G</v>
          </cell>
          <cell r="G761"/>
          <cell r="H761"/>
          <cell r="I761"/>
          <cell r="J761"/>
          <cell r="K761"/>
          <cell r="L761"/>
          <cell r="M761"/>
        </row>
        <row r="762">
          <cell r="A762" t="str">
            <v>MRG</v>
          </cell>
          <cell r="B762" t="str">
            <v>PLA-071</v>
          </cell>
          <cell r="C762" t="str">
            <v>PLATEAUX</v>
          </cell>
          <cell r="D762" t="str">
            <v>KPELE ELE</v>
          </cell>
          <cell r="E762">
            <v>70996953</v>
          </cell>
          <cell r="F762" t="str">
            <v>2G</v>
          </cell>
          <cell r="G762"/>
          <cell r="H762"/>
          <cell r="I762"/>
          <cell r="J762"/>
          <cell r="K762"/>
          <cell r="L762"/>
          <cell r="M762"/>
        </row>
        <row r="763">
          <cell r="A763" t="str">
            <v>MRG</v>
          </cell>
          <cell r="B763"/>
          <cell r="C763" t="str">
            <v>PLATEAUX</v>
          </cell>
          <cell r="D763" t="str">
            <v>KPELE GOUDEVE</v>
          </cell>
          <cell r="E763">
            <v>70997355</v>
          </cell>
          <cell r="F763" t="str">
            <v>2G</v>
          </cell>
          <cell r="G763"/>
          <cell r="H763"/>
          <cell r="I763"/>
          <cell r="J763"/>
          <cell r="K763"/>
          <cell r="L763"/>
          <cell r="M763"/>
        </row>
        <row r="764">
          <cell r="A764" t="str">
            <v>MRG</v>
          </cell>
          <cell r="B764" t="str">
            <v>KAR-017</v>
          </cell>
          <cell r="C764" t="str">
            <v>KARA</v>
          </cell>
          <cell r="D764" t="str">
            <v>KPELOUWAYI</v>
          </cell>
          <cell r="E764">
            <v>70996954</v>
          </cell>
          <cell r="F764" t="str">
            <v>2G</v>
          </cell>
          <cell r="G764"/>
          <cell r="H764"/>
          <cell r="I764"/>
          <cell r="J764"/>
          <cell r="K764"/>
          <cell r="L764"/>
          <cell r="M764"/>
        </row>
        <row r="765">
          <cell r="A765" t="str">
            <v>MRG</v>
          </cell>
          <cell r="B765" t="str">
            <v>PLA-030</v>
          </cell>
          <cell r="C765" t="str">
            <v>PLATEAUX</v>
          </cell>
          <cell r="D765" t="str">
            <v>KPEME</v>
          </cell>
          <cell r="E765">
            <v>70996955</v>
          </cell>
          <cell r="F765" t="str">
            <v>2G</v>
          </cell>
          <cell r="G765"/>
          <cell r="H765"/>
          <cell r="I765"/>
          <cell r="J765"/>
          <cell r="K765"/>
          <cell r="L765"/>
          <cell r="M765"/>
        </row>
        <row r="766">
          <cell r="A766" t="str">
            <v>SSV</v>
          </cell>
          <cell r="B766" t="str">
            <v>PLA-030</v>
          </cell>
          <cell r="C766" t="str">
            <v>PLATEAUX</v>
          </cell>
          <cell r="D766" t="str">
            <v>KPESSI</v>
          </cell>
          <cell r="E766">
            <v>70996956</v>
          </cell>
          <cell r="F766" t="str">
            <v>2G</v>
          </cell>
          <cell r="G766"/>
          <cell r="H766"/>
          <cell r="I766"/>
          <cell r="J766"/>
          <cell r="K766"/>
          <cell r="L766"/>
          <cell r="M766"/>
        </row>
        <row r="767">
          <cell r="A767" t="str">
            <v>SSV</v>
          </cell>
          <cell r="B767"/>
          <cell r="C767" t="str">
            <v>PLATEAUX</v>
          </cell>
          <cell r="D767" t="str">
            <v>KPESSI</v>
          </cell>
          <cell r="E767" t="str">
            <v>70996956</v>
          </cell>
          <cell r="F767" t="str">
            <v>Android</v>
          </cell>
          <cell r="G767"/>
          <cell r="H767"/>
          <cell r="I767"/>
          <cell r="J767"/>
          <cell r="K767"/>
          <cell r="L767"/>
          <cell r="M767"/>
        </row>
        <row r="768">
          <cell r="A768" t="str">
            <v>MRG</v>
          </cell>
          <cell r="B768" t="str">
            <v>KAR-049</v>
          </cell>
          <cell r="C768" t="str">
            <v>KARA</v>
          </cell>
          <cell r="D768" t="str">
            <v>KPESSIDE</v>
          </cell>
          <cell r="E768">
            <v>70996957</v>
          </cell>
          <cell r="F768" t="str">
            <v>2G</v>
          </cell>
          <cell r="G768"/>
          <cell r="H768"/>
          <cell r="I768"/>
          <cell r="J768"/>
          <cell r="K768"/>
          <cell r="L768"/>
          <cell r="M768"/>
        </row>
        <row r="769">
          <cell r="A769" t="str">
            <v>MRG</v>
          </cell>
          <cell r="B769" t="str">
            <v>PLA-183</v>
          </cell>
          <cell r="C769" t="str">
            <v>PLATEAUX</v>
          </cell>
          <cell r="D769" t="str">
            <v>KPETA</v>
          </cell>
          <cell r="E769">
            <v>70996958</v>
          </cell>
          <cell r="F769" t="str">
            <v>2G</v>
          </cell>
          <cell r="G769"/>
          <cell r="H769"/>
          <cell r="I769"/>
          <cell r="J769"/>
          <cell r="K769"/>
          <cell r="L769"/>
          <cell r="M769"/>
        </row>
        <row r="770">
          <cell r="A770" t="str">
            <v>MRG</v>
          </cell>
          <cell r="B770"/>
          <cell r="C770" t="str">
            <v>PLATEAUX</v>
          </cell>
          <cell r="D770" t="str">
            <v>KPETA</v>
          </cell>
          <cell r="E770" t="str">
            <v>70996958</v>
          </cell>
          <cell r="F770" t="str">
            <v>Android</v>
          </cell>
          <cell r="G770"/>
          <cell r="H770"/>
          <cell r="I770"/>
          <cell r="J770"/>
          <cell r="K770"/>
          <cell r="L770"/>
          <cell r="M770"/>
        </row>
        <row r="771">
          <cell r="A771" t="str">
            <v>SSV</v>
          </cell>
          <cell r="B771" t="str">
            <v>KAR-123</v>
          </cell>
          <cell r="C771" t="str">
            <v>KARA</v>
          </cell>
          <cell r="D771" t="str">
            <v>KPETAB</v>
          </cell>
          <cell r="E771">
            <v>70996959</v>
          </cell>
          <cell r="F771" t="str">
            <v>2G</v>
          </cell>
          <cell r="G771"/>
          <cell r="H771"/>
          <cell r="I771"/>
          <cell r="J771"/>
          <cell r="K771"/>
          <cell r="L771"/>
          <cell r="M771"/>
        </row>
        <row r="772">
          <cell r="A772" t="str">
            <v>SSV</v>
          </cell>
          <cell r="B772" t="str">
            <v>PLA-155</v>
          </cell>
          <cell r="C772" t="str">
            <v>PLATEAUX</v>
          </cell>
          <cell r="D772" t="str">
            <v>KPETCHIHOE</v>
          </cell>
          <cell r="E772">
            <v>70996960</v>
          </cell>
          <cell r="F772" t="str">
            <v>2G</v>
          </cell>
          <cell r="G772"/>
          <cell r="H772"/>
          <cell r="I772"/>
          <cell r="J772"/>
          <cell r="K772"/>
          <cell r="L772"/>
          <cell r="M772"/>
        </row>
        <row r="773">
          <cell r="A773" t="str">
            <v>EASY CONCEPT</v>
          </cell>
          <cell r="B773"/>
          <cell r="C773" t="str">
            <v>PLATEAUX</v>
          </cell>
          <cell r="D773" t="str">
            <v>KPETCHIHOE</v>
          </cell>
          <cell r="E773" t="str">
            <v>70996960</v>
          </cell>
          <cell r="F773" t="str">
            <v>Android</v>
          </cell>
          <cell r="G773"/>
          <cell r="H773"/>
          <cell r="I773"/>
          <cell r="J773"/>
          <cell r="K773"/>
          <cell r="L773"/>
          <cell r="M773"/>
        </row>
        <row r="774">
          <cell r="A774" t="str">
            <v>EASY CONCEPT</v>
          </cell>
          <cell r="B774" t="str">
            <v>PLA-118</v>
          </cell>
          <cell r="C774" t="str">
            <v>PLATEAUX</v>
          </cell>
          <cell r="D774" t="str">
            <v>KPETE BENA</v>
          </cell>
          <cell r="E774">
            <v>70996961</v>
          </cell>
          <cell r="F774" t="str">
            <v>2G</v>
          </cell>
          <cell r="G774"/>
          <cell r="H774"/>
          <cell r="I774"/>
          <cell r="J774"/>
          <cell r="K774"/>
          <cell r="L774"/>
          <cell r="M774"/>
        </row>
        <row r="775">
          <cell r="A775" t="str">
            <v>SSV</v>
          </cell>
          <cell r="B775"/>
          <cell r="C775" t="str">
            <v>PLATEAUX</v>
          </cell>
          <cell r="D775" t="str">
            <v>KPETE BENA</v>
          </cell>
          <cell r="E775" t="str">
            <v>70996961</v>
          </cell>
          <cell r="F775" t="str">
            <v>Android</v>
          </cell>
          <cell r="G775"/>
          <cell r="H775"/>
          <cell r="I775"/>
          <cell r="J775"/>
          <cell r="K775"/>
          <cell r="L775"/>
          <cell r="M775"/>
        </row>
        <row r="776">
          <cell r="A776" t="str">
            <v>SSV</v>
          </cell>
          <cell r="B776" t="str">
            <v>MAR-085</v>
          </cell>
          <cell r="C776" t="str">
            <v>MARITIME</v>
          </cell>
          <cell r="D776" t="str">
            <v>KPETSOU</v>
          </cell>
          <cell r="E776">
            <v>70996962</v>
          </cell>
          <cell r="F776" t="str">
            <v>2G</v>
          </cell>
          <cell r="G776"/>
          <cell r="H776"/>
          <cell r="I776"/>
          <cell r="J776"/>
          <cell r="K776"/>
          <cell r="L776"/>
          <cell r="M776"/>
        </row>
        <row r="777">
          <cell r="A777" t="str">
            <v>SSV</v>
          </cell>
          <cell r="B777" t="str">
            <v>PLA-231</v>
          </cell>
          <cell r="C777" t="str">
            <v>PLATEAUX</v>
          </cell>
          <cell r="D777" t="str">
            <v>KPEVE</v>
          </cell>
          <cell r="E777">
            <v>70996513</v>
          </cell>
          <cell r="F777" t="str">
            <v>2G</v>
          </cell>
          <cell r="G777"/>
          <cell r="H777"/>
          <cell r="I777"/>
          <cell r="J777"/>
          <cell r="K777"/>
          <cell r="L777"/>
          <cell r="M777"/>
        </row>
        <row r="778">
          <cell r="A778" t="str">
            <v>EASY CONCEPT</v>
          </cell>
          <cell r="B778"/>
          <cell r="C778" t="str">
            <v>MARITIME</v>
          </cell>
          <cell r="D778" t="str">
            <v>KPEVE</v>
          </cell>
          <cell r="E778" t="str">
            <v>70996513</v>
          </cell>
          <cell r="F778" t="str">
            <v>Android</v>
          </cell>
          <cell r="G778"/>
          <cell r="H778"/>
          <cell r="I778"/>
          <cell r="J778"/>
          <cell r="K778"/>
          <cell r="L778"/>
          <cell r="M778"/>
        </row>
        <row r="779">
          <cell r="A779" t="str">
            <v>SSV</v>
          </cell>
          <cell r="B779" t="str">
            <v>MAR-066</v>
          </cell>
          <cell r="C779" t="str">
            <v>MARITIME</v>
          </cell>
          <cell r="D779" t="str">
            <v>KPEVEGO</v>
          </cell>
          <cell r="E779">
            <v>70996963</v>
          </cell>
          <cell r="F779" t="str">
            <v>2G</v>
          </cell>
          <cell r="G779"/>
          <cell r="H779"/>
          <cell r="I779"/>
          <cell r="J779"/>
          <cell r="K779"/>
          <cell r="L779"/>
          <cell r="M779"/>
        </row>
        <row r="780">
          <cell r="A780" t="str">
            <v>SSV</v>
          </cell>
          <cell r="B780"/>
          <cell r="C780" t="str">
            <v>MARITIME</v>
          </cell>
          <cell r="D780" t="str">
            <v>KPEVEGO</v>
          </cell>
          <cell r="E780" t="str">
            <v>70996963</v>
          </cell>
          <cell r="F780" t="str">
            <v>Android</v>
          </cell>
          <cell r="G780"/>
          <cell r="H780"/>
          <cell r="I780"/>
          <cell r="J780"/>
          <cell r="K780"/>
          <cell r="L780"/>
          <cell r="M780"/>
        </row>
        <row r="781">
          <cell r="A781" t="str">
            <v>SSV</v>
          </cell>
          <cell r="B781" t="str">
            <v>KAR-126</v>
          </cell>
          <cell r="C781" t="str">
            <v>KARA</v>
          </cell>
          <cell r="D781" t="str">
            <v>KPINDI</v>
          </cell>
          <cell r="E781">
            <v>70996964</v>
          </cell>
          <cell r="F781" t="str">
            <v>2G</v>
          </cell>
          <cell r="G781"/>
          <cell r="H781"/>
          <cell r="I781"/>
          <cell r="J781"/>
          <cell r="K781"/>
          <cell r="L781"/>
          <cell r="M781"/>
        </row>
        <row r="782">
          <cell r="A782" t="str">
            <v>SSV</v>
          </cell>
          <cell r="B782"/>
          <cell r="C782" t="str">
            <v>KARA</v>
          </cell>
          <cell r="D782" t="str">
            <v>KPINDI</v>
          </cell>
          <cell r="E782" t="str">
            <v>70996964</v>
          </cell>
          <cell r="F782" t="str">
            <v>Android</v>
          </cell>
          <cell r="G782"/>
          <cell r="H782"/>
          <cell r="I782"/>
          <cell r="J782"/>
          <cell r="K782"/>
          <cell r="L782"/>
          <cell r="M782"/>
        </row>
        <row r="783">
          <cell r="A783" t="str">
            <v>SSV</v>
          </cell>
          <cell r="B783" t="str">
            <v>LOM-344</v>
          </cell>
          <cell r="C783" t="str">
            <v>LOME</v>
          </cell>
          <cell r="D783" t="str">
            <v>KPODJI</v>
          </cell>
          <cell r="E783">
            <v>70997351</v>
          </cell>
          <cell r="F783" t="str">
            <v>2G</v>
          </cell>
          <cell r="G783"/>
          <cell r="H783"/>
          <cell r="I783"/>
          <cell r="J783"/>
          <cell r="K783"/>
          <cell r="L783"/>
          <cell r="M783"/>
        </row>
        <row r="784">
          <cell r="A784" t="str">
            <v>3SCA</v>
          </cell>
          <cell r="B784"/>
          <cell r="C784" t="str">
            <v xml:space="preserve">GRAND LOMÉ </v>
          </cell>
          <cell r="D784" t="str">
            <v>KPODJI</v>
          </cell>
          <cell r="E784">
            <v>70997351</v>
          </cell>
          <cell r="F784" t="str">
            <v>Android</v>
          </cell>
          <cell r="G784"/>
          <cell r="H784"/>
          <cell r="I784"/>
          <cell r="J784"/>
          <cell r="K784"/>
          <cell r="L784"/>
          <cell r="M784"/>
        </row>
        <row r="785">
          <cell r="A785" t="str">
            <v>3SCA</v>
          </cell>
          <cell r="B785"/>
          <cell r="C785"/>
          <cell r="D785" t="str">
            <v>KPODJI</v>
          </cell>
          <cell r="E785"/>
          <cell r="F785"/>
          <cell r="G785"/>
          <cell r="H785"/>
          <cell r="I785"/>
          <cell r="J785"/>
          <cell r="K785"/>
          <cell r="L785"/>
          <cell r="M785"/>
        </row>
        <row r="786">
          <cell r="A786" t="str">
            <v>EASY CONCEPT</v>
          </cell>
          <cell r="B786"/>
          <cell r="C786"/>
          <cell r="D786" t="str">
            <v>KPOGAN</v>
          </cell>
          <cell r="E786"/>
          <cell r="F786"/>
          <cell r="G786"/>
          <cell r="H786"/>
          <cell r="I786"/>
          <cell r="J786"/>
          <cell r="K786"/>
          <cell r="L786"/>
          <cell r="M786"/>
        </row>
        <row r="787">
          <cell r="A787" t="str">
            <v>EASY CONCEPT</v>
          </cell>
          <cell r="B787" t="str">
            <v>MAR-024</v>
          </cell>
          <cell r="C787" t="str">
            <v>MARITIME</v>
          </cell>
          <cell r="D787" t="str">
            <v>KPOME</v>
          </cell>
          <cell r="E787">
            <v>70996966</v>
          </cell>
          <cell r="F787" t="str">
            <v>2G</v>
          </cell>
          <cell r="G787"/>
          <cell r="H787"/>
          <cell r="I787"/>
          <cell r="J787"/>
          <cell r="K787"/>
          <cell r="L787"/>
          <cell r="M787"/>
        </row>
        <row r="788">
          <cell r="A788" t="str">
            <v>MRG</v>
          </cell>
          <cell r="B788"/>
          <cell r="C788" t="str">
            <v>MARITIME</v>
          </cell>
          <cell r="D788" t="str">
            <v>KPOME</v>
          </cell>
          <cell r="E788" t="str">
            <v>70996966</v>
          </cell>
          <cell r="F788" t="str">
            <v>Android</v>
          </cell>
          <cell r="G788"/>
          <cell r="H788"/>
          <cell r="I788"/>
          <cell r="J788"/>
          <cell r="K788"/>
          <cell r="L788"/>
          <cell r="M788"/>
        </row>
        <row r="789">
          <cell r="A789" t="str">
            <v>MRG</v>
          </cell>
          <cell r="B789" t="str">
            <v>PLA-196</v>
          </cell>
          <cell r="C789" t="str">
            <v>PLATEAUX</v>
          </cell>
          <cell r="D789" t="str">
            <v>KPOME (Plateau)</v>
          </cell>
          <cell r="E789">
            <v>70996481</v>
          </cell>
          <cell r="F789" t="str">
            <v>2G</v>
          </cell>
          <cell r="G789"/>
          <cell r="H789"/>
          <cell r="I789"/>
          <cell r="J789"/>
          <cell r="K789"/>
          <cell r="L789"/>
          <cell r="M789"/>
        </row>
        <row r="790">
          <cell r="A790" t="str">
            <v>EASY CONCEPT</v>
          </cell>
          <cell r="B790" t="str">
            <v>LOM-189</v>
          </cell>
          <cell r="C790" t="str">
            <v>LOME</v>
          </cell>
          <cell r="D790" t="str">
            <v>KPONOU</v>
          </cell>
          <cell r="E790">
            <v>70996967</v>
          </cell>
          <cell r="F790" t="str">
            <v>2G</v>
          </cell>
          <cell r="G790"/>
          <cell r="H790"/>
          <cell r="I790"/>
          <cell r="J790"/>
          <cell r="K790"/>
          <cell r="L790"/>
          <cell r="M790"/>
        </row>
        <row r="791">
          <cell r="A791" t="str">
            <v>EASY CONCEPT</v>
          </cell>
          <cell r="B791" t="str">
            <v>PLA-058</v>
          </cell>
          <cell r="C791" t="str">
            <v>PLATEAUX</v>
          </cell>
          <cell r="D791" t="str">
            <v>KPOVE</v>
          </cell>
          <cell r="E791">
            <v>70996968</v>
          </cell>
          <cell r="F791" t="str">
            <v>2G</v>
          </cell>
          <cell r="G791"/>
          <cell r="H791"/>
          <cell r="I791"/>
          <cell r="J791"/>
          <cell r="K791"/>
          <cell r="L791"/>
          <cell r="M791"/>
        </row>
        <row r="792">
          <cell r="A792" t="str">
            <v>EASY CONCEPT</v>
          </cell>
          <cell r="B792" t="str">
            <v>CEN-053</v>
          </cell>
          <cell r="C792" t="str">
            <v>CENTRALE</v>
          </cell>
          <cell r="D792" t="str">
            <v>KRIKRI</v>
          </cell>
          <cell r="E792">
            <v>70996969</v>
          </cell>
          <cell r="F792" t="str">
            <v>2G</v>
          </cell>
          <cell r="G792"/>
          <cell r="H792"/>
          <cell r="I792"/>
          <cell r="J792"/>
          <cell r="K792"/>
          <cell r="L792"/>
          <cell r="M792"/>
        </row>
        <row r="793">
          <cell r="A793" t="str">
            <v>EASY CONCEPT</v>
          </cell>
          <cell r="B793" t="str">
            <v>LOM-244</v>
          </cell>
          <cell r="C793" t="str">
            <v>LOME</v>
          </cell>
          <cell r="D793" t="str">
            <v>LA PAIX</v>
          </cell>
          <cell r="E793">
            <v>70996979</v>
          </cell>
          <cell r="F793" t="str">
            <v>2G</v>
          </cell>
          <cell r="G793"/>
          <cell r="H793"/>
          <cell r="I793"/>
          <cell r="J793"/>
          <cell r="K793"/>
          <cell r="L793"/>
          <cell r="M793"/>
        </row>
        <row r="794">
          <cell r="A794" t="str">
            <v>EASY CONCEPT</v>
          </cell>
          <cell r="B794" t="str">
            <v>KAR-116</v>
          </cell>
          <cell r="C794" t="str">
            <v>KARA</v>
          </cell>
          <cell r="D794" t="str">
            <v>LABARKOUTA</v>
          </cell>
          <cell r="E794">
            <v>70996970</v>
          </cell>
          <cell r="F794" t="str">
            <v>2G</v>
          </cell>
          <cell r="G794"/>
          <cell r="H794"/>
          <cell r="I794"/>
          <cell r="J794"/>
          <cell r="K794"/>
          <cell r="L794"/>
          <cell r="M794"/>
        </row>
        <row r="795">
          <cell r="A795" t="str">
            <v>EASY CONCEPT</v>
          </cell>
          <cell r="B795"/>
          <cell r="C795" t="str">
            <v>KARA</v>
          </cell>
          <cell r="D795" t="str">
            <v>LABARKOUTA</v>
          </cell>
          <cell r="E795" t="str">
            <v>70996970</v>
          </cell>
          <cell r="F795" t="str">
            <v>Android</v>
          </cell>
          <cell r="G795"/>
          <cell r="H795"/>
          <cell r="I795"/>
          <cell r="J795"/>
          <cell r="K795"/>
          <cell r="L795"/>
          <cell r="M795"/>
        </row>
        <row r="796">
          <cell r="A796" t="str">
            <v>MRG</v>
          </cell>
          <cell r="B796" t="str">
            <v>PLA-160</v>
          </cell>
          <cell r="C796" t="str">
            <v>PLATEAUX</v>
          </cell>
          <cell r="D796" t="str">
            <v>LAKIEKOU</v>
          </cell>
          <cell r="E796">
            <v>70996971</v>
          </cell>
          <cell r="F796" t="str">
            <v>2G</v>
          </cell>
          <cell r="G796"/>
          <cell r="H796"/>
          <cell r="I796"/>
          <cell r="J796"/>
          <cell r="K796"/>
          <cell r="L796"/>
          <cell r="M796"/>
        </row>
        <row r="797">
          <cell r="A797" t="str">
            <v>MRG</v>
          </cell>
          <cell r="B797"/>
          <cell r="C797" t="str">
            <v>PLATEAUX</v>
          </cell>
          <cell r="D797" t="str">
            <v>LAKIEKOU</v>
          </cell>
          <cell r="E797" t="str">
            <v>70996971</v>
          </cell>
          <cell r="F797" t="str">
            <v>Android</v>
          </cell>
          <cell r="G797"/>
          <cell r="H797"/>
          <cell r="I797"/>
          <cell r="J797"/>
          <cell r="K797"/>
          <cell r="L797"/>
          <cell r="M797"/>
        </row>
        <row r="798">
          <cell r="A798" t="str">
            <v>MRG</v>
          </cell>
          <cell r="B798"/>
          <cell r="C798"/>
          <cell r="D798" t="str">
            <v>LAMA POUDE</v>
          </cell>
          <cell r="E798"/>
          <cell r="F798"/>
          <cell r="G798"/>
          <cell r="H798"/>
          <cell r="I798"/>
          <cell r="J798"/>
          <cell r="K798"/>
          <cell r="L798"/>
          <cell r="M798"/>
        </row>
        <row r="799">
          <cell r="A799" t="str">
            <v>3SCA</v>
          </cell>
          <cell r="B799"/>
          <cell r="C799" t="str">
            <v>KARA</v>
          </cell>
          <cell r="D799" t="str">
            <v>Lama Poudè</v>
          </cell>
          <cell r="E799">
            <v>70996972</v>
          </cell>
          <cell r="F799" t="str">
            <v>2G</v>
          </cell>
          <cell r="G799"/>
          <cell r="H799"/>
          <cell r="I799"/>
          <cell r="J799"/>
          <cell r="K799"/>
          <cell r="L799"/>
          <cell r="M799"/>
        </row>
        <row r="800">
          <cell r="A800" t="str">
            <v>SSV</v>
          </cell>
          <cell r="B800" t="str">
            <v>CEN-041</v>
          </cell>
          <cell r="C800" t="str">
            <v>CENTRALE</v>
          </cell>
          <cell r="D800" t="str">
            <v>LAMATESSI</v>
          </cell>
          <cell r="E800">
            <v>70996974</v>
          </cell>
          <cell r="F800" t="str">
            <v>2G</v>
          </cell>
          <cell r="G800"/>
          <cell r="H800"/>
          <cell r="I800"/>
          <cell r="J800"/>
          <cell r="K800"/>
          <cell r="L800"/>
          <cell r="M800"/>
        </row>
        <row r="801">
          <cell r="A801" t="str">
            <v>SSV</v>
          </cell>
          <cell r="B801" t="str">
            <v>SAV-077</v>
          </cell>
          <cell r="C801" t="str">
            <v>SAVANES</v>
          </cell>
          <cell r="D801" t="str">
            <v>LAMBOUNDI</v>
          </cell>
          <cell r="E801">
            <v>70996975</v>
          </cell>
          <cell r="F801" t="str">
            <v>2G</v>
          </cell>
          <cell r="G801"/>
          <cell r="H801"/>
          <cell r="I801"/>
          <cell r="J801"/>
          <cell r="K801"/>
          <cell r="L801"/>
          <cell r="M801"/>
        </row>
        <row r="802">
          <cell r="A802" t="str">
            <v>MRG</v>
          </cell>
          <cell r="B802"/>
          <cell r="C802" t="str">
            <v>SAVANES</v>
          </cell>
          <cell r="D802" t="str">
            <v>LAMBOUNDI</v>
          </cell>
          <cell r="E802" t="str">
            <v>70996975</v>
          </cell>
          <cell r="F802" t="str">
            <v>Android</v>
          </cell>
          <cell r="G802"/>
          <cell r="H802"/>
          <cell r="I802"/>
          <cell r="J802"/>
          <cell r="K802"/>
          <cell r="L802"/>
          <cell r="M802"/>
        </row>
        <row r="803">
          <cell r="A803" t="str">
            <v>EASY CONCEPT</v>
          </cell>
          <cell r="B803" t="str">
            <v>KAR-037</v>
          </cell>
          <cell r="C803" t="str">
            <v>KARA</v>
          </cell>
          <cell r="D803" t="str">
            <v>LANDA</v>
          </cell>
          <cell r="E803">
            <v>70996976</v>
          </cell>
          <cell r="F803" t="str">
            <v>2G</v>
          </cell>
          <cell r="G803"/>
          <cell r="H803"/>
          <cell r="I803"/>
          <cell r="J803"/>
          <cell r="K803"/>
          <cell r="L803"/>
          <cell r="M803"/>
        </row>
        <row r="804">
          <cell r="A804" t="str">
            <v>MRG</v>
          </cell>
          <cell r="B804" t="str">
            <v>CEN-062</v>
          </cell>
          <cell r="C804" t="str">
            <v>PLATEAUX</v>
          </cell>
          <cell r="D804" t="str">
            <v>LANGABOU</v>
          </cell>
          <cell r="E804">
            <v>70996977</v>
          </cell>
          <cell r="F804" t="str">
            <v>2G</v>
          </cell>
          <cell r="G804"/>
          <cell r="H804"/>
          <cell r="I804"/>
          <cell r="J804"/>
          <cell r="K804"/>
          <cell r="L804"/>
          <cell r="M804"/>
        </row>
        <row r="805">
          <cell r="A805" t="str">
            <v>MRG</v>
          </cell>
          <cell r="B805"/>
          <cell r="C805" t="str">
            <v>PLATEAUX</v>
          </cell>
          <cell r="D805" t="str">
            <v>LANGABOU</v>
          </cell>
          <cell r="E805" t="str">
            <v>70996977</v>
          </cell>
          <cell r="F805" t="str">
            <v>Android</v>
          </cell>
          <cell r="G805"/>
          <cell r="H805"/>
          <cell r="I805"/>
          <cell r="J805"/>
          <cell r="K805"/>
          <cell r="L805"/>
          <cell r="M805"/>
        </row>
        <row r="806">
          <cell r="A806" t="str">
            <v>EASY CONCEPT</v>
          </cell>
          <cell r="B806" t="str">
            <v>LOM-311</v>
          </cell>
          <cell r="C806" t="str">
            <v>LOME</v>
          </cell>
          <cell r="D806" t="str">
            <v>LANKOUVI 2</v>
          </cell>
          <cell r="E806">
            <v>70996423</v>
          </cell>
          <cell r="F806" t="str">
            <v>2G</v>
          </cell>
          <cell r="G806"/>
          <cell r="H806"/>
          <cell r="I806"/>
          <cell r="J806"/>
          <cell r="K806"/>
          <cell r="L806"/>
          <cell r="M806"/>
        </row>
        <row r="807">
          <cell r="A807" t="str">
            <v>EASY CONCEPT</v>
          </cell>
          <cell r="B807" t="str">
            <v>LOM-079</v>
          </cell>
          <cell r="C807" t="str">
            <v>LOME</v>
          </cell>
          <cell r="D807" t="str">
            <v>LAPAMPA</v>
          </cell>
          <cell r="E807">
            <v>70996980</v>
          </cell>
          <cell r="F807" t="str">
            <v>2G</v>
          </cell>
          <cell r="G807"/>
          <cell r="H807"/>
          <cell r="I807"/>
          <cell r="J807"/>
          <cell r="K807"/>
          <cell r="L807"/>
          <cell r="M807"/>
        </row>
        <row r="808">
          <cell r="A808" t="str">
            <v>EASY CONCEPT</v>
          </cell>
          <cell r="B808" t="str">
            <v>KAR-006</v>
          </cell>
          <cell r="C808" t="str">
            <v>KARA</v>
          </cell>
          <cell r="D808" t="str">
            <v>LASSA</v>
          </cell>
          <cell r="E808">
            <v>70996981</v>
          </cell>
          <cell r="F808" t="str">
            <v>2G</v>
          </cell>
          <cell r="G808"/>
          <cell r="H808"/>
          <cell r="I808"/>
          <cell r="J808"/>
          <cell r="K808"/>
          <cell r="L808"/>
          <cell r="M808"/>
        </row>
        <row r="809">
          <cell r="A809" t="str">
            <v>MRG</v>
          </cell>
          <cell r="B809"/>
          <cell r="C809" t="str">
            <v>KARA</v>
          </cell>
          <cell r="D809" t="str">
            <v>LASSA</v>
          </cell>
          <cell r="E809" t="str">
            <v>70996981</v>
          </cell>
          <cell r="F809" t="str">
            <v>Android</v>
          </cell>
          <cell r="G809"/>
          <cell r="H809"/>
          <cell r="I809"/>
          <cell r="J809"/>
          <cell r="K809"/>
          <cell r="L809"/>
          <cell r="M809"/>
        </row>
        <row r="810">
          <cell r="A810" t="str">
            <v>SSV</v>
          </cell>
          <cell r="B810" t="str">
            <v>PLA-044</v>
          </cell>
          <cell r="C810" t="str">
            <v>PLATEAUX</v>
          </cell>
          <cell r="D810" t="str">
            <v>LAVIE</v>
          </cell>
          <cell r="E810">
            <v>70996982</v>
          </cell>
          <cell r="F810" t="str">
            <v>2G</v>
          </cell>
          <cell r="G810"/>
          <cell r="H810"/>
          <cell r="I810"/>
          <cell r="J810"/>
          <cell r="K810"/>
          <cell r="L810"/>
          <cell r="M810"/>
        </row>
        <row r="811">
          <cell r="A811" t="str">
            <v>SSV</v>
          </cell>
          <cell r="B811" t="str">
            <v>LOM-014</v>
          </cell>
          <cell r="C811" t="str">
            <v>LOME</v>
          </cell>
          <cell r="D811" t="str">
            <v>LEADERPRICE</v>
          </cell>
          <cell r="E811">
            <v>70996983</v>
          </cell>
          <cell r="F811" t="str">
            <v>2G</v>
          </cell>
          <cell r="G811"/>
          <cell r="H811"/>
          <cell r="I811"/>
          <cell r="J811"/>
          <cell r="K811"/>
          <cell r="L811"/>
          <cell r="M811"/>
        </row>
        <row r="812">
          <cell r="A812" t="str">
            <v>EASY CONCEPT</v>
          </cell>
          <cell r="B812"/>
          <cell r="C812" t="str">
            <v>MARITIME</v>
          </cell>
          <cell r="D812" t="str">
            <v>LEBE</v>
          </cell>
          <cell r="E812">
            <v>70997353</v>
          </cell>
          <cell r="F812" t="str">
            <v>Android</v>
          </cell>
          <cell r="G812"/>
          <cell r="H812"/>
          <cell r="I812"/>
          <cell r="J812"/>
          <cell r="K812"/>
          <cell r="L812"/>
          <cell r="M812"/>
        </row>
        <row r="813">
          <cell r="A813" t="str">
            <v>EASY CONCEPT</v>
          </cell>
          <cell r="B813" t="str">
            <v>CEN-089</v>
          </cell>
          <cell r="C813" t="str">
            <v>CENTRALE</v>
          </cell>
          <cell r="D813" t="str">
            <v>LEDIYO</v>
          </cell>
          <cell r="E813">
            <v>70996984</v>
          </cell>
          <cell r="F813" t="str">
            <v>2G</v>
          </cell>
          <cell r="G813"/>
          <cell r="H813"/>
          <cell r="I813"/>
          <cell r="J813"/>
          <cell r="K813"/>
          <cell r="L813"/>
          <cell r="M813"/>
        </row>
        <row r="814">
          <cell r="A814" t="str">
            <v>SSV</v>
          </cell>
          <cell r="B814"/>
          <cell r="C814" t="str">
            <v>CENTRALE</v>
          </cell>
          <cell r="D814" t="str">
            <v>LEDIYO</v>
          </cell>
          <cell r="E814" t="str">
            <v>70996984</v>
          </cell>
          <cell r="F814" t="str">
            <v>Android</v>
          </cell>
          <cell r="G814"/>
          <cell r="H814"/>
          <cell r="I814"/>
          <cell r="J814"/>
          <cell r="K814"/>
          <cell r="L814"/>
          <cell r="M814"/>
        </row>
        <row r="815">
          <cell r="A815" t="str">
            <v>SSV</v>
          </cell>
          <cell r="B815" t="str">
            <v>LOM-024</v>
          </cell>
          <cell r="C815" t="str">
            <v>LOME</v>
          </cell>
          <cell r="D815" t="str">
            <v>LEGBASSITO</v>
          </cell>
          <cell r="E815">
            <v>70996985</v>
          </cell>
          <cell r="F815" t="str">
            <v>2G</v>
          </cell>
          <cell r="G815"/>
          <cell r="H815"/>
          <cell r="I815"/>
          <cell r="J815"/>
          <cell r="K815"/>
          <cell r="L815"/>
          <cell r="M815"/>
        </row>
        <row r="816">
          <cell r="A816" t="str">
            <v>SSV</v>
          </cell>
          <cell r="B816" t="str">
            <v>LOM-040</v>
          </cell>
          <cell r="C816" t="str">
            <v>LOME</v>
          </cell>
          <cell r="D816" t="str">
            <v>LEO 2000</v>
          </cell>
          <cell r="E816">
            <v>70996986</v>
          </cell>
          <cell r="F816" t="str">
            <v>2G</v>
          </cell>
          <cell r="G816"/>
          <cell r="H816"/>
          <cell r="I816"/>
          <cell r="J816"/>
          <cell r="K816"/>
          <cell r="L816"/>
          <cell r="M816"/>
        </row>
        <row r="817">
          <cell r="A817" t="str">
            <v>SSV</v>
          </cell>
          <cell r="B817" t="str">
            <v>MAR-067</v>
          </cell>
          <cell r="C817" t="str">
            <v>MARITIME</v>
          </cell>
          <cell r="D817" t="str">
            <v>LILIKOPE</v>
          </cell>
          <cell r="E817">
            <v>70996987</v>
          </cell>
          <cell r="F817" t="str">
            <v>2G</v>
          </cell>
          <cell r="G817"/>
          <cell r="H817"/>
          <cell r="I817"/>
          <cell r="J817"/>
          <cell r="K817"/>
          <cell r="L817"/>
          <cell r="M817"/>
        </row>
        <row r="818">
          <cell r="A818" t="str">
            <v>SSV</v>
          </cell>
          <cell r="B818"/>
          <cell r="C818"/>
          <cell r="D818" t="str">
            <v>Lilikopé</v>
          </cell>
          <cell r="E818"/>
          <cell r="F818"/>
          <cell r="G818"/>
          <cell r="H818"/>
          <cell r="I818"/>
          <cell r="J818"/>
          <cell r="K818"/>
          <cell r="L818"/>
          <cell r="M818"/>
        </row>
        <row r="819">
          <cell r="A819" t="str">
            <v>SSV</v>
          </cell>
          <cell r="B819" t="str">
            <v>LOM-364</v>
          </cell>
          <cell r="C819" t="str">
            <v>LOME</v>
          </cell>
          <cell r="D819" t="str">
            <v>Limousine</v>
          </cell>
          <cell r="E819">
            <v>70997354</v>
          </cell>
          <cell r="F819" t="str">
            <v>2G</v>
          </cell>
          <cell r="G819"/>
          <cell r="H819"/>
          <cell r="I819"/>
          <cell r="J819"/>
          <cell r="K819"/>
          <cell r="L819"/>
          <cell r="M819"/>
        </row>
        <row r="820">
          <cell r="A820" t="str">
            <v>SSV</v>
          </cell>
          <cell r="B820" t="str">
            <v>LOM-048</v>
          </cell>
          <cell r="C820" t="str">
            <v>LOME</v>
          </cell>
          <cell r="D820" t="str">
            <v>LOGOPE</v>
          </cell>
          <cell r="E820">
            <v>70996988</v>
          </cell>
          <cell r="F820" t="str">
            <v>2G</v>
          </cell>
          <cell r="G820"/>
          <cell r="H820"/>
          <cell r="I820"/>
          <cell r="J820"/>
          <cell r="K820"/>
          <cell r="L820"/>
          <cell r="M820"/>
        </row>
        <row r="821">
          <cell r="A821" t="str">
            <v>SSV</v>
          </cell>
          <cell r="B821" t="str">
            <v>LOM-049</v>
          </cell>
          <cell r="C821" t="str">
            <v>LOME</v>
          </cell>
          <cell r="D821" t="str">
            <v>LOGOPE 2</v>
          </cell>
          <cell r="E821">
            <v>70996989</v>
          </cell>
          <cell r="F821" t="str">
            <v>2G</v>
          </cell>
          <cell r="G821"/>
          <cell r="H821"/>
          <cell r="I821"/>
          <cell r="J821"/>
          <cell r="K821"/>
          <cell r="L821"/>
          <cell r="M821"/>
        </row>
        <row r="822">
          <cell r="A822" t="str">
            <v>EASY CONCEPT</v>
          </cell>
          <cell r="B822" t="str">
            <v>SAV-064</v>
          </cell>
          <cell r="C822" t="str">
            <v>SAVANES</v>
          </cell>
          <cell r="D822" t="str">
            <v>LOKPANO</v>
          </cell>
          <cell r="E822">
            <v>70996990</v>
          </cell>
          <cell r="F822" t="str">
            <v>2G</v>
          </cell>
          <cell r="G822"/>
          <cell r="H822"/>
          <cell r="I822"/>
          <cell r="J822"/>
          <cell r="K822"/>
          <cell r="L822"/>
          <cell r="M822"/>
        </row>
        <row r="823">
          <cell r="A823" t="str">
            <v>EASY CONCEPT</v>
          </cell>
          <cell r="B823"/>
          <cell r="C823" t="str">
            <v>SAVANES</v>
          </cell>
          <cell r="D823" t="str">
            <v>LOKPANO</v>
          </cell>
          <cell r="E823" t="str">
            <v>70996990</v>
          </cell>
          <cell r="F823" t="str">
            <v>Android</v>
          </cell>
          <cell r="G823"/>
          <cell r="H823"/>
          <cell r="I823"/>
          <cell r="J823"/>
          <cell r="K823"/>
          <cell r="L823"/>
          <cell r="M823"/>
        </row>
        <row r="824">
          <cell r="A824" t="str">
            <v>SSV</v>
          </cell>
          <cell r="B824" t="str">
            <v>PLA-188</v>
          </cell>
          <cell r="C824" t="str">
            <v>PLATEAUX</v>
          </cell>
          <cell r="D824" t="str">
            <v>LOKPOLI</v>
          </cell>
          <cell r="E824">
            <v>70996991</v>
          </cell>
          <cell r="F824" t="str">
            <v>2G</v>
          </cell>
          <cell r="G824"/>
          <cell r="H824"/>
          <cell r="I824"/>
          <cell r="J824"/>
          <cell r="K824"/>
          <cell r="L824"/>
          <cell r="M824"/>
        </row>
        <row r="825">
          <cell r="A825" t="str">
            <v>SSV</v>
          </cell>
          <cell r="B825"/>
          <cell r="C825" t="str">
            <v>PLATEAUX</v>
          </cell>
          <cell r="D825" t="str">
            <v>LOKPOLI</v>
          </cell>
          <cell r="E825" t="str">
            <v>70996991</v>
          </cell>
          <cell r="F825" t="str">
            <v>Android</v>
          </cell>
          <cell r="G825"/>
          <cell r="H825"/>
          <cell r="I825"/>
          <cell r="J825"/>
          <cell r="K825"/>
          <cell r="L825"/>
          <cell r="M825"/>
        </row>
        <row r="826">
          <cell r="A826" t="str">
            <v>SSV</v>
          </cell>
          <cell r="B826" t="str">
            <v>LOM-312</v>
          </cell>
          <cell r="C826" t="str">
            <v>LOME</v>
          </cell>
          <cell r="D826" t="str">
            <v>LOME NORTH</v>
          </cell>
          <cell r="E826">
            <v>70996414</v>
          </cell>
          <cell r="F826" t="str">
            <v>2G</v>
          </cell>
          <cell r="G826"/>
          <cell r="H826"/>
          <cell r="I826"/>
          <cell r="J826"/>
          <cell r="K826"/>
          <cell r="L826"/>
          <cell r="M826"/>
        </row>
        <row r="827">
          <cell r="A827" t="str">
            <v>SSV</v>
          </cell>
          <cell r="B827"/>
          <cell r="C827"/>
          <cell r="D827" t="str">
            <v xml:space="preserve">LOME NORTH </v>
          </cell>
          <cell r="E827"/>
          <cell r="F827"/>
          <cell r="G827"/>
          <cell r="H827"/>
          <cell r="I827"/>
          <cell r="J827"/>
          <cell r="K827"/>
          <cell r="L827"/>
          <cell r="M827"/>
        </row>
        <row r="828">
          <cell r="A828" t="str">
            <v>EASY CONCEPT</v>
          </cell>
          <cell r="B828" t="str">
            <v>LOM-139</v>
          </cell>
          <cell r="C828" t="str">
            <v>LOME</v>
          </cell>
          <cell r="D828" t="str">
            <v>LONATO</v>
          </cell>
          <cell r="E828">
            <v>70996992</v>
          </cell>
          <cell r="F828" t="str">
            <v>2G</v>
          </cell>
          <cell r="G828"/>
          <cell r="H828"/>
          <cell r="I828"/>
          <cell r="J828"/>
          <cell r="K828"/>
          <cell r="L828"/>
          <cell r="M828"/>
        </row>
        <row r="829">
          <cell r="A829" t="str">
            <v>SSV</v>
          </cell>
          <cell r="B829" t="str">
            <v>SAV-022</v>
          </cell>
          <cell r="C829" t="str">
            <v>SAVANES</v>
          </cell>
          <cell r="D829" t="str">
            <v>LOTOGOU</v>
          </cell>
          <cell r="E829">
            <v>70996993</v>
          </cell>
          <cell r="F829" t="str">
            <v>2G</v>
          </cell>
          <cell r="G829"/>
          <cell r="H829"/>
          <cell r="I829"/>
          <cell r="J829"/>
          <cell r="K829"/>
          <cell r="L829"/>
          <cell r="M829"/>
        </row>
        <row r="830">
          <cell r="A830" t="str">
            <v>SSV</v>
          </cell>
          <cell r="B830"/>
          <cell r="C830" t="str">
            <v>SAVANES</v>
          </cell>
          <cell r="D830" t="str">
            <v>LOTOGOU</v>
          </cell>
          <cell r="E830" t="str">
            <v>70996993</v>
          </cell>
          <cell r="F830" t="str">
            <v>Android</v>
          </cell>
          <cell r="G830"/>
          <cell r="H830"/>
          <cell r="I830"/>
          <cell r="J830"/>
          <cell r="K830"/>
          <cell r="L830"/>
          <cell r="M830"/>
        </row>
        <row r="831">
          <cell r="A831" t="str">
            <v>SSV</v>
          </cell>
          <cell r="B831" t="str">
            <v>LOM-133</v>
          </cell>
          <cell r="C831" t="str">
            <v>LOME</v>
          </cell>
          <cell r="D831" t="str">
            <v>LYCEE</v>
          </cell>
          <cell r="E831">
            <v>70996994</v>
          </cell>
          <cell r="F831" t="str">
            <v>2G</v>
          </cell>
          <cell r="G831"/>
          <cell r="H831"/>
          <cell r="I831"/>
          <cell r="J831"/>
          <cell r="K831"/>
          <cell r="L831"/>
          <cell r="M831"/>
        </row>
        <row r="832">
          <cell r="A832" t="str">
            <v>MRG</v>
          </cell>
          <cell r="B832"/>
          <cell r="C832"/>
          <cell r="D832" t="str">
            <v>LYCEE TOKOIN</v>
          </cell>
          <cell r="E832"/>
          <cell r="F832"/>
          <cell r="G832"/>
          <cell r="H832"/>
          <cell r="I832"/>
          <cell r="J832"/>
          <cell r="K832"/>
          <cell r="L832"/>
          <cell r="M832"/>
        </row>
        <row r="833">
          <cell r="A833" t="str">
            <v>MRG</v>
          </cell>
          <cell r="B833" t="str">
            <v>PLA-137</v>
          </cell>
          <cell r="C833" t="str">
            <v>PLATEAUX</v>
          </cell>
          <cell r="D833" t="str">
            <v>MADJAMAKOU</v>
          </cell>
          <cell r="E833">
            <v>70996995</v>
          </cell>
          <cell r="F833" t="str">
            <v>2G</v>
          </cell>
          <cell r="G833"/>
          <cell r="H833"/>
          <cell r="I833"/>
          <cell r="J833"/>
          <cell r="K833"/>
          <cell r="L833"/>
          <cell r="M833"/>
        </row>
        <row r="834">
          <cell r="A834" t="str">
            <v>SSV</v>
          </cell>
          <cell r="B834"/>
          <cell r="C834" t="str">
            <v>LOME</v>
          </cell>
          <cell r="D834" t="str">
            <v>MAGAZIN ADETIKOPE</v>
          </cell>
          <cell r="E834">
            <v>70996528</v>
          </cell>
          <cell r="F834" t="str">
            <v>2G</v>
          </cell>
          <cell r="G834"/>
          <cell r="H834"/>
          <cell r="I834"/>
          <cell r="J834"/>
          <cell r="K834"/>
          <cell r="L834"/>
          <cell r="M834"/>
        </row>
        <row r="835">
          <cell r="A835" t="str">
            <v>SSV</v>
          </cell>
          <cell r="B835" t="str">
            <v>SAV-023</v>
          </cell>
          <cell r="C835" t="str">
            <v>SAVANES</v>
          </cell>
          <cell r="D835" t="str">
            <v>MALAGOU</v>
          </cell>
          <cell r="E835">
            <v>70996996</v>
          </cell>
          <cell r="F835" t="str">
            <v>2G</v>
          </cell>
          <cell r="G835"/>
          <cell r="H835"/>
          <cell r="I835"/>
          <cell r="J835"/>
          <cell r="K835"/>
          <cell r="L835"/>
          <cell r="M835"/>
        </row>
        <row r="836">
          <cell r="A836" t="str">
            <v>SSV</v>
          </cell>
          <cell r="B836"/>
          <cell r="C836" t="str">
            <v>SAVANES</v>
          </cell>
          <cell r="D836" t="str">
            <v>MALAGOU</v>
          </cell>
          <cell r="E836" t="str">
            <v>70996996</v>
          </cell>
          <cell r="F836" t="str">
            <v>Android</v>
          </cell>
          <cell r="G836"/>
          <cell r="H836"/>
          <cell r="I836"/>
          <cell r="J836"/>
          <cell r="K836"/>
          <cell r="L836"/>
          <cell r="M836"/>
        </row>
        <row r="837">
          <cell r="A837" t="str">
            <v>SSV</v>
          </cell>
          <cell r="B837" t="str">
            <v>KAR-082</v>
          </cell>
          <cell r="C837" t="str">
            <v>KARA</v>
          </cell>
          <cell r="D837" t="str">
            <v>MALFAKASSA</v>
          </cell>
          <cell r="E837">
            <v>70996997</v>
          </cell>
          <cell r="F837" t="str">
            <v>2G</v>
          </cell>
          <cell r="G837"/>
          <cell r="H837"/>
          <cell r="I837"/>
          <cell r="J837"/>
          <cell r="K837"/>
          <cell r="L837"/>
          <cell r="M837"/>
        </row>
        <row r="838">
          <cell r="A838" t="str">
            <v>SSV</v>
          </cell>
          <cell r="B838"/>
          <cell r="C838" t="str">
            <v>CENTRALE</v>
          </cell>
          <cell r="D838" t="str">
            <v>MALFAKASSA</v>
          </cell>
          <cell r="E838" t="str">
            <v>70996997</v>
          </cell>
          <cell r="F838" t="str">
            <v>Android</v>
          </cell>
          <cell r="G838"/>
          <cell r="H838"/>
          <cell r="I838"/>
          <cell r="J838"/>
          <cell r="K838"/>
          <cell r="L838"/>
          <cell r="M838"/>
        </row>
        <row r="839">
          <cell r="A839" t="str">
            <v>SSV</v>
          </cell>
          <cell r="B839" t="str">
            <v>SAV-092</v>
          </cell>
          <cell r="C839" t="str">
            <v>SAVANES</v>
          </cell>
          <cell r="D839" t="str">
            <v>Malgbongou</v>
          </cell>
          <cell r="E839">
            <v>70996482</v>
          </cell>
          <cell r="F839" t="str">
            <v>2G</v>
          </cell>
          <cell r="G839"/>
          <cell r="H839"/>
          <cell r="I839"/>
          <cell r="J839"/>
          <cell r="K839"/>
          <cell r="L839"/>
          <cell r="M839"/>
        </row>
        <row r="840">
          <cell r="A840" t="str">
            <v>EASY CONCEPT</v>
          </cell>
          <cell r="B840" t="str">
            <v>SAV-043</v>
          </cell>
          <cell r="C840" t="str">
            <v>SAVANES</v>
          </cell>
          <cell r="D840" t="str">
            <v>MANDOURI</v>
          </cell>
          <cell r="E840">
            <v>70996998</v>
          </cell>
          <cell r="F840" t="str">
            <v>2G</v>
          </cell>
          <cell r="G840"/>
          <cell r="H840"/>
          <cell r="I840"/>
          <cell r="J840"/>
          <cell r="K840"/>
          <cell r="L840"/>
          <cell r="M840"/>
        </row>
        <row r="841">
          <cell r="A841" t="str">
            <v>SSV</v>
          </cell>
          <cell r="B841" t="str">
            <v>SAV-080</v>
          </cell>
          <cell r="C841" t="str">
            <v>SAVANES</v>
          </cell>
          <cell r="D841" t="str">
            <v>MANDOURI2</v>
          </cell>
          <cell r="E841">
            <v>70996999</v>
          </cell>
          <cell r="F841" t="str">
            <v>2G</v>
          </cell>
          <cell r="G841"/>
          <cell r="H841"/>
          <cell r="I841"/>
          <cell r="J841"/>
          <cell r="K841"/>
          <cell r="L841"/>
          <cell r="M841"/>
        </row>
        <row r="842">
          <cell r="A842" t="str">
            <v>SSV</v>
          </cell>
          <cell r="B842" t="str">
            <v>KAR-066</v>
          </cell>
          <cell r="C842" t="str">
            <v>KARA</v>
          </cell>
          <cell r="D842" t="str">
            <v>MANGA</v>
          </cell>
          <cell r="E842">
            <v>70997000</v>
          </cell>
          <cell r="F842" t="str">
            <v>2G</v>
          </cell>
          <cell r="G842"/>
          <cell r="H842"/>
          <cell r="I842"/>
          <cell r="J842"/>
          <cell r="K842"/>
          <cell r="L842"/>
          <cell r="M842"/>
        </row>
        <row r="843">
          <cell r="A843" t="str">
            <v>EASY CONCEPT</v>
          </cell>
          <cell r="B843" t="str">
            <v>SAV-045</v>
          </cell>
          <cell r="C843" t="str">
            <v>SAVANES</v>
          </cell>
          <cell r="D843" t="str">
            <v>MANGO</v>
          </cell>
          <cell r="E843">
            <v>70997001</v>
          </cell>
          <cell r="F843" t="str">
            <v>2G</v>
          </cell>
          <cell r="G843"/>
          <cell r="H843"/>
          <cell r="I843"/>
          <cell r="J843"/>
          <cell r="K843"/>
          <cell r="L843"/>
          <cell r="M843"/>
        </row>
        <row r="844">
          <cell r="A844" t="str">
            <v>EASY CONCEPT</v>
          </cell>
          <cell r="B844"/>
          <cell r="C844" t="str">
            <v>SAVANES</v>
          </cell>
          <cell r="D844" t="str">
            <v>MANGO</v>
          </cell>
          <cell r="E844" t="str">
            <v>70997001</v>
          </cell>
          <cell r="F844" t="str">
            <v>Android</v>
          </cell>
          <cell r="G844"/>
          <cell r="H844"/>
          <cell r="I844"/>
          <cell r="J844"/>
          <cell r="K844"/>
          <cell r="L844"/>
          <cell r="M844"/>
        </row>
        <row r="845">
          <cell r="A845" t="str">
            <v>EASY CONCEPT</v>
          </cell>
          <cell r="B845" t="str">
            <v>SAV-104</v>
          </cell>
          <cell r="C845" t="str">
            <v>SAVANES</v>
          </cell>
          <cell r="D845" t="str">
            <v>MANGO PRO</v>
          </cell>
          <cell r="E845">
            <v>70997372</v>
          </cell>
          <cell r="F845" t="str">
            <v>2G</v>
          </cell>
          <cell r="G845"/>
          <cell r="H845"/>
          <cell r="I845"/>
          <cell r="J845"/>
          <cell r="K845"/>
          <cell r="L845"/>
          <cell r="M845"/>
        </row>
        <row r="846">
          <cell r="A846" t="str">
            <v>EASY CONCEPT</v>
          </cell>
          <cell r="B846" t="str">
            <v>SAV-046</v>
          </cell>
          <cell r="C846" t="str">
            <v>SAVANES</v>
          </cell>
          <cell r="D846" t="str">
            <v>MANGO-DOUANE</v>
          </cell>
          <cell r="E846">
            <v>70997003</v>
          </cell>
          <cell r="F846" t="str">
            <v>2G</v>
          </cell>
          <cell r="G846"/>
          <cell r="H846"/>
          <cell r="I846"/>
          <cell r="J846"/>
          <cell r="K846"/>
          <cell r="L846"/>
          <cell r="M846"/>
        </row>
        <row r="847">
          <cell r="A847" t="str">
            <v>EASY CONCEPT</v>
          </cell>
          <cell r="B847"/>
          <cell r="C847" t="str">
            <v>SAVANES</v>
          </cell>
          <cell r="D847" t="str">
            <v>MANGO-DOUANE</v>
          </cell>
          <cell r="E847" t="str">
            <v>70997003</v>
          </cell>
          <cell r="F847" t="str">
            <v>Android</v>
          </cell>
          <cell r="G847"/>
          <cell r="H847"/>
          <cell r="I847"/>
          <cell r="J847"/>
          <cell r="K847"/>
          <cell r="L847"/>
          <cell r="M847"/>
        </row>
        <row r="848">
          <cell r="A848" t="str">
            <v>EASY CONCEPT</v>
          </cell>
          <cell r="B848" t="str">
            <v>MAR-038</v>
          </cell>
          <cell r="C848" t="str">
            <v>MARITIME</v>
          </cell>
          <cell r="D848" t="str">
            <v>MASSEDA</v>
          </cell>
          <cell r="E848">
            <v>70997004</v>
          </cell>
          <cell r="F848" t="str">
            <v>2G</v>
          </cell>
          <cell r="G848"/>
          <cell r="H848"/>
          <cell r="I848"/>
          <cell r="J848"/>
          <cell r="K848"/>
          <cell r="L848"/>
          <cell r="M848"/>
        </row>
        <row r="849">
          <cell r="A849" t="str">
            <v>EASY CONCEPT</v>
          </cell>
          <cell r="B849"/>
          <cell r="C849" t="str">
            <v>MARITIME</v>
          </cell>
          <cell r="D849" t="str">
            <v>MASSEDA</v>
          </cell>
          <cell r="E849" t="str">
            <v>70997004</v>
          </cell>
          <cell r="F849" t="str">
            <v>Android</v>
          </cell>
          <cell r="G849"/>
          <cell r="H849"/>
          <cell r="I849"/>
          <cell r="J849"/>
          <cell r="K849"/>
          <cell r="L849"/>
          <cell r="M849"/>
        </row>
        <row r="850">
          <cell r="A850" t="str">
            <v>SSV</v>
          </cell>
          <cell r="B850" t="str">
            <v>KAR-042</v>
          </cell>
          <cell r="C850" t="str">
            <v>KARA</v>
          </cell>
          <cell r="D850" t="str">
            <v>MASSEDENA</v>
          </cell>
          <cell r="E850">
            <v>70997005</v>
          </cell>
          <cell r="F850" t="str">
            <v>2G</v>
          </cell>
          <cell r="G850"/>
          <cell r="H850"/>
          <cell r="I850"/>
          <cell r="J850"/>
          <cell r="K850"/>
          <cell r="L850"/>
          <cell r="M850"/>
        </row>
        <row r="851">
          <cell r="A851" t="str">
            <v>SSV</v>
          </cell>
          <cell r="B851"/>
          <cell r="C851" t="str">
            <v>KARA</v>
          </cell>
          <cell r="D851" t="str">
            <v>MASSEDENA</v>
          </cell>
          <cell r="E851" t="str">
            <v>70997005</v>
          </cell>
          <cell r="F851" t="str">
            <v>Android</v>
          </cell>
          <cell r="G851"/>
          <cell r="H851"/>
          <cell r="I851"/>
          <cell r="J851"/>
          <cell r="K851"/>
          <cell r="L851"/>
          <cell r="M851"/>
        </row>
        <row r="852">
          <cell r="A852" t="str">
            <v>SSV</v>
          </cell>
          <cell r="B852"/>
          <cell r="C852" t="str">
            <v>PLATEAUX</v>
          </cell>
          <cell r="D852" t="str">
            <v>MATEKPE ABADJENE</v>
          </cell>
          <cell r="E852" t="str">
            <v>70997006</v>
          </cell>
          <cell r="F852" t="str">
            <v>Android</v>
          </cell>
          <cell r="G852"/>
          <cell r="H852"/>
          <cell r="I852"/>
          <cell r="J852"/>
          <cell r="K852"/>
          <cell r="L852"/>
          <cell r="M852"/>
        </row>
        <row r="853">
          <cell r="A853" t="str">
            <v>SSV</v>
          </cell>
          <cell r="B853" t="str">
            <v>PLA-157</v>
          </cell>
          <cell r="C853" t="str">
            <v>PLATEAUX</v>
          </cell>
          <cell r="D853" t="str">
            <v>MATEKPE ABADJENE</v>
          </cell>
          <cell r="E853">
            <v>70997006</v>
          </cell>
          <cell r="F853" t="str">
            <v>2G</v>
          </cell>
          <cell r="G853"/>
          <cell r="H853"/>
          <cell r="I853"/>
          <cell r="J853"/>
          <cell r="K853"/>
          <cell r="L853"/>
          <cell r="M853"/>
        </row>
        <row r="854">
          <cell r="A854" t="str">
            <v>EASY CONCEPT</v>
          </cell>
          <cell r="B854" t="str">
            <v>CEN-097</v>
          </cell>
          <cell r="C854" t="str">
            <v>CENTRALE</v>
          </cell>
          <cell r="D854" t="str">
            <v>Mawedé</v>
          </cell>
          <cell r="E854">
            <v>70996415</v>
          </cell>
          <cell r="F854" t="str">
            <v>2G</v>
          </cell>
          <cell r="G854"/>
          <cell r="H854"/>
          <cell r="I854"/>
          <cell r="J854"/>
          <cell r="K854"/>
          <cell r="L854"/>
          <cell r="M854"/>
        </row>
        <row r="855">
          <cell r="A855" t="str">
            <v>EASY CONCEPT</v>
          </cell>
          <cell r="B855"/>
          <cell r="C855" t="str">
            <v>KARA</v>
          </cell>
          <cell r="D855" t="str">
            <v>MBALADO</v>
          </cell>
          <cell r="E855" t="str">
            <v>70996483</v>
          </cell>
          <cell r="F855" t="str">
            <v>Android</v>
          </cell>
          <cell r="G855"/>
          <cell r="H855"/>
          <cell r="I855"/>
          <cell r="J855"/>
          <cell r="K855"/>
          <cell r="L855"/>
          <cell r="M855"/>
        </row>
        <row r="856">
          <cell r="A856" t="str">
            <v>EASY CONCEPT</v>
          </cell>
          <cell r="B856" t="str">
            <v>KAR-133</v>
          </cell>
          <cell r="C856" t="str">
            <v>KARA</v>
          </cell>
          <cell r="D856" t="str">
            <v>MBALADO</v>
          </cell>
          <cell r="E856">
            <v>70996483</v>
          </cell>
          <cell r="F856" t="str">
            <v>2G</v>
          </cell>
          <cell r="G856"/>
          <cell r="H856"/>
          <cell r="I856"/>
          <cell r="J856"/>
          <cell r="K856"/>
          <cell r="L856"/>
          <cell r="M856"/>
        </row>
        <row r="857">
          <cell r="A857" t="str">
            <v>EASY CONCEPT</v>
          </cell>
          <cell r="B857" t="str">
            <v>CEN-022</v>
          </cell>
          <cell r="C857" t="str">
            <v>CENTRALE</v>
          </cell>
          <cell r="D857" t="str">
            <v>MEDINA</v>
          </cell>
          <cell r="E857">
            <v>70997007</v>
          </cell>
          <cell r="F857" t="str">
            <v>2G</v>
          </cell>
          <cell r="G857"/>
          <cell r="H857"/>
          <cell r="I857"/>
          <cell r="J857"/>
          <cell r="K857"/>
          <cell r="L857"/>
          <cell r="M857"/>
        </row>
        <row r="858">
          <cell r="A858" t="str">
            <v>EASY CONCEPT</v>
          </cell>
          <cell r="B858" t="str">
            <v>CEN-042</v>
          </cell>
          <cell r="C858" t="str">
            <v>CENTRALE</v>
          </cell>
          <cell r="D858" t="str">
            <v>MELAMBOUA</v>
          </cell>
          <cell r="E858">
            <v>70997008</v>
          </cell>
          <cell r="F858" t="str">
            <v>2G</v>
          </cell>
          <cell r="G858"/>
          <cell r="H858"/>
          <cell r="I858"/>
          <cell r="J858"/>
          <cell r="K858"/>
          <cell r="L858"/>
          <cell r="M858"/>
        </row>
        <row r="859">
          <cell r="A859" t="str">
            <v>EASY CONCEPT</v>
          </cell>
          <cell r="B859"/>
          <cell r="C859" t="str">
            <v>CENTRALE</v>
          </cell>
          <cell r="D859" t="str">
            <v>MELAMBOUA</v>
          </cell>
          <cell r="E859" t="str">
            <v>70997008</v>
          </cell>
          <cell r="F859" t="str">
            <v>Android</v>
          </cell>
          <cell r="G859"/>
          <cell r="H859"/>
          <cell r="I859"/>
          <cell r="J859"/>
          <cell r="K859"/>
          <cell r="L859"/>
          <cell r="M859"/>
        </row>
        <row r="860">
          <cell r="A860" t="str">
            <v>MRG</v>
          </cell>
          <cell r="B860" t="str">
            <v>LOM-041</v>
          </cell>
          <cell r="C860" t="str">
            <v>LOME</v>
          </cell>
          <cell r="D860" t="str">
            <v>MINAMADOU</v>
          </cell>
          <cell r="E860">
            <v>70997009</v>
          </cell>
          <cell r="F860" t="str">
            <v>2G</v>
          </cell>
          <cell r="G860"/>
          <cell r="H860"/>
          <cell r="I860"/>
          <cell r="J860"/>
          <cell r="K860"/>
          <cell r="L860"/>
          <cell r="M860"/>
        </row>
        <row r="861">
          <cell r="D861" t="str">
            <v xml:space="preserve">Mission Tové </v>
          </cell>
          <cell r="G861"/>
          <cell r="H861"/>
          <cell r="I861"/>
          <cell r="J861"/>
          <cell r="K861"/>
          <cell r="L861"/>
          <cell r="M861"/>
        </row>
        <row r="862">
          <cell r="A862" t="str">
            <v>EASY CONCEPT</v>
          </cell>
          <cell r="B862" t="str">
            <v>LOM-348</v>
          </cell>
          <cell r="C862" t="str">
            <v>LOME</v>
          </cell>
          <cell r="D862" t="str">
            <v>MISSION TOVE 2</v>
          </cell>
          <cell r="E862">
            <v>70997356</v>
          </cell>
          <cell r="F862" t="str">
            <v>2G</v>
          </cell>
          <cell r="G862"/>
          <cell r="H862"/>
          <cell r="I862"/>
          <cell r="J862"/>
          <cell r="K862"/>
          <cell r="L862"/>
          <cell r="M862"/>
        </row>
        <row r="863">
          <cell r="A863" t="str">
            <v>SSV</v>
          </cell>
          <cell r="B863" t="str">
            <v>LOM-348</v>
          </cell>
          <cell r="C863" t="str">
            <v>LOME</v>
          </cell>
          <cell r="D863" t="str">
            <v>MISSION TOVE 5</v>
          </cell>
          <cell r="E863">
            <v>70996505</v>
          </cell>
          <cell r="F863" t="str">
            <v>2G</v>
          </cell>
          <cell r="G863"/>
          <cell r="H863"/>
          <cell r="I863"/>
          <cell r="J863"/>
          <cell r="K863"/>
          <cell r="L863"/>
          <cell r="M863"/>
        </row>
        <row r="864">
          <cell r="A864" t="str">
            <v>SSV</v>
          </cell>
          <cell r="B864" t="str">
            <v>MAR-002</v>
          </cell>
          <cell r="C864" t="str">
            <v>MARITIME</v>
          </cell>
          <cell r="D864" t="str">
            <v>MISSION-TOVE</v>
          </cell>
          <cell r="E864">
            <v>70997010</v>
          </cell>
          <cell r="F864" t="str">
            <v>2G</v>
          </cell>
          <cell r="G864"/>
          <cell r="H864"/>
          <cell r="I864"/>
          <cell r="J864"/>
          <cell r="K864"/>
          <cell r="L864"/>
          <cell r="M864"/>
        </row>
        <row r="865">
          <cell r="A865" t="str">
            <v>EASY CONCEPT</v>
          </cell>
          <cell r="B865" t="str">
            <v>SAV-047</v>
          </cell>
          <cell r="C865" t="str">
            <v>SAVANES</v>
          </cell>
          <cell r="D865" t="str">
            <v>MOGOU</v>
          </cell>
          <cell r="E865">
            <v>70997011</v>
          </cell>
          <cell r="F865" t="str">
            <v>2G</v>
          </cell>
          <cell r="G865"/>
          <cell r="H865"/>
          <cell r="I865"/>
          <cell r="J865"/>
          <cell r="K865"/>
          <cell r="L865"/>
          <cell r="M865"/>
        </row>
        <row r="866">
          <cell r="A866" t="str">
            <v>MRG</v>
          </cell>
          <cell r="B866"/>
          <cell r="C866" t="str">
            <v>SAVANES</v>
          </cell>
          <cell r="D866" t="str">
            <v>MOGOU</v>
          </cell>
          <cell r="E866" t="str">
            <v>70997011</v>
          </cell>
          <cell r="F866" t="str">
            <v>Android</v>
          </cell>
          <cell r="G866"/>
          <cell r="H866"/>
          <cell r="I866"/>
          <cell r="J866"/>
          <cell r="K866"/>
          <cell r="L866"/>
          <cell r="M866"/>
        </row>
        <row r="867">
          <cell r="A867" t="str">
            <v>MRG</v>
          </cell>
          <cell r="B867" t="str">
            <v>CEN-105</v>
          </cell>
          <cell r="C867" t="str">
            <v>CENTRALE</v>
          </cell>
          <cell r="D867" t="str">
            <v>Monolama-Tessi</v>
          </cell>
          <cell r="E867">
            <v>70996484</v>
          </cell>
          <cell r="F867" t="str">
            <v>2G</v>
          </cell>
          <cell r="G867"/>
          <cell r="H867"/>
          <cell r="I867"/>
          <cell r="J867"/>
          <cell r="K867"/>
          <cell r="L867"/>
          <cell r="M867"/>
        </row>
        <row r="868">
          <cell r="A868" t="str">
            <v>MRG</v>
          </cell>
          <cell r="B868" t="str">
            <v>PLA-031</v>
          </cell>
          <cell r="C868" t="str">
            <v>PLATEAUX</v>
          </cell>
          <cell r="D868" t="str">
            <v>MORETAN</v>
          </cell>
          <cell r="E868">
            <v>70997012</v>
          </cell>
          <cell r="F868" t="str">
            <v>2G</v>
          </cell>
          <cell r="G868"/>
          <cell r="H868"/>
          <cell r="I868"/>
          <cell r="J868"/>
          <cell r="K868"/>
          <cell r="L868"/>
          <cell r="M868"/>
        </row>
        <row r="869">
          <cell r="A869" t="str">
            <v>MRG</v>
          </cell>
          <cell r="B869" t="str">
            <v>LOM-020</v>
          </cell>
          <cell r="C869" t="str">
            <v>LOME</v>
          </cell>
          <cell r="D869" t="str">
            <v>MOTOCROSS</v>
          </cell>
          <cell r="E869">
            <v>70997013</v>
          </cell>
          <cell r="F869" t="str">
            <v>2G</v>
          </cell>
          <cell r="G869"/>
          <cell r="H869"/>
          <cell r="I869"/>
          <cell r="J869"/>
          <cell r="K869"/>
          <cell r="L869"/>
          <cell r="M869"/>
        </row>
        <row r="870">
          <cell r="A870" t="str">
            <v>MRG</v>
          </cell>
          <cell r="B870"/>
          <cell r="C870"/>
          <cell r="D870" t="str">
            <v>MOTO-CROSS</v>
          </cell>
          <cell r="E870"/>
          <cell r="F870"/>
          <cell r="G870"/>
          <cell r="H870"/>
          <cell r="I870"/>
          <cell r="J870"/>
          <cell r="K870"/>
          <cell r="L870"/>
          <cell r="M870"/>
        </row>
        <row r="871">
          <cell r="A871" t="str">
            <v>MRG</v>
          </cell>
          <cell r="B871"/>
          <cell r="C871" t="str">
            <v>CENTRALE</v>
          </cell>
          <cell r="D871" t="str">
            <v>M'POTI</v>
          </cell>
          <cell r="E871" t="str">
            <v>70996485</v>
          </cell>
          <cell r="F871" t="str">
            <v>Android</v>
          </cell>
          <cell r="G871"/>
          <cell r="H871"/>
          <cell r="I871"/>
          <cell r="J871"/>
          <cell r="K871"/>
          <cell r="L871"/>
          <cell r="M871"/>
        </row>
        <row r="872">
          <cell r="A872" t="str">
            <v>EASY CONCEPT</v>
          </cell>
          <cell r="B872" t="str">
            <v>CEN-098</v>
          </cell>
          <cell r="C872" t="str">
            <v>CENTRALE</v>
          </cell>
          <cell r="D872" t="str">
            <v>M'POTI</v>
          </cell>
          <cell r="E872">
            <v>70996485</v>
          </cell>
          <cell r="F872" t="str">
            <v>2G</v>
          </cell>
          <cell r="G872"/>
          <cell r="H872"/>
          <cell r="I872"/>
          <cell r="J872"/>
          <cell r="K872"/>
          <cell r="L872"/>
          <cell r="M872"/>
        </row>
        <row r="873">
          <cell r="A873" t="str">
            <v>EASY CONCEPT</v>
          </cell>
          <cell r="B873" t="str">
            <v>KAR-050</v>
          </cell>
          <cell r="C873" t="str">
            <v>KARA</v>
          </cell>
          <cell r="D873" t="str">
            <v>NABOULGOU</v>
          </cell>
          <cell r="E873">
            <v>70997014</v>
          </cell>
          <cell r="F873" t="str">
            <v>2G</v>
          </cell>
          <cell r="G873"/>
          <cell r="H873"/>
          <cell r="I873"/>
          <cell r="J873"/>
          <cell r="K873"/>
          <cell r="L873"/>
          <cell r="M873"/>
        </row>
        <row r="874">
          <cell r="A874" t="str">
            <v>MRG</v>
          </cell>
          <cell r="B874" t="str">
            <v>LOM-313</v>
          </cell>
          <cell r="C874" t="str">
            <v>LOME</v>
          </cell>
          <cell r="D874" t="str">
            <v>NADEGBE</v>
          </cell>
          <cell r="E874">
            <v>70997027</v>
          </cell>
          <cell r="F874" t="str">
            <v>2G</v>
          </cell>
          <cell r="G874"/>
          <cell r="H874"/>
          <cell r="I874"/>
          <cell r="J874"/>
          <cell r="K874"/>
          <cell r="L874"/>
          <cell r="M874"/>
        </row>
        <row r="875">
          <cell r="A875" t="str">
            <v>MRG</v>
          </cell>
          <cell r="B875"/>
          <cell r="C875" t="str">
            <v>SAVANES</v>
          </cell>
          <cell r="D875" t="str">
            <v>NADJOUNDI</v>
          </cell>
          <cell r="E875" t="str">
            <v>70997015</v>
          </cell>
          <cell r="F875" t="str">
            <v>Android</v>
          </cell>
          <cell r="G875"/>
          <cell r="H875"/>
          <cell r="I875"/>
          <cell r="J875"/>
          <cell r="K875"/>
          <cell r="L875"/>
          <cell r="M875"/>
        </row>
        <row r="876">
          <cell r="A876" t="str">
            <v>MRG</v>
          </cell>
          <cell r="B876" t="str">
            <v>SAV-017</v>
          </cell>
          <cell r="C876" t="str">
            <v>SAVANES</v>
          </cell>
          <cell r="D876" t="str">
            <v>NADJOUNDI</v>
          </cell>
          <cell r="E876">
            <v>70997015</v>
          </cell>
          <cell r="F876" t="str">
            <v>2G</v>
          </cell>
          <cell r="G876"/>
          <cell r="H876"/>
          <cell r="I876"/>
          <cell r="J876"/>
          <cell r="K876"/>
          <cell r="L876"/>
          <cell r="M876"/>
        </row>
        <row r="877">
          <cell r="A877" t="str">
            <v>MRG</v>
          </cell>
          <cell r="B877" t="str">
            <v>KAR-043</v>
          </cell>
          <cell r="C877" t="str">
            <v>KARA</v>
          </cell>
          <cell r="D877" t="str">
            <v>NADOBA</v>
          </cell>
          <cell r="E877">
            <v>70997016</v>
          </cell>
          <cell r="F877" t="str">
            <v>2G</v>
          </cell>
          <cell r="G877"/>
          <cell r="H877"/>
          <cell r="I877"/>
          <cell r="J877"/>
          <cell r="K877"/>
          <cell r="L877"/>
          <cell r="M877"/>
        </row>
        <row r="878">
          <cell r="A878" t="str">
            <v>MRG</v>
          </cell>
          <cell r="B878"/>
          <cell r="C878" t="str">
            <v>KARA</v>
          </cell>
          <cell r="D878" t="str">
            <v>NADOBA</v>
          </cell>
          <cell r="E878" t="str">
            <v>70997016</v>
          </cell>
          <cell r="F878" t="str">
            <v>Android</v>
          </cell>
          <cell r="G878"/>
          <cell r="H878"/>
          <cell r="I878"/>
          <cell r="J878"/>
          <cell r="K878"/>
          <cell r="L878"/>
          <cell r="M878"/>
        </row>
        <row r="879">
          <cell r="A879" t="str">
            <v>3SCA</v>
          </cell>
          <cell r="B879" t="str">
            <v>SAV-065</v>
          </cell>
          <cell r="C879" t="str">
            <v>SAVANES</v>
          </cell>
          <cell r="D879" t="str">
            <v>NADOTI</v>
          </cell>
          <cell r="E879">
            <v>70997017</v>
          </cell>
          <cell r="F879" t="str">
            <v>2G</v>
          </cell>
          <cell r="G879"/>
          <cell r="H879"/>
          <cell r="I879"/>
          <cell r="J879"/>
          <cell r="K879"/>
          <cell r="L879"/>
          <cell r="M879"/>
        </row>
        <row r="880">
          <cell r="A880" t="str">
            <v>3SCA</v>
          </cell>
          <cell r="B880" t="str">
            <v>SAV-086</v>
          </cell>
          <cell r="C880" t="str">
            <v>SAVANES</v>
          </cell>
          <cell r="D880" t="str">
            <v>NAGOUNI</v>
          </cell>
          <cell r="E880">
            <v>70997018</v>
          </cell>
          <cell r="F880" t="str">
            <v>2G</v>
          </cell>
          <cell r="G880"/>
          <cell r="H880"/>
          <cell r="I880"/>
          <cell r="J880"/>
          <cell r="K880"/>
          <cell r="L880"/>
          <cell r="M880"/>
        </row>
        <row r="881">
          <cell r="A881" t="str">
            <v>3SCA</v>
          </cell>
          <cell r="B881" t="str">
            <v>SAV-036</v>
          </cell>
          <cell r="C881" t="str">
            <v>SAVANES</v>
          </cell>
          <cell r="D881" t="str">
            <v>NAKI-EST</v>
          </cell>
          <cell r="E881">
            <v>70997019</v>
          </cell>
          <cell r="F881" t="str">
            <v>2G</v>
          </cell>
          <cell r="G881"/>
          <cell r="H881"/>
          <cell r="I881"/>
          <cell r="J881"/>
          <cell r="K881"/>
          <cell r="L881"/>
          <cell r="M881"/>
        </row>
        <row r="882">
          <cell r="A882" t="str">
            <v>MRG</v>
          </cell>
          <cell r="B882"/>
          <cell r="C882" t="str">
            <v>SAVANES</v>
          </cell>
          <cell r="D882" t="str">
            <v>NAKI-EST</v>
          </cell>
          <cell r="E882" t="str">
            <v>70997019</v>
          </cell>
          <cell r="F882" t="str">
            <v>Android</v>
          </cell>
          <cell r="G882"/>
          <cell r="H882"/>
          <cell r="I882"/>
          <cell r="J882"/>
          <cell r="K882"/>
          <cell r="L882"/>
          <cell r="M882"/>
        </row>
        <row r="883">
          <cell r="A883" t="str">
            <v>MRG</v>
          </cell>
          <cell r="B883" t="str">
            <v>SAV-018</v>
          </cell>
          <cell r="C883" t="str">
            <v>SAVANES</v>
          </cell>
          <cell r="D883" t="str">
            <v>NAKI-OUEST</v>
          </cell>
          <cell r="E883">
            <v>70997020</v>
          </cell>
          <cell r="F883" t="str">
            <v>2G</v>
          </cell>
          <cell r="G883"/>
          <cell r="H883"/>
          <cell r="I883"/>
          <cell r="J883"/>
          <cell r="K883"/>
          <cell r="L883"/>
          <cell r="M883"/>
        </row>
        <row r="884">
          <cell r="A884" t="str">
            <v>MRG</v>
          </cell>
          <cell r="B884"/>
          <cell r="C884" t="str">
            <v>SAVANES</v>
          </cell>
          <cell r="D884" t="str">
            <v>NAKI-OUEST</v>
          </cell>
          <cell r="E884" t="str">
            <v>70997020</v>
          </cell>
          <cell r="F884" t="str">
            <v>Android</v>
          </cell>
          <cell r="G884"/>
          <cell r="H884"/>
          <cell r="I884"/>
          <cell r="J884"/>
          <cell r="K884"/>
          <cell r="L884"/>
          <cell r="M884"/>
        </row>
        <row r="885">
          <cell r="A885" t="str">
            <v>3SCA</v>
          </cell>
          <cell r="B885" t="str">
            <v>SAV-057</v>
          </cell>
          <cell r="C885" t="str">
            <v>SAVANES</v>
          </cell>
          <cell r="D885" t="str">
            <v>NALI</v>
          </cell>
          <cell r="E885">
            <v>70997021</v>
          </cell>
          <cell r="F885" t="str">
            <v>2G</v>
          </cell>
          <cell r="G885"/>
          <cell r="H885"/>
          <cell r="I885"/>
          <cell r="J885"/>
          <cell r="K885"/>
          <cell r="L885"/>
          <cell r="M885"/>
        </row>
        <row r="886">
          <cell r="A886" t="str">
            <v>MRG</v>
          </cell>
          <cell r="B886"/>
          <cell r="C886" t="str">
            <v>SAVANES</v>
          </cell>
          <cell r="D886" t="str">
            <v>NALI</v>
          </cell>
          <cell r="E886" t="str">
            <v>70997021</v>
          </cell>
          <cell r="F886" t="str">
            <v>Android</v>
          </cell>
          <cell r="G886"/>
          <cell r="H886"/>
          <cell r="I886"/>
          <cell r="J886"/>
          <cell r="K886"/>
          <cell r="L886"/>
          <cell r="M886"/>
        </row>
        <row r="887">
          <cell r="A887" t="str">
            <v>SSV</v>
          </cell>
          <cell r="B887" t="str">
            <v>KAR-059</v>
          </cell>
          <cell r="C887" t="str">
            <v>KARA</v>
          </cell>
          <cell r="D887" t="str">
            <v>NAMON</v>
          </cell>
          <cell r="E887">
            <v>70997023</v>
          </cell>
          <cell r="F887" t="str">
            <v>2G</v>
          </cell>
          <cell r="G887"/>
          <cell r="H887"/>
          <cell r="I887"/>
          <cell r="J887"/>
          <cell r="K887"/>
          <cell r="L887"/>
          <cell r="M887"/>
        </row>
        <row r="888">
          <cell r="A888" t="str">
            <v>SSV</v>
          </cell>
          <cell r="B888"/>
          <cell r="C888" t="str">
            <v>KARA</v>
          </cell>
          <cell r="D888" t="str">
            <v>NAMON</v>
          </cell>
          <cell r="E888" t="str">
            <v>70997023</v>
          </cell>
          <cell r="F888" t="str">
            <v>Android</v>
          </cell>
          <cell r="G888"/>
          <cell r="H888"/>
          <cell r="I888"/>
          <cell r="J888"/>
          <cell r="K888"/>
          <cell r="L888"/>
          <cell r="M888"/>
        </row>
        <row r="889">
          <cell r="A889" t="str">
            <v>MRG</v>
          </cell>
          <cell r="B889"/>
          <cell r="C889" t="str">
            <v>SAVANES</v>
          </cell>
          <cell r="D889" t="str">
            <v>NAMOUDJOAGA</v>
          </cell>
          <cell r="E889" t="str">
            <v>70997024</v>
          </cell>
          <cell r="F889" t="str">
            <v>Android</v>
          </cell>
          <cell r="G889"/>
          <cell r="H889"/>
          <cell r="I889"/>
          <cell r="J889"/>
          <cell r="K889"/>
          <cell r="L889"/>
          <cell r="M889"/>
        </row>
        <row r="890">
          <cell r="A890" t="str">
            <v>MRG</v>
          </cell>
          <cell r="B890" t="str">
            <v>SAV-028</v>
          </cell>
          <cell r="C890" t="str">
            <v>SAVANES</v>
          </cell>
          <cell r="D890" t="str">
            <v>NAMOUDJOAGA</v>
          </cell>
          <cell r="E890">
            <v>70997024</v>
          </cell>
          <cell r="F890" t="str">
            <v>2G</v>
          </cell>
          <cell r="G890"/>
          <cell r="H890"/>
          <cell r="I890"/>
          <cell r="J890"/>
          <cell r="K890"/>
          <cell r="L890"/>
          <cell r="M890"/>
        </row>
        <row r="891">
          <cell r="A891" t="str">
            <v>MRG</v>
          </cell>
          <cell r="B891" t="str">
            <v>KAR-125</v>
          </cell>
          <cell r="C891" t="str">
            <v>SAVANES</v>
          </cell>
          <cell r="D891" t="str">
            <v>NAMPOCH</v>
          </cell>
          <cell r="E891">
            <v>70997025</v>
          </cell>
          <cell r="F891" t="str">
            <v>2G</v>
          </cell>
          <cell r="G891"/>
          <cell r="H891"/>
          <cell r="I891"/>
          <cell r="J891"/>
          <cell r="K891"/>
          <cell r="L891"/>
          <cell r="M891"/>
        </row>
        <row r="892">
          <cell r="A892" t="str">
            <v>MRG</v>
          </cell>
          <cell r="B892"/>
          <cell r="C892" t="str">
            <v>SAVANES</v>
          </cell>
          <cell r="D892" t="str">
            <v>NAMPOCH</v>
          </cell>
          <cell r="E892" t="str">
            <v>70997025</v>
          </cell>
          <cell r="F892" t="str">
            <v>Android</v>
          </cell>
          <cell r="G892"/>
          <cell r="H892"/>
          <cell r="I892"/>
          <cell r="J892"/>
          <cell r="K892"/>
          <cell r="L892"/>
          <cell r="M892"/>
        </row>
        <row r="893">
          <cell r="A893" t="str">
            <v>MRG</v>
          </cell>
          <cell r="B893" t="str">
            <v>KAR-067</v>
          </cell>
          <cell r="C893" t="str">
            <v>KARA</v>
          </cell>
          <cell r="D893" t="str">
            <v>NANDJOUTA</v>
          </cell>
          <cell r="E893">
            <v>70997026</v>
          </cell>
          <cell r="F893" t="str">
            <v>2G</v>
          </cell>
          <cell r="G893"/>
          <cell r="H893"/>
          <cell r="I893"/>
          <cell r="J893"/>
          <cell r="K893"/>
          <cell r="L893"/>
          <cell r="M893"/>
        </row>
        <row r="894">
          <cell r="A894" t="str">
            <v>MRG</v>
          </cell>
          <cell r="B894" t="str">
            <v>SAV-059</v>
          </cell>
          <cell r="C894" t="str">
            <v>SAVANES</v>
          </cell>
          <cell r="D894" t="str">
            <v>NANERGOU</v>
          </cell>
          <cell r="E894">
            <v>70997028</v>
          </cell>
          <cell r="F894" t="str">
            <v>2G</v>
          </cell>
          <cell r="G894"/>
          <cell r="H894"/>
          <cell r="I894"/>
          <cell r="J894"/>
          <cell r="K894"/>
          <cell r="L894"/>
          <cell r="M894"/>
        </row>
        <row r="895">
          <cell r="A895" t="str">
            <v>MRG</v>
          </cell>
          <cell r="B895"/>
          <cell r="C895" t="str">
            <v>SAVANES</v>
          </cell>
          <cell r="D895" t="str">
            <v>NANERGOU</v>
          </cell>
          <cell r="E895" t="str">
            <v>70997028</v>
          </cell>
          <cell r="F895" t="str">
            <v>Android</v>
          </cell>
          <cell r="G895"/>
          <cell r="H895"/>
          <cell r="I895"/>
          <cell r="J895"/>
          <cell r="K895"/>
          <cell r="L895"/>
          <cell r="M895"/>
        </row>
        <row r="896">
          <cell r="A896" t="str">
            <v>MRG</v>
          </cell>
          <cell r="B896" t="str">
            <v>SAV-037</v>
          </cell>
          <cell r="C896" t="str">
            <v>SAVANES</v>
          </cell>
          <cell r="D896" t="str">
            <v>NANGBENI</v>
          </cell>
          <cell r="E896">
            <v>70997029</v>
          </cell>
          <cell r="F896" t="str">
            <v>2G</v>
          </cell>
          <cell r="G896"/>
          <cell r="H896"/>
          <cell r="I896"/>
          <cell r="J896"/>
          <cell r="K896"/>
          <cell r="L896"/>
          <cell r="M896"/>
        </row>
        <row r="897">
          <cell r="A897" t="str">
            <v>MRG</v>
          </cell>
          <cell r="B897" t="str">
            <v>PLA-138</v>
          </cell>
          <cell r="C897" t="str">
            <v>PLATEAUX</v>
          </cell>
          <cell r="D897" t="str">
            <v>NANGBETO</v>
          </cell>
          <cell r="E897">
            <v>70997030</v>
          </cell>
          <cell r="F897" t="str">
            <v>2G</v>
          </cell>
          <cell r="G897"/>
          <cell r="H897"/>
          <cell r="I897"/>
          <cell r="J897"/>
          <cell r="K897"/>
          <cell r="L897"/>
          <cell r="M897"/>
        </row>
        <row r="898">
          <cell r="A898" t="str">
            <v>MRG</v>
          </cell>
          <cell r="B898"/>
          <cell r="C898" t="str">
            <v>PLATEAUX</v>
          </cell>
          <cell r="D898" t="str">
            <v>NANGBETO</v>
          </cell>
          <cell r="E898" t="str">
            <v>70997030</v>
          </cell>
          <cell r="F898" t="str">
            <v>Android</v>
          </cell>
          <cell r="G898"/>
          <cell r="H898"/>
          <cell r="I898"/>
          <cell r="J898"/>
          <cell r="K898"/>
          <cell r="L898"/>
          <cell r="M898"/>
        </row>
        <row r="899">
          <cell r="A899" t="str">
            <v>MRG</v>
          </cell>
          <cell r="B899" t="str">
            <v>SAV-024</v>
          </cell>
          <cell r="C899" t="str">
            <v>SAVANES</v>
          </cell>
          <cell r="D899" t="str">
            <v>NANO</v>
          </cell>
          <cell r="E899">
            <v>70997031</v>
          </cell>
          <cell r="F899" t="str">
            <v>2G</v>
          </cell>
          <cell r="G899"/>
          <cell r="H899"/>
          <cell r="I899"/>
          <cell r="J899"/>
          <cell r="K899"/>
          <cell r="L899"/>
          <cell r="M899"/>
        </row>
        <row r="900">
          <cell r="A900" t="str">
            <v>3SCA</v>
          </cell>
          <cell r="B900"/>
          <cell r="C900" t="str">
            <v>SAVANES</v>
          </cell>
          <cell r="D900" t="str">
            <v>NANO</v>
          </cell>
          <cell r="E900" t="str">
            <v>70997031</v>
          </cell>
          <cell r="F900" t="str">
            <v>Android</v>
          </cell>
          <cell r="G900"/>
          <cell r="H900"/>
          <cell r="I900"/>
          <cell r="J900"/>
          <cell r="K900"/>
          <cell r="L900"/>
          <cell r="M900"/>
        </row>
        <row r="901">
          <cell r="A901" t="str">
            <v>EASY CONCEPT</v>
          </cell>
          <cell r="B901" t="str">
            <v>SAV-105</v>
          </cell>
          <cell r="C901" t="str">
            <v>SAVANES</v>
          </cell>
          <cell r="D901" t="str">
            <v>NAOUTIERI</v>
          </cell>
          <cell r="E901">
            <v>70997266</v>
          </cell>
          <cell r="F901" t="str">
            <v>2G</v>
          </cell>
          <cell r="G901"/>
          <cell r="H901"/>
          <cell r="I901"/>
          <cell r="J901"/>
          <cell r="K901"/>
          <cell r="L901"/>
          <cell r="M901"/>
        </row>
        <row r="902">
          <cell r="A902" t="str">
            <v>EASY CONCEPT</v>
          </cell>
          <cell r="B902"/>
          <cell r="C902" t="str">
            <v>SAVANES</v>
          </cell>
          <cell r="D902" t="str">
            <v>NAOUTIERI</v>
          </cell>
          <cell r="E902">
            <v>70997266</v>
          </cell>
          <cell r="F902" t="str">
            <v>Android</v>
          </cell>
          <cell r="G902"/>
          <cell r="H902"/>
          <cell r="I902"/>
          <cell r="J902"/>
          <cell r="K902"/>
          <cell r="L902"/>
          <cell r="M902"/>
        </row>
        <row r="903">
          <cell r="A903" t="str">
            <v>MRG</v>
          </cell>
          <cell r="B903" t="str">
            <v>SAV-106</v>
          </cell>
          <cell r="C903" t="str">
            <v>SAVANES</v>
          </cell>
          <cell r="D903" t="str">
            <v>NAPCHO</v>
          </cell>
          <cell r="E903">
            <v>70997272</v>
          </cell>
          <cell r="F903" t="str">
            <v>2G</v>
          </cell>
          <cell r="G903"/>
          <cell r="H903"/>
          <cell r="I903"/>
          <cell r="J903"/>
          <cell r="K903"/>
          <cell r="L903"/>
          <cell r="M903"/>
        </row>
        <row r="904">
          <cell r="A904" t="str">
            <v>MRG</v>
          </cell>
          <cell r="B904"/>
          <cell r="C904" t="str">
            <v>SAVANES</v>
          </cell>
          <cell r="D904" t="str">
            <v>NASSABLE</v>
          </cell>
          <cell r="E904">
            <v>70996896</v>
          </cell>
          <cell r="F904" t="str">
            <v>Android</v>
          </cell>
          <cell r="G904"/>
          <cell r="H904"/>
          <cell r="I904"/>
          <cell r="J904"/>
          <cell r="K904"/>
          <cell r="L904"/>
          <cell r="M904"/>
        </row>
        <row r="905">
          <cell r="A905" t="str">
            <v>MRG</v>
          </cell>
          <cell r="B905" t="str">
            <v>KAR-112</v>
          </cell>
          <cell r="C905" t="str">
            <v>KARA</v>
          </cell>
          <cell r="D905" t="str">
            <v>NASSIKOU</v>
          </cell>
          <cell r="E905">
            <v>70997032</v>
          </cell>
          <cell r="F905" t="str">
            <v>2G</v>
          </cell>
          <cell r="G905"/>
          <cell r="H905"/>
          <cell r="I905"/>
          <cell r="J905"/>
          <cell r="K905"/>
          <cell r="L905"/>
          <cell r="M905"/>
        </row>
        <row r="906">
          <cell r="A906" t="str">
            <v>MRG</v>
          </cell>
          <cell r="B906" t="str">
            <v>SAV-075</v>
          </cell>
          <cell r="C906" t="str">
            <v>SAVANES</v>
          </cell>
          <cell r="D906" t="str">
            <v>NATARE</v>
          </cell>
          <cell r="E906">
            <v>70997033</v>
          </cell>
          <cell r="F906" t="str">
            <v>2G</v>
          </cell>
          <cell r="G906"/>
          <cell r="H906"/>
          <cell r="I906"/>
          <cell r="J906"/>
          <cell r="K906"/>
          <cell r="L906"/>
          <cell r="M906"/>
        </row>
        <row r="907">
          <cell r="A907" t="str">
            <v>MRG</v>
          </cell>
          <cell r="B907"/>
          <cell r="C907" t="str">
            <v>SAVANES</v>
          </cell>
          <cell r="D907" t="str">
            <v>NATARE</v>
          </cell>
          <cell r="E907" t="str">
            <v>70997033</v>
          </cell>
          <cell r="F907" t="str">
            <v>Android</v>
          </cell>
          <cell r="G907"/>
          <cell r="H907"/>
          <cell r="I907"/>
          <cell r="J907"/>
          <cell r="K907"/>
          <cell r="L907"/>
          <cell r="M907"/>
        </row>
        <row r="908">
          <cell r="A908" t="str">
            <v>EASY CONCEPT</v>
          </cell>
          <cell r="B908" t="str">
            <v>KAR-091</v>
          </cell>
          <cell r="C908" t="str">
            <v>KARA</v>
          </cell>
          <cell r="D908" t="str">
            <v>NATCHAMBA</v>
          </cell>
          <cell r="E908">
            <v>70997034</v>
          </cell>
          <cell r="F908" t="str">
            <v>2G</v>
          </cell>
          <cell r="G908"/>
          <cell r="H908"/>
          <cell r="I908"/>
          <cell r="J908"/>
          <cell r="K908"/>
          <cell r="L908"/>
          <cell r="M908"/>
        </row>
        <row r="909">
          <cell r="A909" t="str">
            <v>EASY CONCEPT</v>
          </cell>
          <cell r="B909"/>
          <cell r="C909" t="str">
            <v>KARA</v>
          </cell>
          <cell r="D909" t="str">
            <v>NATCHAMBA</v>
          </cell>
          <cell r="E909" t="str">
            <v>70997034</v>
          </cell>
          <cell r="F909" t="str">
            <v>Android</v>
          </cell>
          <cell r="G909"/>
          <cell r="H909"/>
          <cell r="I909"/>
          <cell r="J909"/>
          <cell r="K909"/>
          <cell r="L909"/>
          <cell r="M909"/>
        </row>
        <row r="910">
          <cell r="A910" t="str">
            <v>EASY CONCEPT</v>
          </cell>
          <cell r="B910" t="str">
            <v>KAR-044</v>
          </cell>
          <cell r="C910" t="str">
            <v>KARA</v>
          </cell>
          <cell r="D910" t="str">
            <v>NATCHANGOU</v>
          </cell>
          <cell r="E910">
            <v>70997035</v>
          </cell>
          <cell r="F910" t="str">
            <v>2G</v>
          </cell>
          <cell r="G910"/>
          <cell r="H910"/>
          <cell r="I910"/>
          <cell r="J910"/>
          <cell r="K910"/>
          <cell r="L910"/>
          <cell r="M910"/>
        </row>
        <row r="911">
          <cell r="A911" t="str">
            <v>EASY CONCEPT</v>
          </cell>
          <cell r="B911" t="str">
            <v>KAR-060</v>
          </cell>
          <cell r="C911" t="str">
            <v>KARA</v>
          </cell>
          <cell r="D911" t="str">
            <v>NATCHIBORE</v>
          </cell>
          <cell r="E911">
            <v>70997036</v>
          </cell>
          <cell r="F911" t="str">
            <v>2G</v>
          </cell>
          <cell r="G911"/>
          <cell r="H911"/>
          <cell r="I911"/>
          <cell r="J911"/>
          <cell r="K911"/>
          <cell r="L911"/>
          <cell r="M911"/>
        </row>
        <row r="912">
          <cell r="A912" t="str">
            <v>EASY CONCEPT</v>
          </cell>
          <cell r="B912"/>
          <cell r="C912" t="str">
            <v>KARA</v>
          </cell>
          <cell r="D912" t="str">
            <v>NATCHIBORE</v>
          </cell>
          <cell r="E912" t="str">
            <v>70997036</v>
          </cell>
          <cell r="F912" t="str">
            <v>Android</v>
          </cell>
          <cell r="G912"/>
          <cell r="H912"/>
          <cell r="I912"/>
          <cell r="J912"/>
          <cell r="K912"/>
          <cell r="L912"/>
          <cell r="M912"/>
        </row>
        <row r="913">
          <cell r="A913" t="str">
            <v>EASY CONCEPT</v>
          </cell>
          <cell r="B913" t="str">
            <v>KAR-061</v>
          </cell>
          <cell r="C913" t="str">
            <v>KARA</v>
          </cell>
          <cell r="D913" t="str">
            <v>NATCHITIKPI</v>
          </cell>
          <cell r="E913">
            <v>70997037</v>
          </cell>
          <cell r="F913" t="str">
            <v>2G</v>
          </cell>
          <cell r="G913"/>
          <cell r="H913"/>
          <cell r="I913"/>
          <cell r="J913"/>
          <cell r="K913"/>
          <cell r="L913"/>
          <cell r="M913"/>
        </row>
        <row r="914">
          <cell r="A914" t="str">
            <v>EASY CONCEPT</v>
          </cell>
          <cell r="B914"/>
          <cell r="C914" t="str">
            <v>KARA</v>
          </cell>
          <cell r="D914" t="str">
            <v>NATCHITIKPI</v>
          </cell>
          <cell r="E914" t="str">
            <v>70997037</v>
          </cell>
          <cell r="F914" t="str">
            <v>Android</v>
          </cell>
          <cell r="G914"/>
          <cell r="H914"/>
          <cell r="I914"/>
          <cell r="J914"/>
          <cell r="K914"/>
          <cell r="L914"/>
          <cell r="M914"/>
        </row>
        <row r="915">
          <cell r="A915" t="str">
            <v>EASY CONCEPT</v>
          </cell>
          <cell r="B915" t="str">
            <v>SAV-078</v>
          </cell>
          <cell r="C915" t="str">
            <v>SAVANES</v>
          </cell>
          <cell r="D915" t="str">
            <v>NATIGOU</v>
          </cell>
          <cell r="E915">
            <v>70997038</v>
          </cell>
          <cell r="F915" t="str">
            <v>2G</v>
          </cell>
          <cell r="G915"/>
          <cell r="H915"/>
          <cell r="I915"/>
          <cell r="J915"/>
          <cell r="K915"/>
          <cell r="L915"/>
          <cell r="M915"/>
        </row>
        <row r="916">
          <cell r="A916" t="str">
            <v>MRG</v>
          </cell>
          <cell r="B916"/>
          <cell r="C916" t="str">
            <v>SAVANES</v>
          </cell>
          <cell r="D916" t="str">
            <v>NATIGOU</v>
          </cell>
          <cell r="E916" t="str">
            <v>70997038</v>
          </cell>
          <cell r="F916" t="str">
            <v>Android</v>
          </cell>
          <cell r="G916"/>
          <cell r="H916"/>
          <cell r="I916"/>
          <cell r="J916"/>
          <cell r="K916"/>
          <cell r="L916"/>
          <cell r="M916"/>
        </row>
        <row r="917">
          <cell r="A917" t="str">
            <v>MRG</v>
          </cell>
          <cell r="B917" t="str">
            <v>SAV-083</v>
          </cell>
          <cell r="C917" t="str">
            <v>SAVANES</v>
          </cell>
          <cell r="D917" t="str">
            <v>NATIPONI</v>
          </cell>
          <cell r="E917">
            <v>70997039</v>
          </cell>
          <cell r="F917" t="str">
            <v>2G</v>
          </cell>
          <cell r="G917"/>
          <cell r="H917"/>
          <cell r="I917"/>
          <cell r="J917"/>
          <cell r="K917"/>
          <cell r="L917"/>
          <cell r="M917"/>
        </row>
        <row r="918">
          <cell r="A918" t="str">
            <v>MRG</v>
          </cell>
          <cell r="B918"/>
          <cell r="C918" t="str">
            <v>SAVANES</v>
          </cell>
          <cell r="D918" t="str">
            <v>NATIPONI</v>
          </cell>
          <cell r="E918" t="str">
            <v>70997039</v>
          </cell>
          <cell r="F918" t="str">
            <v>Android</v>
          </cell>
          <cell r="G918"/>
          <cell r="H918"/>
          <cell r="I918"/>
          <cell r="J918"/>
          <cell r="K918"/>
          <cell r="L918"/>
          <cell r="M918"/>
        </row>
        <row r="919">
          <cell r="A919" t="str">
            <v>SSV</v>
          </cell>
          <cell r="B919" t="str">
            <v>KAR-154</v>
          </cell>
          <cell r="C919" t="str">
            <v>KARA</v>
          </cell>
          <cell r="D919" t="str">
            <v>NAWAKOU</v>
          </cell>
          <cell r="E919">
            <v>70997270</v>
          </cell>
          <cell r="F919" t="str">
            <v>2G</v>
          </cell>
          <cell r="G919"/>
          <cell r="H919"/>
          <cell r="I919"/>
          <cell r="J919"/>
          <cell r="K919"/>
          <cell r="L919"/>
          <cell r="M919"/>
        </row>
        <row r="920">
          <cell r="A920" t="str">
            <v>SSV</v>
          </cell>
          <cell r="B920" t="str">
            <v>KAR-068</v>
          </cell>
          <cell r="C920" t="str">
            <v>KARA</v>
          </cell>
          <cell r="D920" t="str">
            <v>NAWARE</v>
          </cell>
          <cell r="E920">
            <v>70997040</v>
          </cell>
          <cell r="F920" t="str">
            <v>2G</v>
          </cell>
          <cell r="G920"/>
          <cell r="H920"/>
          <cell r="I920"/>
          <cell r="J920"/>
          <cell r="K920"/>
          <cell r="L920"/>
          <cell r="M920"/>
        </row>
        <row r="921">
          <cell r="A921" t="str">
            <v>EASY CONCEPT</v>
          </cell>
          <cell r="B921" t="str">
            <v>KAR-111</v>
          </cell>
          <cell r="C921" t="str">
            <v>KARA</v>
          </cell>
          <cell r="D921" t="str">
            <v>NGAMBI</v>
          </cell>
          <cell r="E921">
            <v>70997042</v>
          </cell>
          <cell r="F921" t="str">
            <v>2G</v>
          </cell>
          <cell r="G921"/>
          <cell r="H921"/>
          <cell r="I921"/>
          <cell r="J921"/>
          <cell r="K921"/>
          <cell r="L921"/>
          <cell r="M921"/>
        </row>
        <row r="922">
          <cell r="A922" t="str">
            <v>SSV</v>
          </cell>
          <cell r="B922"/>
          <cell r="C922" t="str">
            <v>KARA</v>
          </cell>
          <cell r="D922" t="str">
            <v>NGAMBI</v>
          </cell>
          <cell r="E922" t="str">
            <v>70997042</v>
          </cell>
          <cell r="F922" t="str">
            <v>Android</v>
          </cell>
          <cell r="G922"/>
          <cell r="H922"/>
          <cell r="I922"/>
          <cell r="J922"/>
          <cell r="K922"/>
          <cell r="L922"/>
          <cell r="M922"/>
        </row>
        <row r="923">
          <cell r="A923" t="str">
            <v>SSV</v>
          </cell>
          <cell r="B923" t="str">
            <v>KAR-030</v>
          </cell>
          <cell r="C923" t="str">
            <v>KARA</v>
          </cell>
          <cell r="D923" t="str">
            <v>NIAMTOUGOU</v>
          </cell>
          <cell r="E923">
            <v>70997043</v>
          </cell>
          <cell r="F923" t="str">
            <v>2G</v>
          </cell>
          <cell r="G923"/>
          <cell r="H923"/>
          <cell r="I923"/>
          <cell r="J923"/>
          <cell r="K923"/>
          <cell r="L923"/>
          <cell r="M923"/>
        </row>
        <row r="924">
          <cell r="A924" t="str">
            <v>SSV</v>
          </cell>
          <cell r="B924"/>
          <cell r="C924" t="str">
            <v>KARA</v>
          </cell>
          <cell r="D924" t="str">
            <v>NIAMTOUGOU</v>
          </cell>
          <cell r="E924" t="str">
            <v>70997043</v>
          </cell>
          <cell r="F924" t="str">
            <v>Android</v>
          </cell>
          <cell r="G924"/>
          <cell r="H924"/>
          <cell r="I924"/>
          <cell r="J924"/>
          <cell r="K924"/>
          <cell r="L924"/>
          <cell r="M924"/>
        </row>
        <row r="925">
          <cell r="A925" t="str">
            <v>MRG</v>
          </cell>
          <cell r="B925" t="str">
            <v>PLA-089</v>
          </cell>
          <cell r="C925" t="str">
            <v>PLATEAUX</v>
          </cell>
          <cell r="D925" t="str">
            <v>NIAMTOUGOU KOPE</v>
          </cell>
          <cell r="E925">
            <v>70997045</v>
          </cell>
          <cell r="F925" t="str">
            <v>2G</v>
          </cell>
          <cell r="G925"/>
          <cell r="H925"/>
          <cell r="I925"/>
          <cell r="J925"/>
          <cell r="K925"/>
          <cell r="L925"/>
          <cell r="M925"/>
        </row>
        <row r="926">
          <cell r="A926" t="str">
            <v>SSV</v>
          </cell>
          <cell r="B926" t="str">
            <v>KAR-107</v>
          </cell>
          <cell r="C926" t="str">
            <v>KARA</v>
          </cell>
          <cell r="D926" t="str">
            <v>NIAMTOUGOU-KANTAMBOLI</v>
          </cell>
          <cell r="E926">
            <v>70997044</v>
          </cell>
          <cell r="F926" t="str">
            <v>2G</v>
          </cell>
          <cell r="G926"/>
          <cell r="H926"/>
          <cell r="I926"/>
          <cell r="J926"/>
          <cell r="K926"/>
          <cell r="L926"/>
          <cell r="M926"/>
        </row>
        <row r="927">
          <cell r="A927" t="str">
            <v>SSV</v>
          </cell>
          <cell r="B927" t="str">
            <v>SAV-008</v>
          </cell>
          <cell r="C927" t="str">
            <v>SAVANES</v>
          </cell>
          <cell r="D927" t="str">
            <v>NIOUPROUMA</v>
          </cell>
          <cell r="E927">
            <v>70997046</v>
          </cell>
          <cell r="F927" t="str">
            <v>2G</v>
          </cell>
          <cell r="G927"/>
          <cell r="H927"/>
          <cell r="I927"/>
          <cell r="J927"/>
          <cell r="K927"/>
          <cell r="L927"/>
          <cell r="M927"/>
        </row>
        <row r="928">
          <cell r="A928" t="str">
            <v>MRG</v>
          </cell>
          <cell r="B928"/>
          <cell r="C928" t="str">
            <v>SAVANES</v>
          </cell>
          <cell r="D928" t="str">
            <v>NIOUPROUMA</v>
          </cell>
          <cell r="E928" t="str">
            <v>70997046</v>
          </cell>
          <cell r="F928" t="str">
            <v>Android</v>
          </cell>
          <cell r="G928"/>
          <cell r="H928"/>
          <cell r="I928"/>
          <cell r="J928"/>
          <cell r="K928"/>
          <cell r="L928"/>
          <cell r="M928"/>
        </row>
        <row r="929">
          <cell r="A929" t="str">
            <v>MRG</v>
          </cell>
          <cell r="B929" t="str">
            <v>CEN-073</v>
          </cell>
          <cell r="C929" t="str">
            <v>CENTRALE</v>
          </cell>
          <cell r="D929" t="str">
            <v>NKENGBE</v>
          </cell>
          <cell r="E929">
            <v>70997047</v>
          </cell>
          <cell r="F929" t="str">
            <v>2G</v>
          </cell>
          <cell r="G929"/>
          <cell r="H929"/>
          <cell r="I929"/>
          <cell r="J929"/>
          <cell r="K929"/>
          <cell r="L929"/>
          <cell r="M929"/>
        </row>
        <row r="930">
          <cell r="A930" t="str">
            <v>EASY CONCEPT</v>
          </cell>
          <cell r="B930" t="str">
            <v>LOM-001</v>
          </cell>
          <cell r="C930" t="str">
            <v>LOME</v>
          </cell>
          <cell r="D930" t="str">
            <v>NOEPE</v>
          </cell>
          <cell r="E930">
            <v>70997048</v>
          </cell>
          <cell r="F930" t="str">
            <v>2G</v>
          </cell>
          <cell r="G930"/>
          <cell r="H930"/>
          <cell r="I930"/>
          <cell r="J930"/>
          <cell r="K930"/>
          <cell r="L930"/>
          <cell r="M930"/>
        </row>
        <row r="931">
          <cell r="A931" t="str">
            <v>SSV</v>
          </cell>
          <cell r="B931" t="str">
            <v>PLA-051</v>
          </cell>
          <cell r="C931" t="str">
            <v>PLATEAUX</v>
          </cell>
          <cell r="D931" t="str">
            <v>NOTSE</v>
          </cell>
          <cell r="E931">
            <v>70997049</v>
          </cell>
          <cell r="F931" t="str">
            <v>2G</v>
          </cell>
          <cell r="G931"/>
          <cell r="H931"/>
          <cell r="I931"/>
          <cell r="J931"/>
          <cell r="K931"/>
          <cell r="L931"/>
          <cell r="M931"/>
        </row>
        <row r="932">
          <cell r="A932" t="str">
            <v>MRG</v>
          </cell>
          <cell r="B932" t="str">
            <v>PLA-052</v>
          </cell>
          <cell r="C932" t="str">
            <v>PLATEAUX</v>
          </cell>
          <cell r="D932" t="str">
            <v>NOTSE BERCEAU</v>
          </cell>
          <cell r="E932">
            <v>70997050</v>
          </cell>
          <cell r="F932" t="str">
            <v>2G</v>
          </cell>
          <cell r="G932"/>
          <cell r="H932"/>
          <cell r="I932"/>
          <cell r="J932"/>
          <cell r="K932"/>
          <cell r="L932"/>
          <cell r="M932"/>
        </row>
        <row r="933">
          <cell r="A933" t="str">
            <v>EASY CONCEPT</v>
          </cell>
          <cell r="B933" t="str">
            <v>PLA-232</v>
          </cell>
          <cell r="C933" t="str">
            <v>PLATEAUX</v>
          </cell>
          <cell r="D933" t="str">
            <v>NOTSE CEG</v>
          </cell>
          <cell r="E933">
            <v>70996509</v>
          </cell>
          <cell r="F933" t="str">
            <v>2G</v>
          </cell>
          <cell r="G933"/>
          <cell r="H933"/>
          <cell r="I933"/>
          <cell r="J933"/>
          <cell r="K933"/>
          <cell r="L933"/>
          <cell r="M933"/>
        </row>
        <row r="934">
          <cell r="A934" t="str">
            <v>EASY CONCEPT</v>
          </cell>
          <cell r="B934" t="str">
            <v>PLA-029</v>
          </cell>
          <cell r="C934" t="str">
            <v>PLATEAUX</v>
          </cell>
          <cell r="D934" t="str">
            <v>NOTSE KPEDOME</v>
          </cell>
          <cell r="E934">
            <v>70997052</v>
          </cell>
          <cell r="F934" t="str">
            <v>2G</v>
          </cell>
          <cell r="G934"/>
          <cell r="H934"/>
          <cell r="I934"/>
          <cell r="J934"/>
          <cell r="K934"/>
          <cell r="L934"/>
          <cell r="M934"/>
        </row>
        <row r="935">
          <cell r="A935" t="str">
            <v>EASY CONCEPT</v>
          </cell>
          <cell r="B935" t="str">
            <v>PLA-147</v>
          </cell>
          <cell r="C935" t="str">
            <v>PLATEAUX</v>
          </cell>
          <cell r="D935" t="str">
            <v>NOTSE NAOLO</v>
          </cell>
          <cell r="E935">
            <v>70997053</v>
          </cell>
          <cell r="F935" t="str">
            <v>2G</v>
          </cell>
          <cell r="G935"/>
          <cell r="H935"/>
          <cell r="I935"/>
          <cell r="J935"/>
          <cell r="K935"/>
          <cell r="L935"/>
          <cell r="M935"/>
        </row>
        <row r="936">
          <cell r="A936" t="str">
            <v>EASY CONCEPT</v>
          </cell>
          <cell r="B936" t="str">
            <v>CEN-054</v>
          </cell>
          <cell r="C936" t="str">
            <v>CENTRALE</v>
          </cell>
          <cell r="D936" t="str">
            <v>NTCHOUROU</v>
          </cell>
          <cell r="E936">
            <v>70997054</v>
          </cell>
          <cell r="F936" t="str">
            <v>2G</v>
          </cell>
          <cell r="G936"/>
          <cell r="H936"/>
          <cell r="I936"/>
          <cell r="J936"/>
          <cell r="K936"/>
          <cell r="L936"/>
          <cell r="M936"/>
        </row>
        <row r="937">
          <cell r="A937" t="str">
            <v>EASY CONCEPT</v>
          </cell>
          <cell r="B937"/>
          <cell r="C937" t="str">
            <v>CENTRALE</v>
          </cell>
          <cell r="D937" t="str">
            <v>NTCHOUROU</v>
          </cell>
          <cell r="E937" t="str">
            <v>70997054</v>
          </cell>
          <cell r="F937" t="str">
            <v>Android</v>
          </cell>
          <cell r="G937"/>
          <cell r="H937"/>
          <cell r="I937"/>
          <cell r="J937"/>
          <cell r="K937"/>
          <cell r="L937"/>
          <cell r="M937"/>
        </row>
        <row r="938">
          <cell r="A938" t="str">
            <v>EASY CONCEPT</v>
          </cell>
          <cell r="B938"/>
          <cell r="C938"/>
          <cell r="D938" t="str">
            <v>NUKAFU 1</v>
          </cell>
          <cell r="E938"/>
          <cell r="F938"/>
          <cell r="G938"/>
          <cell r="H938"/>
          <cell r="I938"/>
          <cell r="J938"/>
          <cell r="K938"/>
          <cell r="L938"/>
          <cell r="M938"/>
        </row>
        <row r="939">
          <cell r="A939" t="str">
            <v>MRG</v>
          </cell>
          <cell r="B939" t="str">
            <v>LOM-115</v>
          </cell>
          <cell r="C939" t="str">
            <v>LOME</v>
          </cell>
          <cell r="D939" t="str">
            <v>NUKAFU 2</v>
          </cell>
          <cell r="E939">
            <v>70997056</v>
          </cell>
          <cell r="F939" t="str">
            <v>2G</v>
          </cell>
          <cell r="G939"/>
          <cell r="H939"/>
          <cell r="I939"/>
          <cell r="J939"/>
          <cell r="K939"/>
          <cell r="L939"/>
          <cell r="M939"/>
        </row>
        <row r="940">
          <cell r="A940" t="str">
            <v>SSV</v>
          </cell>
          <cell r="B940" t="str">
            <v>LOM-134</v>
          </cell>
          <cell r="C940" t="str">
            <v>LOME</v>
          </cell>
          <cell r="D940" t="str">
            <v>NUKAFU1</v>
          </cell>
          <cell r="E940">
            <v>70997055</v>
          </cell>
          <cell r="F940" t="str">
            <v>2G</v>
          </cell>
          <cell r="G940"/>
          <cell r="H940"/>
          <cell r="I940"/>
          <cell r="J940"/>
          <cell r="K940"/>
          <cell r="L940"/>
          <cell r="M940"/>
        </row>
        <row r="941">
          <cell r="A941" t="str">
            <v>EASY CONCEPT</v>
          </cell>
          <cell r="B941" t="str">
            <v>LOM-140</v>
          </cell>
          <cell r="C941" t="str">
            <v>LOME</v>
          </cell>
          <cell r="D941" t="str">
            <v>NYEKONAKPOE 1</v>
          </cell>
          <cell r="E941">
            <v>70997057</v>
          </cell>
          <cell r="F941" t="str">
            <v>2G</v>
          </cell>
          <cell r="G941"/>
          <cell r="H941"/>
          <cell r="I941"/>
          <cell r="J941"/>
          <cell r="K941"/>
          <cell r="L941"/>
          <cell r="M941"/>
        </row>
        <row r="942">
          <cell r="A942" t="str">
            <v>SSV</v>
          </cell>
          <cell r="B942" t="str">
            <v>LOM-141</v>
          </cell>
          <cell r="C942" t="str">
            <v>LOME</v>
          </cell>
          <cell r="D942" t="str">
            <v>NYEKONAKPOE 2</v>
          </cell>
          <cell r="E942">
            <v>70997058</v>
          </cell>
          <cell r="F942" t="str">
            <v>2G</v>
          </cell>
          <cell r="G942"/>
          <cell r="H942"/>
          <cell r="I942"/>
          <cell r="J942"/>
          <cell r="K942"/>
          <cell r="L942"/>
          <cell r="M942"/>
        </row>
        <row r="943">
          <cell r="A943" t="str">
            <v>SSV</v>
          </cell>
          <cell r="B943" t="str">
            <v>PLA-127</v>
          </cell>
          <cell r="C943" t="str">
            <v>PLATEAUX</v>
          </cell>
          <cell r="D943" t="str">
            <v>NYILE</v>
          </cell>
          <cell r="E943">
            <v>70997059</v>
          </cell>
          <cell r="F943" t="str">
            <v>2G</v>
          </cell>
          <cell r="G943"/>
          <cell r="H943"/>
          <cell r="I943"/>
          <cell r="J943"/>
          <cell r="K943"/>
          <cell r="L943"/>
          <cell r="M943"/>
        </row>
        <row r="944">
          <cell r="A944" t="str">
            <v>EASY CONCEPT</v>
          </cell>
          <cell r="B944"/>
          <cell r="C944" t="str">
            <v>MARITIME</v>
          </cell>
          <cell r="D944" t="str">
            <v>NYILE</v>
          </cell>
          <cell r="E944" t="str">
            <v>70997059</v>
          </cell>
          <cell r="F944" t="str">
            <v>Android</v>
          </cell>
          <cell r="G944"/>
          <cell r="H944"/>
          <cell r="I944"/>
          <cell r="J944"/>
          <cell r="K944"/>
          <cell r="L944"/>
          <cell r="M944"/>
        </row>
        <row r="945">
          <cell r="A945" t="str">
            <v>MRG</v>
          </cell>
          <cell r="B945" t="str">
            <v>MAR-096</v>
          </cell>
          <cell r="C945" t="str">
            <v>MARITIME</v>
          </cell>
          <cell r="D945" t="str">
            <v>Nyita</v>
          </cell>
          <cell r="E945">
            <v>70996486</v>
          </cell>
          <cell r="F945" t="str">
            <v>2G</v>
          </cell>
          <cell r="G945"/>
          <cell r="H945"/>
          <cell r="I945"/>
          <cell r="J945"/>
          <cell r="K945"/>
          <cell r="L945"/>
          <cell r="M945"/>
        </row>
        <row r="946">
          <cell r="A946" t="str">
            <v>MRG</v>
          </cell>
          <cell r="B946"/>
          <cell r="C946" t="str">
            <v>MARITIME</v>
          </cell>
          <cell r="D946" t="str">
            <v>NYITA</v>
          </cell>
          <cell r="E946" t="str">
            <v>70996486</v>
          </cell>
          <cell r="F946" t="str">
            <v>Android</v>
          </cell>
          <cell r="G946"/>
          <cell r="H946"/>
          <cell r="I946"/>
          <cell r="J946"/>
          <cell r="K946"/>
          <cell r="L946"/>
          <cell r="M946"/>
        </row>
        <row r="947">
          <cell r="A947" t="str">
            <v>EASY CONCEPT</v>
          </cell>
          <cell r="B947" t="str">
            <v>PLA-045</v>
          </cell>
          <cell r="C947" t="str">
            <v>PLATEAUX</v>
          </cell>
          <cell r="D947" t="str">
            <v>OFE</v>
          </cell>
          <cell r="E947">
            <v>70997060</v>
          </cell>
          <cell r="F947" t="str">
            <v>2G</v>
          </cell>
          <cell r="G947"/>
          <cell r="H947"/>
          <cell r="I947"/>
          <cell r="J947"/>
          <cell r="K947"/>
          <cell r="L947"/>
          <cell r="M947"/>
        </row>
        <row r="948">
          <cell r="A948" t="str">
            <v>EASY CONCEPT</v>
          </cell>
          <cell r="B948"/>
          <cell r="C948" t="str">
            <v>PLATEAUX</v>
          </cell>
          <cell r="D948" t="str">
            <v>OFE</v>
          </cell>
          <cell r="E948" t="str">
            <v>70997060</v>
          </cell>
          <cell r="F948" t="str">
            <v>Android</v>
          </cell>
          <cell r="G948"/>
          <cell r="H948"/>
          <cell r="I948"/>
          <cell r="J948"/>
          <cell r="K948"/>
          <cell r="L948"/>
          <cell r="M948"/>
        </row>
        <row r="949">
          <cell r="A949" t="str">
            <v>EASY CONCEPT</v>
          </cell>
          <cell r="B949" t="str">
            <v>PLA-177</v>
          </cell>
          <cell r="C949" t="str">
            <v>PLATEAUX</v>
          </cell>
          <cell r="D949" t="str">
            <v>OFOUNAGBO</v>
          </cell>
          <cell r="E949">
            <v>70997061</v>
          </cell>
          <cell r="F949" t="str">
            <v>2G</v>
          </cell>
          <cell r="G949"/>
          <cell r="H949"/>
          <cell r="I949"/>
          <cell r="J949"/>
          <cell r="K949"/>
          <cell r="L949"/>
          <cell r="M949"/>
        </row>
        <row r="950">
          <cell r="A950" t="str">
            <v>EASY CONCEPT</v>
          </cell>
          <cell r="B950"/>
          <cell r="C950" t="str">
            <v>MARITIME</v>
          </cell>
          <cell r="D950" t="str">
            <v>OFOUNAGBO</v>
          </cell>
          <cell r="E950" t="str">
            <v>70997061</v>
          </cell>
          <cell r="F950" t="str">
            <v>Android</v>
          </cell>
          <cell r="G950"/>
          <cell r="H950"/>
          <cell r="I950"/>
          <cell r="J950"/>
          <cell r="K950"/>
          <cell r="L950"/>
          <cell r="M950"/>
        </row>
        <row r="951">
          <cell r="A951" t="str">
            <v>MRG</v>
          </cell>
          <cell r="B951"/>
          <cell r="C951" t="str">
            <v>PLATEAUX</v>
          </cell>
          <cell r="D951" t="str">
            <v>OGA</v>
          </cell>
          <cell r="E951">
            <v>70997261</v>
          </cell>
          <cell r="F951" t="str">
            <v>2G</v>
          </cell>
          <cell r="G951"/>
          <cell r="H951"/>
          <cell r="I951"/>
          <cell r="J951"/>
          <cell r="K951"/>
          <cell r="L951"/>
          <cell r="M951"/>
        </row>
        <row r="952">
          <cell r="A952" t="str">
            <v>MRG</v>
          </cell>
          <cell r="B952" t="str">
            <v>SAV-072</v>
          </cell>
          <cell r="C952" t="str">
            <v>SAVANES</v>
          </cell>
          <cell r="D952" t="str">
            <v>OGARO</v>
          </cell>
          <cell r="E952">
            <v>70997062</v>
          </cell>
          <cell r="F952" t="str">
            <v>2G</v>
          </cell>
          <cell r="G952"/>
          <cell r="H952"/>
          <cell r="I952"/>
          <cell r="J952"/>
          <cell r="K952"/>
          <cell r="L952"/>
          <cell r="M952"/>
        </row>
        <row r="953">
          <cell r="A953" t="str">
            <v>EASY CONCEPT</v>
          </cell>
          <cell r="B953"/>
          <cell r="C953" t="str">
            <v>SAVANES</v>
          </cell>
          <cell r="D953" t="str">
            <v>OGARO</v>
          </cell>
          <cell r="E953" t="str">
            <v>70997062</v>
          </cell>
          <cell r="F953" t="str">
            <v>Android</v>
          </cell>
          <cell r="G953"/>
          <cell r="H953"/>
          <cell r="I953"/>
          <cell r="J953"/>
          <cell r="K953"/>
          <cell r="L953"/>
          <cell r="M953"/>
        </row>
        <row r="954">
          <cell r="A954" t="str">
            <v>EASY CONCEPT</v>
          </cell>
          <cell r="B954" t="str">
            <v>PLA-150</v>
          </cell>
          <cell r="C954" t="str">
            <v>PLATEAUX</v>
          </cell>
          <cell r="D954" t="str">
            <v>OGOU AKODESSEWA</v>
          </cell>
          <cell r="E954">
            <v>70997063</v>
          </cell>
          <cell r="F954" t="str">
            <v>2G</v>
          </cell>
          <cell r="G954"/>
          <cell r="H954"/>
          <cell r="I954"/>
          <cell r="J954"/>
          <cell r="K954"/>
          <cell r="L954"/>
          <cell r="M954"/>
        </row>
        <row r="955">
          <cell r="A955" t="str">
            <v>EASY CONCEPT</v>
          </cell>
          <cell r="B955"/>
          <cell r="C955" t="str">
            <v>PLATEAUX</v>
          </cell>
          <cell r="D955" t="str">
            <v>OGOU AKODESSEWA</v>
          </cell>
          <cell r="E955" t="str">
            <v>70997063</v>
          </cell>
          <cell r="F955" t="str">
            <v>Android</v>
          </cell>
          <cell r="G955"/>
          <cell r="H955"/>
          <cell r="I955"/>
          <cell r="J955"/>
          <cell r="K955"/>
          <cell r="L955"/>
          <cell r="M955"/>
        </row>
        <row r="956">
          <cell r="A956" t="str">
            <v>MRG</v>
          </cell>
          <cell r="B956" t="str">
            <v>PLA-082</v>
          </cell>
          <cell r="C956" t="str">
            <v>PLATEAUX</v>
          </cell>
          <cell r="D956" t="str">
            <v>OKE</v>
          </cell>
          <cell r="E956">
            <v>70997064</v>
          </cell>
          <cell r="F956" t="str">
            <v>2G</v>
          </cell>
          <cell r="G956"/>
          <cell r="H956"/>
          <cell r="I956"/>
          <cell r="J956"/>
          <cell r="K956"/>
          <cell r="L956"/>
          <cell r="M956"/>
        </row>
        <row r="957">
          <cell r="A957" t="str">
            <v>SSV</v>
          </cell>
          <cell r="B957"/>
          <cell r="C957" t="str">
            <v>PLATEAUX</v>
          </cell>
          <cell r="D957" t="str">
            <v>OKE</v>
          </cell>
          <cell r="E957" t="str">
            <v>70997064</v>
          </cell>
          <cell r="F957" t="str">
            <v>Android</v>
          </cell>
          <cell r="G957"/>
          <cell r="H957"/>
          <cell r="I957"/>
          <cell r="J957"/>
          <cell r="K957"/>
          <cell r="L957"/>
          <cell r="M957"/>
        </row>
        <row r="958">
          <cell r="A958" t="str">
            <v>SSV</v>
          </cell>
          <cell r="B958" t="str">
            <v>PLA-107</v>
          </cell>
          <cell r="C958" t="str">
            <v>PLATEAUX</v>
          </cell>
          <cell r="D958" t="str">
            <v>OKOU</v>
          </cell>
          <cell r="E958">
            <v>70997065</v>
          </cell>
          <cell r="F958" t="str">
            <v>2G</v>
          </cell>
          <cell r="G958"/>
          <cell r="H958"/>
          <cell r="I958"/>
          <cell r="J958"/>
          <cell r="K958"/>
          <cell r="L958"/>
          <cell r="M958"/>
        </row>
        <row r="959">
          <cell r="A959" t="str">
            <v>EASY CONCEPT</v>
          </cell>
          <cell r="B959" t="str">
            <v>PLA-197</v>
          </cell>
          <cell r="C959" t="str">
            <v>PLATEAUX</v>
          </cell>
          <cell r="D959" t="str">
            <v>OKPAHOE</v>
          </cell>
          <cell r="E959">
            <v>70996487</v>
          </cell>
          <cell r="F959" t="str">
            <v>2G</v>
          </cell>
          <cell r="G959"/>
          <cell r="H959"/>
          <cell r="I959"/>
          <cell r="J959"/>
          <cell r="K959"/>
          <cell r="L959"/>
          <cell r="M959"/>
        </row>
        <row r="960">
          <cell r="A960" t="str">
            <v>EASY CONCEPT</v>
          </cell>
          <cell r="B960"/>
          <cell r="C960" t="str">
            <v>PLATEAUX</v>
          </cell>
          <cell r="D960" t="str">
            <v>OKPAHOE</v>
          </cell>
          <cell r="E960" t="str">
            <v>70996487</v>
          </cell>
          <cell r="F960" t="str">
            <v>Android</v>
          </cell>
          <cell r="G960"/>
          <cell r="H960"/>
          <cell r="I960"/>
          <cell r="J960"/>
          <cell r="K960"/>
          <cell r="L960"/>
          <cell r="M960"/>
        </row>
        <row r="961">
          <cell r="A961" t="str">
            <v>EASY CONCEPT</v>
          </cell>
          <cell r="B961" t="str">
            <v>LOM-142</v>
          </cell>
          <cell r="C961" t="str">
            <v>LOME</v>
          </cell>
          <cell r="D961" t="str">
            <v>OLD PRESIDENCE</v>
          </cell>
          <cell r="E961">
            <v>70997066</v>
          </cell>
          <cell r="F961" t="str">
            <v>2G</v>
          </cell>
          <cell r="G961"/>
          <cell r="H961"/>
          <cell r="I961"/>
          <cell r="J961"/>
          <cell r="K961"/>
          <cell r="L961"/>
          <cell r="M961"/>
        </row>
        <row r="962">
          <cell r="A962" t="str">
            <v>SSV</v>
          </cell>
          <cell r="B962" t="str">
            <v>PLA-158</v>
          </cell>
          <cell r="C962" t="str">
            <v>PLATEAUX</v>
          </cell>
          <cell r="D962" t="str">
            <v>OLIGO</v>
          </cell>
          <cell r="E962">
            <v>70997067</v>
          </cell>
          <cell r="F962" t="str">
            <v>2G</v>
          </cell>
          <cell r="G962"/>
          <cell r="H962"/>
          <cell r="I962"/>
          <cell r="J962"/>
          <cell r="K962"/>
          <cell r="L962"/>
          <cell r="M962"/>
        </row>
        <row r="963">
          <cell r="A963" t="str">
            <v>SSV</v>
          </cell>
          <cell r="B963"/>
          <cell r="C963" t="str">
            <v>PLATEAUX</v>
          </cell>
          <cell r="D963" t="str">
            <v>OLIGO</v>
          </cell>
          <cell r="E963" t="str">
            <v>70997067</v>
          </cell>
          <cell r="F963" t="str">
            <v>Android</v>
          </cell>
          <cell r="G963"/>
          <cell r="H963"/>
          <cell r="I963"/>
          <cell r="J963"/>
          <cell r="K963"/>
          <cell r="L963"/>
          <cell r="M963"/>
        </row>
        <row r="964">
          <cell r="A964" t="str">
            <v>EASY CONCEPT</v>
          </cell>
          <cell r="B964" t="str">
            <v>PLA-167</v>
          </cell>
          <cell r="C964" t="str">
            <v>PLATEAUX</v>
          </cell>
          <cell r="D964" t="str">
            <v>OLOUTOKOU</v>
          </cell>
          <cell r="E964">
            <v>70997068</v>
          </cell>
          <cell r="F964" t="str">
            <v>2G</v>
          </cell>
          <cell r="G964"/>
          <cell r="H964"/>
          <cell r="I964"/>
          <cell r="J964"/>
          <cell r="K964"/>
          <cell r="L964"/>
          <cell r="M964"/>
        </row>
        <row r="965">
          <cell r="A965" t="str">
            <v>MRG</v>
          </cell>
          <cell r="B965"/>
          <cell r="C965" t="str">
            <v>MARITIME</v>
          </cell>
          <cell r="D965" t="str">
            <v>OLOUTOKOU</v>
          </cell>
          <cell r="E965" t="str">
            <v>70997068</v>
          </cell>
          <cell r="F965" t="str">
            <v>Android</v>
          </cell>
          <cell r="G965"/>
          <cell r="H965"/>
          <cell r="I965"/>
          <cell r="J965"/>
          <cell r="K965"/>
          <cell r="L965"/>
          <cell r="M965"/>
        </row>
        <row r="966">
          <cell r="A966" t="str">
            <v>MRG</v>
          </cell>
          <cell r="B966" t="str">
            <v>KAR-051</v>
          </cell>
          <cell r="C966" t="str">
            <v>KARA</v>
          </cell>
          <cell r="D966" t="str">
            <v>OSSACRE</v>
          </cell>
          <cell r="E966">
            <v>70997069</v>
          </cell>
          <cell r="F966" t="str">
            <v>2G</v>
          </cell>
          <cell r="G966"/>
          <cell r="H966"/>
          <cell r="I966"/>
          <cell r="J966"/>
          <cell r="K966"/>
          <cell r="L966"/>
          <cell r="M966"/>
        </row>
        <row r="967">
          <cell r="A967" t="str">
            <v>3SCA</v>
          </cell>
          <cell r="B967"/>
          <cell r="C967" t="str">
            <v>KARA</v>
          </cell>
          <cell r="D967" t="str">
            <v>OSSACRE</v>
          </cell>
          <cell r="E967" t="str">
            <v>70997069</v>
          </cell>
          <cell r="F967" t="str">
            <v>Android</v>
          </cell>
          <cell r="G967"/>
          <cell r="H967"/>
          <cell r="I967"/>
          <cell r="J967"/>
          <cell r="K967"/>
          <cell r="L967"/>
          <cell r="M967"/>
        </row>
        <row r="968">
          <cell r="A968" t="str">
            <v>MRG</v>
          </cell>
          <cell r="B968" t="str">
            <v>PLA-108</v>
          </cell>
          <cell r="C968" t="str">
            <v>PLATEAUX</v>
          </cell>
          <cell r="D968" t="str">
            <v>OTADI</v>
          </cell>
          <cell r="E968">
            <v>70997070</v>
          </cell>
          <cell r="F968" t="str">
            <v>2G</v>
          </cell>
          <cell r="G968"/>
          <cell r="H968"/>
          <cell r="I968"/>
          <cell r="J968"/>
          <cell r="K968"/>
          <cell r="L968"/>
          <cell r="M968"/>
        </row>
        <row r="969">
          <cell r="A969" t="str">
            <v>MRG</v>
          </cell>
          <cell r="B969"/>
          <cell r="C969" t="str">
            <v>PLATEAUX</v>
          </cell>
          <cell r="D969" t="str">
            <v>OTADI</v>
          </cell>
          <cell r="E969" t="str">
            <v>70997070</v>
          </cell>
          <cell r="F969" t="str">
            <v>Android</v>
          </cell>
          <cell r="G969"/>
          <cell r="H969"/>
          <cell r="I969"/>
          <cell r="J969"/>
          <cell r="K969"/>
          <cell r="L969"/>
          <cell r="M969"/>
        </row>
        <row r="970">
          <cell r="A970" t="str">
            <v>MRG</v>
          </cell>
          <cell r="B970" t="str">
            <v>PLA-012</v>
          </cell>
          <cell r="C970" t="str">
            <v>PLATEAUX</v>
          </cell>
          <cell r="D970" t="str">
            <v>OUNABE</v>
          </cell>
          <cell r="E970">
            <v>70997071</v>
          </cell>
          <cell r="F970" t="str">
            <v>2G</v>
          </cell>
          <cell r="G970"/>
          <cell r="H970"/>
          <cell r="I970"/>
          <cell r="J970"/>
          <cell r="K970"/>
          <cell r="L970"/>
          <cell r="M970"/>
        </row>
        <row r="971">
          <cell r="A971" t="str">
            <v>MRG</v>
          </cell>
          <cell r="B971" t="str">
            <v>PLA-139</v>
          </cell>
          <cell r="C971" t="str">
            <v>PLATEAUX</v>
          </cell>
          <cell r="D971" t="str">
            <v>OUNTIVOU</v>
          </cell>
          <cell r="E971">
            <v>70997072</v>
          </cell>
          <cell r="F971" t="str">
            <v>2G</v>
          </cell>
          <cell r="G971"/>
          <cell r="H971"/>
          <cell r="I971"/>
          <cell r="J971"/>
          <cell r="K971"/>
          <cell r="L971"/>
          <cell r="M971"/>
        </row>
        <row r="972">
          <cell r="A972" t="str">
            <v>EASY CONCEPT</v>
          </cell>
          <cell r="B972"/>
          <cell r="C972" t="str">
            <v>PLATEAUX</v>
          </cell>
          <cell r="D972" t="str">
            <v>OUNTIVOU</v>
          </cell>
          <cell r="E972" t="str">
            <v>70997072</v>
          </cell>
          <cell r="F972" t="str">
            <v>Android</v>
          </cell>
          <cell r="G972"/>
          <cell r="H972"/>
          <cell r="I972"/>
          <cell r="J972"/>
          <cell r="K972"/>
          <cell r="L972"/>
          <cell r="M972"/>
        </row>
        <row r="973">
          <cell r="A973" t="str">
            <v>EASY CONCEPT</v>
          </cell>
          <cell r="B973" t="str">
            <v>KAR-134</v>
          </cell>
          <cell r="C973" t="str">
            <v>KARA</v>
          </cell>
          <cell r="D973" t="str">
            <v>Oussombo</v>
          </cell>
          <cell r="E973">
            <v>70996488</v>
          </cell>
          <cell r="F973" t="str">
            <v>2G</v>
          </cell>
          <cell r="G973"/>
          <cell r="H973"/>
          <cell r="I973"/>
          <cell r="J973"/>
          <cell r="K973"/>
          <cell r="L973"/>
          <cell r="M973"/>
        </row>
        <row r="974">
          <cell r="A974" t="str">
            <v>3SCA</v>
          </cell>
          <cell r="B974" t="str">
            <v>CEN-063</v>
          </cell>
          <cell r="C974" t="str">
            <v>CENTRALE</v>
          </cell>
          <cell r="D974" t="str">
            <v>PAGALA GARE</v>
          </cell>
          <cell r="E974">
            <v>70997073</v>
          </cell>
          <cell r="F974" t="str">
            <v>2G</v>
          </cell>
          <cell r="G974"/>
          <cell r="H974"/>
          <cell r="I974"/>
          <cell r="J974"/>
          <cell r="K974"/>
          <cell r="L974"/>
          <cell r="M974"/>
        </row>
        <row r="975">
          <cell r="A975" t="str">
            <v>3SCA</v>
          </cell>
          <cell r="B975"/>
          <cell r="C975" t="str">
            <v>CENTRALE</v>
          </cell>
          <cell r="D975" t="str">
            <v>PAGALA GARE</v>
          </cell>
          <cell r="E975" t="str">
            <v>70997073</v>
          </cell>
          <cell r="F975" t="str">
            <v>Android</v>
          </cell>
          <cell r="G975"/>
          <cell r="H975"/>
          <cell r="I975"/>
          <cell r="J975"/>
          <cell r="K975"/>
          <cell r="L975"/>
          <cell r="M975"/>
        </row>
        <row r="976">
          <cell r="A976" t="str">
            <v>3SCA</v>
          </cell>
          <cell r="B976" t="str">
            <v>CEN-084</v>
          </cell>
          <cell r="C976" t="str">
            <v>CENTRALE</v>
          </cell>
          <cell r="D976" t="str">
            <v>PAGALA VILLAGE</v>
          </cell>
          <cell r="E976">
            <v>70997075</v>
          </cell>
          <cell r="F976" t="str">
            <v>2G</v>
          </cell>
          <cell r="G976"/>
          <cell r="H976"/>
          <cell r="I976"/>
          <cell r="J976"/>
          <cell r="K976"/>
          <cell r="L976"/>
          <cell r="M976"/>
        </row>
        <row r="977">
          <cell r="A977" t="str">
            <v>3SCA</v>
          </cell>
          <cell r="B977"/>
          <cell r="C977" t="str">
            <v>CENTRALE</v>
          </cell>
          <cell r="D977" t="str">
            <v>PAGALA VILLAGE</v>
          </cell>
          <cell r="E977" t="str">
            <v>70997075</v>
          </cell>
          <cell r="F977" t="str">
            <v>Android</v>
          </cell>
          <cell r="G977"/>
          <cell r="H977"/>
          <cell r="I977"/>
          <cell r="J977"/>
          <cell r="K977"/>
          <cell r="L977"/>
          <cell r="M977"/>
        </row>
        <row r="978">
          <cell r="A978" t="str">
            <v>3SCA</v>
          </cell>
          <cell r="B978" t="str">
            <v>CEN-074</v>
          </cell>
          <cell r="C978" t="str">
            <v>CENTRALE</v>
          </cell>
          <cell r="D978" t="str">
            <v>PAGALAMINE</v>
          </cell>
          <cell r="E978">
            <v>70997074</v>
          </cell>
          <cell r="F978" t="str">
            <v>2G</v>
          </cell>
          <cell r="G978"/>
          <cell r="H978"/>
          <cell r="I978"/>
          <cell r="J978"/>
          <cell r="K978"/>
          <cell r="L978"/>
          <cell r="M978"/>
        </row>
        <row r="979">
          <cell r="A979" t="str">
            <v>3SCA</v>
          </cell>
          <cell r="B979" t="str">
            <v>KAR-033</v>
          </cell>
          <cell r="C979" t="str">
            <v>KARA</v>
          </cell>
          <cell r="D979" t="str">
            <v>PAGOUDA</v>
          </cell>
          <cell r="E979">
            <v>70997076</v>
          </cell>
          <cell r="F979" t="str">
            <v>2G</v>
          </cell>
          <cell r="G979"/>
          <cell r="H979"/>
          <cell r="I979"/>
          <cell r="J979"/>
          <cell r="K979"/>
          <cell r="L979"/>
          <cell r="M979"/>
        </row>
        <row r="980">
          <cell r="A980" t="str">
            <v>3SCA</v>
          </cell>
          <cell r="B980" t="str">
            <v>KAR-108</v>
          </cell>
          <cell r="C980" t="str">
            <v>KARA</v>
          </cell>
          <cell r="D980" t="str">
            <v>PAGOUDA-KAGNISSI</v>
          </cell>
          <cell r="E980">
            <v>70997077</v>
          </cell>
          <cell r="F980" t="str">
            <v>2G</v>
          </cell>
          <cell r="G980"/>
          <cell r="H980"/>
          <cell r="I980"/>
          <cell r="J980"/>
          <cell r="K980"/>
          <cell r="L980"/>
          <cell r="M980"/>
        </row>
        <row r="981">
          <cell r="A981" t="str">
            <v>EASY CONCEPT</v>
          </cell>
          <cell r="B981" t="str">
            <v>LOM-193</v>
          </cell>
          <cell r="C981" t="str">
            <v>LOME</v>
          </cell>
          <cell r="D981" t="str">
            <v>PAL</v>
          </cell>
          <cell r="E981">
            <v>70997078</v>
          </cell>
          <cell r="F981" t="str">
            <v>2G</v>
          </cell>
          <cell r="G981"/>
          <cell r="H981"/>
          <cell r="I981"/>
          <cell r="J981"/>
          <cell r="K981"/>
          <cell r="L981"/>
          <cell r="M981"/>
        </row>
        <row r="982">
          <cell r="A982" t="str">
            <v>EASY CONCEPT</v>
          </cell>
          <cell r="B982" t="str">
            <v>LOM-158</v>
          </cell>
          <cell r="C982" t="str">
            <v>LOME</v>
          </cell>
          <cell r="D982" t="str">
            <v>PALAIS DES CONGRES</v>
          </cell>
          <cell r="E982">
            <v>70997079</v>
          </cell>
          <cell r="F982" t="str">
            <v>2G</v>
          </cell>
          <cell r="G982"/>
          <cell r="H982"/>
          <cell r="I982"/>
          <cell r="J982"/>
          <cell r="K982"/>
          <cell r="L982"/>
          <cell r="M982"/>
        </row>
        <row r="983">
          <cell r="A983" t="str">
            <v>EASY CONCEPT</v>
          </cell>
          <cell r="B983" t="str">
            <v>PLA-094</v>
          </cell>
          <cell r="C983" t="str">
            <v>PLATEAUX</v>
          </cell>
          <cell r="D983" t="str">
            <v>PALAKOKO</v>
          </cell>
          <cell r="E983">
            <v>70997080</v>
          </cell>
          <cell r="F983" t="str">
            <v>2G</v>
          </cell>
          <cell r="G983"/>
          <cell r="H983"/>
          <cell r="I983"/>
          <cell r="J983"/>
          <cell r="K983"/>
          <cell r="L983"/>
          <cell r="M983"/>
        </row>
        <row r="984">
          <cell r="A984" t="str">
            <v>SSV</v>
          </cell>
          <cell r="B984" t="str">
            <v>SAV-029</v>
          </cell>
          <cell r="C984" t="str">
            <v>SAVANES</v>
          </cell>
          <cell r="D984" t="str">
            <v>PANA</v>
          </cell>
          <cell r="E984">
            <v>70997081</v>
          </cell>
          <cell r="F984" t="str">
            <v>2G</v>
          </cell>
          <cell r="G984"/>
          <cell r="H984"/>
          <cell r="I984"/>
          <cell r="J984"/>
          <cell r="K984"/>
          <cell r="L984"/>
          <cell r="M984"/>
        </row>
        <row r="985">
          <cell r="A985" t="str">
            <v>SSV</v>
          </cell>
          <cell r="B985"/>
          <cell r="C985" t="str">
            <v>SAVANES</v>
          </cell>
          <cell r="D985" t="str">
            <v>PANA</v>
          </cell>
          <cell r="E985" t="str">
            <v>70997081</v>
          </cell>
          <cell r="F985" t="str">
            <v>Android</v>
          </cell>
          <cell r="G985"/>
          <cell r="H985"/>
          <cell r="I985"/>
          <cell r="J985"/>
          <cell r="K985"/>
          <cell r="L985"/>
          <cell r="M985"/>
        </row>
        <row r="986">
          <cell r="A986" t="str">
            <v>MRG</v>
          </cell>
          <cell r="B986" t="str">
            <v>KAR-102</v>
          </cell>
          <cell r="C986" t="str">
            <v>KARA</v>
          </cell>
          <cell r="D986" t="str">
            <v>PANGOUDA</v>
          </cell>
          <cell r="E986">
            <v>70997082</v>
          </cell>
          <cell r="F986" t="str">
            <v>2G</v>
          </cell>
          <cell r="G986"/>
          <cell r="H986"/>
          <cell r="I986"/>
          <cell r="J986"/>
          <cell r="K986"/>
          <cell r="L986"/>
          <cell r="M986"/>
        </row>
        <row r="987">
          <cell r="A987" t="str">
            <v>MRG</v>
          </cell>
          <cell r="B987" t="str">
            <v>SAV-060</v>
          </cell>
          <cell r="C987" t="str">
            <v>SAVANES</v>
          </cell>
          <cell r="D987" t="str">
            <v>PANSIERI</v>
          </cell>
          <cell r="E987">
            <v>70997083</v>
          </cell>
          <cell r="F987" t="str">
            <v>2G</v>
          </cell>
          <cell r="G987"/>
          <cell r="H987"/>
          <cell r="I987"/>
          <cell r="J987"/>
          <cell r="K987"/>
          <cell r="L987"/>
          <cell r="M987"/>
        </row>
        <row r="988">
          <cell r="A988" t="str">
            <v>MRG</v>
          </cell>
          <cell r="B988"/>
          <cell r="C988" t="str">
            <v>SAVANES</v>
          </cell>
          <cell r="D988" t="str">
            <v>PANSIERI</v>
          </cell>
          <cell r="E988" t="str">
            <v>70997083</v>
          </cell>
          <cell r="F988" t="str">
            <v>Android</v>
          </cell>
          <cell r="G988"/>
          <cell r="H988"/>
          <cell r="I988"/>
          <cell r="J988"/>
          <cell r="K988"/>
          <cell r="L988"/>
          <cell r="M988"/>
        </row>
        <row r="989">
          <cell r="A989" t="str">
            <v>MRG</v>
          </cell>
          <cell r="B989" t="str">
            <v>SAV-030</v>
          </cell>
          <cell r="C989" t="str">
            <v>SAVANES</v>
          </cell>
          <cell r="D989" t="str">
            <v>PAPRI</v>
          </cell>
          <cell r="E989">
            <v>70997084</v>
          </cell>
          <cell r="F989" t="str">
            <v>2G</v>
          </cell>
          <cell r="G989"/>
          <cell r="H989"/>
          <cell r="I989"/>
          <cell r="J989"/>
          <cell r="K989"/>
          <cell r="L989"/>
          <cell r="M989"/>
        </row>
        <row r="990">
          <cell r="A990" t="str">
            <v>EASY CONCEPT</v>
          </cell>
          <cell r="B990" t="str">
            <v>PLA-120</v>
          </cell>
          <cell r="C990" t="str">
            <v>PLATEAUX</v>
          </cell>
          <cell r="D990" t="str">
            <v>PATATOUKOU</v>
          </cell>
          <cell r="E990">
            <v>70997085</v>
          </cell>
          <cell r="F990" t="str">
            <v>2G</v>
          </cell>
          <cell r="G990"/>
          <cell r="H990"/>
          <cell r="I990"/>
          <cell r="J990"/>
          <cell r="K990"/>
          <cell r="L990"/>
          <cell r="M990"/>
        </row>
        <row r="991">
          <cell r="A991" t="str">
            <v>EASY CONCEPT</v>
          </cell>
          <cell r="B991" t="str">
            <v>SAV-074</v>
          </cell>
          <cell r="C991" t="str">
            <v>SAVANES</v>
          </cell>
          <cell r="D991" t="str">
            <v>PAYOKA</v>
          </cell>
          <cell r="E991">
            <v>70997086</v>
          </cell>
          <cell r="F991" t="str">
            <v>2G</v>
          </cell>
          <cell r="G991"/>
          <cell r="H991"/>
          <cell r="I991"/>
          <cell r="J991"/>
          <cell r="K991"/>
          <cell r="L991"/>
          <cell r="M991"/>
        </row>
        <row r="992">
          <cell r="A992" t="str">
            <v>EASY CONCEPT</v>
          </cell>
          <cell r="B992"/>
          <cell r="C992" t="str">
            <v>SAVANES</v>
          </cell>
          <cell r="D992" t="str">
            <v>PAYOKA</v>
          </cell>
          <cell r="E992" t="str">
            <v>70997086</v>
          </cell>
          <cell r="F992" t="str">
            <v>Android</v>
          </cell>
          <cell r="G992"/>
          <cell r="H992"/>
          <cell r="I992"/>
          <cell r="J992"/>
          <cell r="K992"/>
          <cell r="L992"/>
          <cell r="M992"/>
        </row>
        <row r="993">
          <cell r="A993" t="str">
            <v>EASY CONCEPT</v>
          </cell>
          <cell r="B993" t="str">
            <v>LOM-365</v>
          </cell>
          <cell r="C993" t="str">
            <v>LOME</v>
          </cell>
          <cell r="D993" t="str">
            <v>PEREGRIN</v>
          </cell>
          <cell r="E993">
            <v>70997255</v>
          </cell>
          <cell r="F993" t="str">
            <v>2G</v>
          </cell>
          <cell r="G993"/>
          <cell r="H993"/>
          <cell r="I993"/>
          <cell r="J993"/>
          <cell r="K993"/>
          <cell r="L993"/>
          <cell r="M993"/>
        </row>
        <row r="994">
          <cell r="A994" t="str">
            <v>EASY CONCEPT</v>
          </cell>
          <cell r="B994"/>
          <cell r="C994" t="str">
            <v xml:space="preserve">LOMÉ </v>
          </cell>
          <cell r="D994" t="str">
            <v>PEREGRIN</v>
          </cell>
          <cell r="E994">
            <v>70997255</v>
          </cell>
          <cell r="F994" t="str">
            <v>Android</v>
          </cell>
          <cell r="G994"/>
          <cell r="H994"/>
          <cell r="I994"/>
          <cell r="J994"/>
          <cell r="K994"/>
          <cell r="L994"/>
          <cell r="M994"/>
        </row>
        <row r="995">
          <cell r="A995" t="str">
            <v>EASY CONCEPT</v>
          </cell>
          <cell r="B995" t="str">
            <v>KAR-099</v>
          </cell>
          <cell r="C995" t="str">
            <v>KARA</v>
          </cell>
          <cell r="D995" t="str">
            <v>PESSARE</v>
          </cell>
          <cell r="E995">
            <v>70997087</v>
          </cell>
          <cell r="F995" t="str">
            <v>2G</v>
          </cell>
          <cell r="G995"/>
          <cell r="H995"/>
          <cell r="I995"/>
          <cell r="J995"/>
          <cell r="K995"/>
          <cell r="L995"/>
          <cell r="M995"/>
        </row>
        <row r="996">
          <cell r="A996" t="str">
            <v>EASY CONCEPT</v>
          </cell>
          <cell r="B996" t="str">
            <v>SAV-031</v>
          </cell>
          <cell r="C996" t="str">
            <v>SAVANES</v>
          </cell>
          <cell r="D996" t="str">
            <v>PONIO</v>
          </cell>
          <cell r="E996">
            <v>70997088</v>
          </cell>
          <cell r="F996" t="str">
            <v>2G</v>
          </cell>
          <cell r="G996"/>
          <cell r="H996"/>
          <cell r="I996"/>
          <cell r="J996"/>
          <cell r="K996"/>
          <cell r="L996"/>
          <cell r="M996"/>
        </row>
        <row r="997">
          <cell r="A997" t="str">
            <v>EASY CONCEPT</v>
          </cell>
          <cell r="B997" t="str">
            <v>LOM-194</v>
          </cell>
          <cell r="C997" t="str">
            <v>LOME</v>
          </cell>
          <cell r="D997" t="str">
            <v>PORT TELECOM</v>
          </cell>
          <cell r="E997">
            <v>70997089</v>
          </cell>
          <cell r="F997" t="str">
            <v>2G</v>
          </cell>
          <cell r="G997"/>
          <cell r="H997"/>
          <cell r="I997"/>
          <cell r="J997"/>
          <cell r="K997"/>
          <cell r="L997"/>
          <cell r="M997"/>
        </row>
        <row r="998">
          <cell r="A998" t="str">
            <v>EASY CONCEPT</v>
          </cell>
          <cell r="B998" t="str">
            <v>KAR-106</v>
          </cell>
          <cell r="C998" t="str">
            <v>KARA</v>
          </cell>
          <cell r="D998" t="str">
            <v>POUDA</v>
          </cell>
          <cell r="E998">
            <v>70997090</v>
          </cell>
          <cell r="F998" t="str">
            <v>2G</v>
          </cell>
          <cell r="G998"/>
          <cell r="H998"/>
          <cell r="I998"/>
          <cell r="J998"/>
          <cell r="K998"/>
          <cell r="L998"/>
          <cell r="M998"/>
        </row>
        <row r="999">
          <cell r="A999" t="str">
            <v>EASY CONCEPT</v>
          </cell>
          <cell r="B999"/>
          <cell r="C999" t="str">
            <v>KARA</v>
          </cell>
          <cell r="D999" t="str">
            <v>POUDA</v>
          </cell>
          <cell r="E999" t="str">
            <v>70997090</v>
          </cell>
          <cell r="F999" t="str">
            <v>Android</v>
          </cell>
          <cell r="G999"/>
          <cell r="H999"/>
          <cell r="I999"/>
          <cell r="J999"/>
          <cell r="K999"/>
          <cell r="L999"/>
          <cell r="M999"/>
        </row>
        <row r="1000">
          <cell r="A1000" t="str">
            <v>EASY CONCEPT</v>
          </cell>
          <cell r="B1000"/>
          <cell r="C1000"/>
          <cell r="D1000" t="str">
            <v>PYA BAS</v>
          </cell>
          <cell r="E1000"/>
          <cell r="F1000"/>
          <cell r="G1000"/>
          <cell r="H1000"/>
          <cell r="I1000"/>
          <cell r="J1000"/>
          <cell r="K1000"/>
          <cell r="L1000"/>
          <cell r="M1000"/>
        </row>
        <row r="1001">
          <cell r="A1001" t="str">
            <v>EASY CONCEPT</v>
          </cell>
          <cell r="B1001" t="str">
            <v>KAR-022</v>
          </cell>
          <cell r="C1001" t="str">
            <v>KARA</v>
          </cell>
          <cell r="D1001" t="str">
            <v>PYA KADJIKA</v>
          </cell>
          <cell r="E1001">
            <v>70997092</v>
          </cell>
          <cell r="F1001" t="str">
            <v>2G</v>
          </cell>
          <cell r="G1001"/>
          <cell r="H1001"/>
          <cell r="I1001"/>
          <cell r="J1001"/>
          <cell r="K1001"/>
          <cell r="L1001"/>
          <cell r="M1001"/>
        </row>
        <row r="1002">
          <cell r="A1002" t="str">
            <v>EASY CONCEPT</v>
          </cell>
          <cell r="B1002"/>
          <cell r="C1002" t="str">
            <v>KARA</v>
          </cell>
          <cell r="D1002" t="str">
            <v>PYA KADJIKA</v>
          </cell>
          <cell r="E1002" t="str">
            <v>70997092</v>
          </cell>
          <cell r="F1002" t="str">
            <v>Android</v>
          </cell>
          <cell r="G1002"/>
          <cell r="H1002"/>
          <cell r="I1002"/>
          <cell r="J1002"/>
          <cell r="K1002"/>
          <cell r="L1002"/>
          <cell r="M1002"/>
        </row>
        <row r="1003">
          <cell r="A1003" t="str">
            <v>EASY CONCEPT</v>
          </cell>
          <cell r="B1003" t="str">
            <v>KAR-149</v>
          </cell>
          <cell r="C1003" t="str">
            <v>KARA</v>
          </cell>
          <cell r="D1003" t="str">
            <v>PYA LAO</v>
          </cell>
          <cell r="E1003">
            <v>70997273</v>
          </cell>
          <cell r="F1003" t="str">
            <v>2G</v>
          </cell>
          <cell r="G1003"/>
          <cell r="H1003"/>
          <cell r="I1003"/>
          <cell r="J1003"/>
          <cell r="K1003"/>
          <cell r="L1003"/>
          <cell r="M1003"/>
        </row>
        <row r="1004">
          <cell r="A1004" t="str">
            <v>MRG</v>
          </cell>
          <cell r="B1004" t="str">
            <v>KAR-021</v>
          </cell>
          <cell r="C1004" t="str">
            <v>KARA</v>
          </cell>
          <cell r="D1004" t="str">
            <v>PYABAS</v>
          </cell>
          <cell r="E1004">
            <v>70997091</v>
          </cell>
          <cell r="F1004" t="str">
            <v>2G</v>
          </cell>
          <cell r="G1004"/>
          <cell r="H1004"/>
          <cell r="I1004"/>
          <cell r="J1004"/>
          <cell r="K1004"/>
          <cell r="L1004"/>
          <cell r="M1004"/>
        </row>
        <row r="1005">
          <cell r="A1005" t="str">
            <v>MRG</v>
          </cell>
          <cell r="B1005" t="str">
            <v>LOM-116</v>
          </cell>
          <cell r="C1005" t="str">
            <v>LOME</v>
          </cell>
          <cell r="D1005" t="str">
            <v>S.O.S</v>
          </cell>
          <cell r="E1005">
            <v>70996442</v>
          </cell>
          <cell r="F1005" t="str">
            <v>2G</v>
          </cell>
          <cell r="G1005"/>
          <cell r="H1005"/>
          <cell r="I1005"/>
          <cell r="J1005"/>
          <cell r="K1005"/>
          <cell r="L1005"/>
          <cell r="M1005"/>
        </row>
        <row r="1006">
          <cell r="A1006" t="str">
            <v>EASY CONCEPT</v>
          </cell>
          <cell r="B1006" t="str">
            <v>SAV-053</v>
          </cell>
          <cell r="C1006" t="str">
            <v>SAVANES</v>
          </cell>
          <cell r="D1006" t="str">
            <v>SABIEBOU</v>
          </cell>
          <cell r="E1006">
            <v>70997093</v>
          </cell>
          <cell r="F1006" t="str">
            <v>2G</v>
          </cell>
          <cell r="G1006"/>
          <cell r="H1006"/>
          <cell r="I1006"/>
          <cell r="J1006"/>
          <cell r="K1006"/>
          <cell r="L1006"/>
          <cell r="M1006"/>
        </row>
        <row r="1007">
          <cell r="A1007" t="str">
            <v>EASY CONCEPT</v>
          </cell>
          <cell r="B1007"/>
          <cell r="C1007" t="str">
            <v>CENTRALE</v>
          </cell>
          <cell r="D1007" t="str">
            <v>SADA</v>
          </cell>
          <cell r="E1007" t="str">
            <v>70997094</v>
          </cell>
          <cell r="F1007" t="str">
            <v>Android</v>
          </cell>
          <cell r="G1007"/>
          <cell r="H1007"/>
          <cell r="I1007"/>
          <cell r="J1007"/>
          <cell r="K1007"/>
          <cell r="L1007"/>
          <cell r="M1007"/>
        </row>
        <row r="1008">
          <cell r="A1008" t="str">
            <v>EASY CONCEPT</v>
          </cell>
          <cell r="B1008" t="str">
            <v>SAV-054</v>
          </cell>
          <cell r="C1008" t="str">
            <v>SAVANES</v>
          </cell>
          <cell r="D1008" t="str">
            <v>SADORI</v>
          </cell>
          <cell r="E1008">
            <v>70997095</v>
          </cell>
          <cell r="F1008" t="str">
            <v>2G</v>
          </cell>
          <cell r="G1008"/>
          <cell r="H1008"/>
          <cell r="I1008"/>
          <cell r="J1008"/>
          <cell r="K1008"/>
          <cell r="L1008"/>
          <cell r="M1008"/>
        </row>
        <row r="1009">
          <cell r="A1009" t="str">
            <v>EASY CONCEPT</v>
          </cell>
          <cell r="B1009"/>
          <cell r="C1009" t="str">
            <v>SAVANES</v>
          </cell>
          <cell r="D1009" t="str">
            <v>SADORI</v>
          </cell>
          <cell r="E1009" t="str">
            <v>70997095</v>
          </cell>
          <cell r="F1009" t="str">
            <v>Android</v>
          </cell>
          <cell r="G1009"/>
          <cell r="H1009"/>
          <cell r="I1009"/>
          <cell r="J1009"/>
          <cell r="K1009"/>
          <cell r="L1009"/>
          <cell r="M1009"/>
        </row>
        <row r="1010">
          <cell r="A1010" t="str">
            <v>EASY CONCEPT</v>
          </cell>
          <cell r="B1010" t="str">
            <v>CEN-006</v>
          </cell>
          <cell r="C1010" t="str">
            <v>CENTRALE</v>
          </cell>
          <cell r="D1010" t="str">
            <v>SAGBADAI</v>
          </cell>
          <cell r="E1010">
            <v>70997096</v>
          </cell>
          <cell r="F1010" t="str">
            <v>2G</v>
          </cell>
          <cell r="G1010"/>
          <cell r="H1010"/>
          <cell r="I1010"/>
          <cell r="J1010"/>
          <cell r="K1010"/>
          <cell r="L1010"/>
          <cell r="M1010"/>
        </row>
        <row r="1011">
          <cell r="A1011" t="str">
            <v>EASY CONCEPT</v>
          </cell>
          <cell r="B1011" t="str">
            <v>LOM-064</v>
          </cell>
          <cell r="C1011" t="str">
            <v>LOME</v>
          </cell>
          <cell r="D1011" t="str">
            <v>SAGBADO</v>
          </cell>
          <cell r="E1011">
            <v>70997097</v>
          </cell>
          <cell r="F1011" t="str">
            <v>2G</v>
          </cell>
          <cell r="G1011"/>
          <cell r="H1011"/>
          <cell r="I1011"/>
          <cell r="J1011"/>
          <cell r="K1011"/>
          <cell r="L1011"/>
          <cell r="M1011"/>
        </row>
        <row r="1012">
          <cell r="A1012" t="str">
            <v>EASY CONCEPT</v>
          </cell>
          <cell r="B1012" t="str">
            <v>LOM-065</v>
          </cell>
          <cell r="C1012" t="str">
            <v>LOME</v>
          </cell>
          <cell r="D1012" t="str">
            <v>SAGBADO 2</v>
          </cell>
          <cell r="E1012">
            <v>70997098</v>
          </cell>
          <cell r="F1012" t="str">
            <v>2G</v>
          </cell>
          <cell r="G1012"/>
          <cell r="H1012"/>
          <cell r="I1012"/>
          <cell r="J1012"/>
          <cell r="K1012"/>
          <cell r="L1012"/>
          <cell r="M1012"/>
        </row>
        <row r="1013">
          <cell r="A1013" t="str">
            <v>EASY CONCEPT</v>
          </cell>
          <cell r="B1013" t="str">
            <v>CEN-028</v>
          </cell>
          <cell r="C1013" t="str">
            <v>CENTRALE</v>
          </cell>
          <cell r="D1013" t="str">
            <v>SAIBOUDE</v>
          </cell>
          <cell r="E1013">
            <v>70997099</v>
          </cell>
          <cell r="F1013" t="str">
            <v>2G</v>
          </cell>
          <cell r="G1013"/>
          <cell r="H1013"/>
          <cell r="I1013"/>
          <cell r="J1013"/>
          <cell r="K1013"/>
          <cell r="L1013"/>
          <cell r="M1013"/>
        </row>
        <row r="1014">
          <cell r="A1014" t="str">
            <v>EASY CONCEPT</v>
          </cell>
          <cell r="B1014"/>
          <cell r="C1014" t="str">
            <v>KARA</v>
          </cell>
          <cell r="D1014" t="str">
            <v>SAIBOUDE</v>
          </cell>
          <cell r="E1014" t="str">
            <v>70997099</v>
          </cell>
          <cell r="F1014" t="str">
            <v>Android</v>
          </cell>
          <cell r="G1014"/>
          <cell r="H1014"/>
          <cell r="I1014"/>
          <cell r="J1014"/>
          <cell r="K1014"/>
          <cell r="L1014"/>
          <cell r="M1014"/>
        </row>
        <row r="1015">
          <cell r="A1015" t="str">
            <v>EASY CONCEPT</v>
          </cell>
          <cell r="B1015"/>
          <cell r="C1015"/>
          <cell r="D1015" t="str">
            <v>SAINT PEREGRIN</v>
          </cell>
          <cell r="E1015"/>
          <cell r="F1015"/>
          <cell r="G1015"/>
          <cell r="H1015"/>
          <cell r="I1015"/>
          <cell r="J1015"/>
          <cell r="K1015"/>
          <cell r="L1015"/>
          <cell r="M1015"/>
        </row>
        <row r="1016">
          <cell r="A1016" t="str">
            <v>EASY CONCEPT</v>
          </cell>
          <cell r="B1016" t="str">
            <v>CEN-116</v>
          </cell>
          <cell r="C1016" t="str">
            <v>CENTRALE</v>
          </cell>
          <cell r="D1016" t="str">
            <v>SAKALAOUDE</v>
          </cell>
          <cell r="E1016">
            <v>70996514</v>
          </cell>
          <cell r="F1016" t="str">
            <v>2G</v>
          </cell>
          <cell r="G1016"/>
          <cell r="H1016"/>
          <cell r="I1016"/>
          <cell r="J1016"/>
          <cell r="K1016"/>
          <cell r="L1016"/>
          <cell r="M1016"/>
        </row>
        <row r="1017">
          <cell r="A1017" t="str">
            <v>EASY CONCEPT</v>
          </cell>
          <cell r="B1017"/>
          <cell r="C1017" t="str">
            <v>CENTRALE</v>
          </cell>
          <cell r="D1017" t="str">
            <v>SAKALAOUDE</v>
          </cell>
          <cell r="E1017" t="str">
            <v>70996514</v>
          </cell>
          <cell r="F1017" t="str">
            <v>Android</v>
          </cell>
          <cell r="G1017"/>
          <cell r="H1017"/>
          <cell r="I1017"/>
          <cell r="J1017"/>
          <cell r="K1017"/>
          <cell r="L1017"/>
          <cell r="M1017"/>
        </row>
        <row r="1018">
          <cell r="A1018" t="str">
            <v>EASY CONCEPT</v>
          </cell>
          <cell r="B1018" t="str">
            <v>PLA-111</v>
          </cell>
          <cell r="C1018" t="str">
            <v>PLATEAUX</v>
          </cell>
          <cell r="D1018" t="str">
            <v>SALIGBE</v>
          </cell>
          <cell r="E1018">
            <v>70997100</v>
          </cell>
          <cell r="F1018" t="str">
            <v>2G</v>
          </cell>
          <cell r="G1018"/>
          <cell r="H1018"/>
          <cell r="I1018"/>
          <cell r="J1018"/>
          <cell r="K1018"/>
          <cell r="L1018"/>
          <cell r="M1018"/>
        </row>
        <row r="1019">
          <cell r="A1019" t="str">
            <v>EASY CONCEPT</v>
          </cell>
          <cell r="B1019"/>
          <cell r="C1019" t="str">
            <v>PLATEAUX</v>
          </cell>
          <cell r="D1019" t="str">
            <v>SALIGBE</v>
          </cell>
          <cell r="E1019" t="str">
            <v>70997100</v>
          </cell>
          <cell r="F1019" t="str">
            <v>Android</v>
          </cell>
          <cell r="G1019"/>
          <cell r="H1019"/>
          <cell r="I1019"/>
          <cell r="J1019"/>
          <cell r="K1019"/>
          <cell r="L1019"/>
          <cell r="M1019"/>
        </row>
        <row r="1020">
          <cell r="A1020" t="str">
            <v>EASY CONCEPT</v>
          </cell>
          <cell r="B1020" t="str">
            <v>CEN-014</v>
          </cell>
          <cell r="C1020" t="str">
            <v>CENTRALE</v>
          </cell>
          <cell r="D1020" t="str">
            <v>SALIMDE</v>
          </cell>
          <cell r="E1020">
            <v>70997101</v>
          </cell>
          <cell r="F1020" t="str">
            <v>2G</v>
          </cell>
          <cell r="G1020"/>
          <cell r="H1020"/>
          <cell r="I1020"/>
          <cell r="J1020"/>
          <cell r="K1020"/>
          <cell r="L1020"/>
          <cell r="M1020"/>
        </row>
        <row r="1021">
          <cell r="A1021" t="str">
            <v>EASY CONCEPT</v>
          </cell>
          <cell r="B1021"/>
          <cell r="C1021" t="str">
            <v>CENTRALE</v>
          </cell>
          <cell r="D1021" t="str">
            <v>SAMAI2</v>
          </cell>
          <cell r="E1021" t="str">
            <v>70997102</v>
          </cell>
          <cell r="F1021" t="str">
            <v>Android</v>
          </cell>
          <cell r="G1021"/>
          <cell r="H1021"/>
          <cell r="I1021"/>
          <cell r="J1021"/>
          <cell r="K1021"/>
          <cell r="L1021"/>
          <cell r="M1021"/>
        </row>
        <row r="1022">
          <cell r="A1022" t="str">
            <v>EASY CONCEPT</v>
          </cell>
          <cell r="B1022" t="str">
            <v>CEN-085</v>
          </cell>
          <cell r="C1022" t="str">
            <v>CENTRALE</v>
          </cell>
          <cell r="D1022" t="str">
            <v>SAMAI2</v>
          </cell>
          <cell r="E1022">
            <v>70997102</v>
          </cell>
          <cell r="F1022" t="str">
            <v>2G</v>
          </cell>
          <cell r="G1022"/>
          <cell r="H1022"/>
          <cell r="I1022"/>
          <cell r="J1022"/>
          <cell r="K1022"/>
          <cell r="L1022"/>
          <cell r="M1022"/>
        </row>
        <row r="1023">
          <cell r="A1023" t="str">
            <v>EASY CONCEPT</v>
          </cell>
          <cell r="B1023" t="str">
            <v>PLA-026</v>
          </cell>
          <cell r="C1023" t="str">
            <v>PLATEAUX</v>
          </cell>
          <cell r="D1023" t="str">
            <v>SAMA-KOPE</v>
          </cell>
          <cell r="E1023">
            <v>70997103</v>
          </cell>
          <cell r="F1023" t="str">
            <v>2G</v>
          </cell>
          <cell r="G1023"/>
          <cell r="H1023"/>
          <cell r="I1023"/>
          <cell r="J1023"/>
          <cell r="K1023"/>
          <cell r="L1023"/>
          <cell r="M1023"/>
        </row>
        <row r="1024">
          <cell r="A1024" t="str">
            <v>EASY CONCEPT</v>
          </cell>
          <cell r="B1024" t="str">
            <v>SAV-063</v>
          </cell>
          <cell r="C1024" t="str">
            <v>SAVANES</v>
          </cell>
          <cell r="D1024" t="str">
            <v>SAMNABA</v>
          </cell>
          <cell r="E1024">
            <v>70997104</v>
          </cell>
          <cell r="F1024" t="str">
            <v>2G</v>
          </cell>
          <cell r="G1024"/>
          <cell r="H1024"/>
          <cell r="I1024"/>
          <cell r="J1024"/>
          <cell r="K1024"/>
          <cell r="L1024"/>
          <cell r="M1024"/>
        </row>
        <row r="1025">
          <cell r="A1025" t="str">
            <v>EASY CONCEPT</v>
          </cell>
          <cell r="B1025"/>
          <cell r="C1025" t="str">
            <v>SAVANES</v>
          </cell>
          <cell r="D1025" t="str">
            <v>SAMNABA</v>
          </cell>
          <cell r="E1025" t="str">
            <v>70997104</v>
          </cell>
          <cell r="F1025" t="str">
            <v>Android</v>
          </cell>
          <cell r="G1025"/>
          <cell r="H1025"/>
          <cell r="I1025"/>
          <cell r="J1025"/>
          <cell r="K1025"/>
          <cell r="L1025"/>
          <cell r="M1025"/>
        </row>
        <row r="1026">
          <cell r="A1026" t="str">
            <v>MRG</v>
          </cell>
          <cell r="B1026" t="str">
            <v>KAR-083</v>
          </cell>
          <cell r="C1026" t="str">
            <v>KARA</v>
          </cell>
          <cell r="D1026" t="str">
            <v>SANDA AFFOWOU</v>
          </cell>
          <cell r="E1026">
            <v>70997105</v>
          </cell>
          <cell r="F1026" t="str">
            <v>2G</v>
          </cell>
          <cell r="G1026"/>
          <cell r="H1026"/>
          <cell r="I1026"/>
          <cell r="J1026"/>
          <cell r="K1026"/>
          <cell r="L1026"/>
          <cell r="M1026"/>
        </row>
        <row r="1027">
          <cell r="A1027" t="str">
            <v>MRG</v>
          </cell>
          <cell r="B1027"/>
          <cell r="C1027" t="str">
            <v>KARA</v>
          </cell>
          <cell r="D1027" t="str">
            <v>SANDA AFFOWOU</v>
          </cell>
          <cell r="E1027" t="str">
            <v>70997105</v>
          </cell>
          <cell r="F1027" t="str">
            <v>Android</v>
          </cell>
          <cell r="G1027"/>
          <cell r="H1027"/>
          <cell r="I1027"/>
          <cell r="J1027"/>
          <cell r="K1027"/>
          <cell r="L1027"/>
          <cell r="M1027"/>
        </row>
        <row r="1028">
          <cell r="A1028" t="str">
            <v>SSV</v>
          </cell>
          <cell r="B1028" t="str">
            <v>KAR-084</v>
          </cell>
          <cell r="C1028" t="str">
            <v>KARA</v>
          </cell>
          <cell r="D1028" t="str">
            <v>SANDA-KAGBANDA</v>
          </cell>
          <cell r="E1028">
            <v>70997106</v>
          </cell>
          <cell r="F1028" t="str">
            <v>2G</v>
          </cell>
          <cell r="G1028"/>
          <cell r="H1028"/>
          <cell r="I1028"/>
          <cell r="J1028"/>
          <cell r="K1028"/>
          <cell r="L1028"/>
          <cell r="M1028"/>
        </row>
        <row r="1029">
          <cell r="A1029" t="str">
            <v>3SCA</v>
          </cell>
          <cell r="B1029" t="str">
            <v>SAV-107</v>
          </cell>
          <cell r="C1029" t="str">
            <v>SAVANES</v>
          </cell>
          <cell r="D1029" t="str">
            <v>SANLOAGA</v>
          </cell>
          <cell r="E1029">
            <v>70997374</v>
          </cell>
          <cell r="F1029" t="str">
            <v>2G</v>
          </cell>
          <cell r="G1029"/>
          <cell r="H1029"/>
          <cell r="I1029"/>
          <cell r="J1029"/>
          <cell r="K1029"/>
          <cell r="L1029"/>
          <cell r="M1029"/>
        </row>
        <row r="1030">
          <cell r="A1030" t="str">
            <v>3SCA</v>
          </cell>
          <cell r="B1030"/>
          <cell r="C1030" t="str">
            <v>SAVANES</v>
          </cell>
          <cell r="D1030" t="str">
            <v>SANLOAGA</v>
          </cell>
          <cell r="E1030">
            <v>70997374</v>
          </cell>
          <cell r="F1030" t="str">
            <v>Android</v>
          </cell>
          <cell r="G1030"/>
          <cell r="H1030"/>
          <cell r="I1030"/>
          <cell r="J1030"/>
          <cell r="K1030"/>
          <cell r="L1030"/>
          <cell r="M1030"/>
        </row>
        <row r="1031">
          <cell r="A1031" t="str">
            <v>3SCA</v>
          </cell>
          <cell r="B1031" t="str">
            <v>KAR-062</v>
          </cell>
          <cell r="C1031" t="str">
            <v>KARA</v>
          </cell>
          <cell r="D1031" t="str">
            <v>SARAKAWA</v>
          </cell>
          <cell r="E1031">
            <v>70997107</v>
          </cell>
          <cell r="F1031" t="str">
            <v>2G</v>
          </cell>
          <cell r="G1031"/>
          <cell r="H1031"/>
          <cell r="I1031"/>
          <cell r="J1031"/>
          <cell r="K1031"/>
          <cell r="L1031"/>
          <cell r="M1031"/>
        </row>
        <row r="1032">
          <cell r="A1032" t="str">
            <v>EASY CONCEPT</v>
          </cell>
          <cell r="B1032" t="str">
            <v>LOM-067</v>
          </cell>
          <cell r="C1032" t="str">
            <v>LOME</v>
          </cell>
          <cell r="D1032" t="str">
            <v>SEGBE</v>
          </cell>
          <cell r="E1032">
            <v>70997108</v>
          </cell>
          <cell r="F1032" t="str">
            <v>2G</v>
          </cell>
          <cell r="G1032"/>
          <cell r="H1032"/>
          <cell r="I1032"/>
          <cell r="J1032"/>
          <cell r="K1032"/>
          <cell r="L1032"/>
          <cell r="M1032"/>
        </row>
        <row r="1033">
          <cell r="A1033" t="str">
            <v>EASY CONCEPT</v>
          </cell>
          <cell r="B1033" t="str">
            <v>LOM-236</v>
          </cell>
          <cell r="C1033" t="str">
            <v>LOME</v>
          </cell>
          <cell r="D1033" t="str">
            <v>SEGBE 2</v>
          </cell>
          <cell r="E1033">
            <v>70997109</v>
          </cell>
          <cell r="F1033" t="str">
            <v>2G</v>
          </cell>
          <cell r="G1033"/>
          <cell r="H1033"/>
          <cell r="I1033"/>
          <cell r="J1033"/>
          <cell r="K1033"/>
          <cell r="L1033"/>
          <cell r="M1033"/>
        </row>
        <row r="1034">
          <cell r="A1034" t="str">
            <v>MRG</v>
          </cell>
          <cell r="B1034" t="str">
            <v>LOM-287</v>
          </cell>
          <cell r="C1034" t="str">
            <v>MARITIME</v>
          </cell>
          <cell r="D1034" t="str">
            <v>SEGBE 3</v>
          </cell>
          <cell r="E1034">
            <v>70996489</v>
          </cell>
          <cell r="F1034" t="str">
            <v>2G</v>
          </cell>
          <cell r="G1034"/>
          <cell r="H1034"/>
          <cell r="I1034"/>
          <cell r="J1034"/>
          <cell r="K1034"/>
          <cell r="L1034"/>
          <cell r="M1034"/>
        </row>
        <row r="1035">
          <cell r="A1035" t="str">
            <v>SSV</v>
          </cell>
          <cell r="B1035"/>
          <cell r="C1035" t="str">
            <v xml:space="preserve">GRAND LOMÉ </v>
          </cell>
          <cell r="D1035" t="str">
            <v>Segbe 3</v>
          </cell>
          <cell r="E1035" t="str">
            <v>70996489</v>
          </cell>
          <cell r="F1035" t="str">
            <v>Android</v>
          </cell>
          <cell r="G1035"/>
          <cell r="H1035"/>
          <cell r="I1035"/>
          <cell r="J1035"/>
          <cell r="K1035"/>
          <cell r="L1035"/>
          <cell r="M1035"/>
        </row>
        <row r="1036">
          <cell r="A1036" t="str">
            <v>SSV</v>
          </cell>
          <cell r="B1036" t="str">
            <v>LOM-351</v>
          </cell>
          <cell r="C1036" t="str">
            <v>LOME</v>
          </cell>
          <cell r="D1036" t="str">
            <v>SEGBE 5</v>
          </cell>
          <cell r="E1036">
            <v>70996506</v>
          </cell>
          <cell r="F1036" t="str">
            <v>2G</v>
          </cell>
          <cell r="G1036"/>
          <cell r="H1036"/>
          <cell r="I1036"/>
          <cell r="J1036"/>
          <cell r="K1036"/>
          <cell r="L1036"/>
          <cell r="M1036"/>
        </row>
        <row r="1037">
          <cell r="A1037" t="str">
            <v>SSV</v>
          </cell>
          <cell r="B1037"/>
          <cell r="C1037"/>
          <cell r="D1037" t="str">
            <v>Ségbé5</v>
          </cell>
          <cell r="E1037"/>
          <cell r="F1037"/>
          <cell r="G1037"/>
          <cell r="H1037"/>
          <cell r="I1037"/>
          <cell r="J1037"/>
          <cell r="K1037"/>
          <cell r="L1037"/>
          <cell r="M1037"/>
        </row>
        <row r="1038">
          <cell r="A1038" t="str">
            <v>SSV</v>
          </cell>
          <cell r="B1038" t="str">
            <v>LOM-241</v>
          </cell>
          <cell r="C1038" t="str">
            <v>LOME</v>
          </cell>
          <cell r="D1038" t="str">
            <v>SEGBE-VIETE</v>
          </cell>
          <cell r="E1038">
            <v>70997110</v>
          </cell>
          <cell r="F1038" t="str">
            <v>2G</v>
          </cell>
          <cell r="G1038"/>
          <cell r="H1038"/>
          <cell r="I1038"/>
          <cell r="J1038"/>
          <cell r="K1038"/>
          <cell r="L1038"/>
          <cell r="M1038"/>
        </row>
        <row r="1039">
          <cell r="A1039" t="str">
            <v>EASY CONCEPT</v>
          </cell>
          <cell r="B1039" t="str">
            <v>LOM-126</v>
          </cell>
          <cell r="C1039" t="str">
            <v>LOME</v>
          </cell>
          <cell r="D1039" t="str">
            <v>SEMINAIRE</v>
          </cell>
          <cell r="E1039">
            <v>70996441</v>
          </cell>
          <cell r="F1039" t="str">
            <v>2G</v>
          </cell>
          <cell r="G1039"/>
          <cell r="H1039"/>
          <cell r="I1039"/>
          <cell r="J1039"/>
          <cell r="K1039"/>
          <cell r="L1039"/>
          <cell r="M1039"/>
        </row>
        <row r="1040">
          <cell r="A1040" t="str">
            <v>SSV</v>
          </cell>
          <cell r="B1040" t="str">
            <v>CEN-117</v>
          </cell>
          <cell r="C1040" t="str">
            <v>CENTRALE</v>
          </cell>
          <cell r="D1040" t="str">
            <v>SESSARO</v>
          </cell>
          <cell r="E1040">
            <v>70997267</v>
          </cell>
          <cell r="F1040" t="str">
            <v>2G</v>
          </cell>
          <cell r="G1040"/>
          <cell r="H1040"/>
          <cell r="I1040"/>
          <cell r="J1040"/>
          <cell r="K1040"/>
          <cell r="L1040"/>
          <cell r="M1040"/>
        </row>
        <row r="1041">
          <cell r="A1041" t="str">
            <v>SSV</v>
          </cell>
          <cell r="B1041"/>
          <cell r="C1041" t="str">
            <v>CENTRALE</v>
          </cell>
          <cell r="D1041" t="str">
            <v>SESSARO</v>
          </cell>
          <cell r="E1041">
            <v>70997267</v>
          </cell>
          <cell r="F1041" t="str">
            <v>Android</v>
          </cell>
          <cell r="G1041"/>
          <cell r="H1041"/>
          <cell r="I1041"/>
          <cell r="J1041"/>
          <cell r="K1041"/>
          <cell r="L1041"/>
          <cell r="M1041"/>
        </row>
        <row r="1042">
          <cell r="A1042" t="str">
            <v>SSV</v>
          </cell>
          <cell r="B1042" t="str">
            <v>MAR-025</v>
          </cell>
          <cell r="C1042" t="str">
            <v>MARITIME</v>
          </cell>
          <cell r="D1042" t="str">
            <v>SEVAGAN</v>
          </cell>
          <cell r="E1042">
            <v>70997112</v>
          </cell>
          <cell r="F1042" t="str">
            <v>2G</v>
          </cell>
          <cell r="G1042"/>
          <cell r="H1042"/>
          <cell r="I1042"/>
          <cell r="J1042"/>
          <cell r="K1042"/>
          <cell r="L1042"/>
          <cell r="M1042"/>
        </row>
        <row r="1043">
          <cell r="A1043" t="str">
            <v>SSV</v>
          </cell>
          <cell r="B1043"/>
          <cell r="C1043" t="str">
            <v>MARITIME</v>
          </cell>
          <cell r="D1043" t="str">
            <v>SEVAGAN</v>
          </cell>
          <cell r="E1043" t="str">
            <v>70997112</v>
          </cell>
          <cell r="F1043" t="str">
            <v>Android</v>
          </cell>
          <cell r="G1043"/>
          <cell r="H1043"/>
          <cell r="I1043"/>
          <cell r="J1043"/>
          <cell r="K1043"/>
          <cell r="L1043"/>
          <cell r="M1043"/>
        </row>
        <row r="1044">
          <cell r="A1044" t="str">
            <v>site gardien Moov</v>
          </cell>
          <cell r="B1044" t="str">
            <v>MAR-097</v>
          </cell>
          <cell r="C1044" t="str">
            <v>MARITIME</v>
          </cell>
          <cell r="D1044" t="str">
            <v>Sévého</v>
          </cell>
          <cell r="E1044">
            <v>70996490</v>
          </cell>
          <cell r="F1044" t="str">
            <v>2G</v>
          </cell>
          <cell r="G1044"/>
          <cell r="H1044"/>
          <cell r="I1044"/>
          <cell r="J1044"/>
          <cell r="K1044"/>
          <cell r="L1044"/>
          <cell r="M1044"/>
        </row>
        <row r="1045">
          <cell r="A1045" t="str">
            <v>SSV</v>
          </cell>
          <cell r="B1045"/>
          <cell r="C1045"/>
          <cell r="D1045" t="str">
            <v>Sévého</v>
          </cell>
          <cell r="E1045"/>
          <cell r="F1045"/>
          <cell r="G1045"/>
          <cell r="H1045"/>
          <cell r="I1045"/>
          <cell r="J1045"/>
          <cell r="K1045"/>
          <cell r="L1045"/>
          <cell r="M1045"/>
        </row>
        <row r="1046">
          <cell r="A1046" t="str">
            <v>SSV</v>
          </cell>
          <cell r="B1046" t="str">
            <v>MAR-047</v>
          </cell>
          <cell r="C1046" t="str">
            <v>MARITIME</v>
          </cell>
          <cell r="D1046" t="str">
            <v>SIKAKONDJI</v>
          </cell>
          <cell r="E1046">
            <v>70997113</v>
          </cell>
          <cell r="F1046" t="str">
            <v>2G</v>
          </cell>
          <cell r="G1046"/>
          <cell r="H1046"/>
          <cell r="I1046"/>
          <cell r="J1046"/>
          <cell r="K1046"/>
          <cell r="L1046"/>
          <cell r="M1046"/>
        </row>
        <row r="1047">
          <cell r="A1047" t="str">
            <v>SSV</v>
          </cell>
          <cell r="B1047"/>
          <cell r="C1047" t="str">
            <v>MARITIME</v>
          </cell>
          <cell r="D1047" t="str">
            <v>SIKAKONDJI</v>
          </cell>
          <cell r="E1047" t="str">
            <v>70997113</v>
          </cell>
          <cell r="F1047" t="str">
            <v>Android</v>
          </cell>
          <cell r="G1047"/>
          <cell r="H1047"/>
          <cell r="I1047"/>
          <cell r="J1047"/>
          <cell r="K1047"/>
          <cell r="L1047"/>
          <cell r="M1047"/>
        </row>
        <row r="1048">
          <cell r="A1048" t="str">
            <v>SSV</v>
          </cell>
          <cell r="B1048" t="str">
            <v>MAR-058</v>
          </cell>
          <cell r="C1048" t="str">
            <v>MARITIME</v>
          </cell>
          <cell r="D1048" t="str">
            <v>SIKPE-AFIDENYO</v>
          </cell>
          <cell r="E1048">
            <v>70997114</v>
          </cell>
          <cell r="F1048" t="str">
            <v>2G</v>
          </cell>
          <cell r="G1048"/>
          <cell r="H1048"/>
          <cell r="I1048"/>
          <cell r="J1048"/>
          <cell r="K1048"/>
          <cell r="L1048"/>
          <cell r="M1048"/>
        </row>
        <row r="1049">
          <cell r="A1049" t="str">
            <v>SSV</v>
          </cell>
          <cell r="B1049"/>
          <cell r="C1049" t="str">
            <v>MARITIME</v>
          </cell>
          <cell r="D1049" t="str">
            <v>SIKPE-AFIDENYO</v>
          </cell>
          <cell r="E1049" t="str">
            <v>70997114</v>
          </cell>
          <cell r="F1049" t="str">
            <v>Android</v>
          </cell>
          <cell r="G1049"/>
          <cell r="H1049"/>
          <cell r="I1049"/>
          <cell r="J1049"/>
          <cell r="K1049"/>
          <cell r="L1049"/>
          <cell r="M1049"/>
        </row>
        <row r="1050">
          <cell r="A1050" t="str">
            <v>SSV</v>
          </cell>
          <cell r="B1050" t="str">
            <v>KAR-031</v>
          </cell>
          <cell r="C1050" t="str">
            <v>KARA</v>
          </cell>
          <cell r="D1050" t="str">
            <v>SIOU</v>
          </cell>
          <cell r="E1050">
            <v>70997115</v>
          </cell>
          <cell r="F1050" t="str">
            <v>2G</v>
          </cell>
          <cell r="G1050"/>
          <cell r="H1050"/>
          <cell r="I1050"/>
          <cell r="J1050"/>
          <cell r="K1050"/>
          <cell r="L1050"/>
          <cell r="M1050"/>
        </row>
        <row r="1051">
          <cell r="A1051" t="str">
            <v>EASY CONCEPT</v>
          </cell>
          <cell r="B1051" t="str">
            <v>KAR-038</v>
          </cell>
          <cell r="C1051" t="str">
            <v>KARA</v>
          </cell>
          <cell r="D1051" t="str">
            <v>SIRKA</v>
          </cell>
          <cell r="E1051">
            <v>70997116</v>
          </cell>
          <cell r="F1051" t="str">
            <v>2G</v>
          </cell>
          <cell r="G1051"/>
          <cell r="H1051"/>
          <cell r="I1051"/>
          <cell r="J1051"/>
          <cell r="K1051"/>
          <cell r="L1051"/>
          <cell r="M1051"/>
        </row>
        <row r="1052">
          <cell r="A1052" t="str">
            <v>EASY CONCEPT</v>
          </cell>
          <cell r="B1052"/>
          <cell r="C1052" t="str">
            <v>KARA</v>
          </cell>
          <cell r="D1052" t="str">
            <v>SIRKA</v>
          </cell>
          <cell r="E1052" t="str">
            <v>70997116</v>
          </cell>
          <cell r="F1052" t="str">
            <v>Android</v>
          </cell>
          <cell r="G1052"/>
          <cell r="H1052"/>
          <cell r="I1052"/>
          <cell r="J1052"/>
          <cell r="K1052"/>
          <cell r="L1052"/>
          <cell r="M1052"/>
        </row>
        <row r="1053">
          <cell r="A1053" t="str">
            <v>EASY CONCEPT</v>
          </cell>
          <cell r="B1053" t="str">
            <v>SAV-067</v>
          </cell>
          <cell r="C1053" t="str">
            <v>SAVANES</v>
          </cell>
          <cell r="D1053" t="str">
            <v>SISSIAK</v>
          </cell>
          <cell r="E1053">
            <v>70997117</v>
          </cell>
          <cell r="F1053" t="str">
            <v>2G</v>
          </cell>
          <cell r="G1053"/>
          <cell r="H1053"/>
          <cell r="I1053"/>
          <cell r="J1053"/>
          <cell r="K1053"/>
          <cell r="L1053"/>
          <cell r="M1053"/>
        </row>
        <row r="1054">
          <cell r="A1054" t="str">
            <v>EASY CONCEPT</v>
          </cell>
          <cell r="B1054"/>
          <cell r="C1054" t="str">
            <v>SAVANES</v>
          </cell>
          <cell r="D1054" t="str">
            <v>SISSIAK</v>
          </cell>
          <cell r="E1054" t="str">
            <v>70997117</v>
          </cell>
          <cell r="F1054" t="str">
            <v>Android</v>
          </cell>
          <cell r="G1054"/>
          <cell r="H1054"/>
          <cell r="I1054"/>
          <cell r="J1054"/>
          <cell r="K1054"/>
          <cell r="L1054"/>
          <cell r="M1054"/>
        </row>
        <row r="1055">
          <cell r="A1055" t="str">
            <v>EASY CONCEPT</v>
          </cell>
          <cell r="B1055"/>
          <cell r="C1055" t="str">
            <v>LOME</v>
          </cell>
          <cell r="D1055" t="str">
            <v>Site Mobile</v>
          </cell>
          <cell r="E1055">
            <v>70997118</v>
          </cell>
          <cell r="F1055" t="str">
            <v>2G</v>
          </cell>
          <cell r="G1055"/>
          <cell r="H1055"/>
          <cell r="I1055"/>
          <cell r="J1055"/>
          <cell r="K1055"/>
          <cell r="L1055"/>
          <cell r="M1055"/>
        </row>
        <row r="1056">
          <cell r="A1056" t="str">
            <v>EASY CONCEPT</v>
          </cell>
          <cell r="B1056" t="str">
            <v>LOM-247</v>
          </cell>
          <cell r="C1056" t="str">
            <v>LOME</v>
          </cell>
          <cell r="D1056" t="str">
            <v>SITE WAFO</v>
          </cell>
          <cell r="E1056">
            <v>70996517</v>
          </cell>
          <cell r="F1056" t="str">
            <v>2G</v>
          </cell>
          <cell r="G1056"/>
          <cell r="H1056"/>
          <cell r="I1056"/>
          <cell r="J1056"/>
          <cell r="K1056"/>
          <cell r="L1056"/>
          <cell r="M1056"/>
        </row>
        <row r="1057">
          <cell r="A1057" t="str">
            <v>SSV</v>
          </cell>
          <cell r="B1057" t="str">
            <v>PLA-027</v>
          </cell>
          <cell r="C1057" t="str">
            <v>PLATEAUX</v>
          </cell>
          <cell r="D1057" t="str">
            <v>SIYIME</v>
          </cell>
          <cell r="E1057">
            <v>70997119</v>
          </cell>
          <cell r="F1057" t="str">
            <v>2G</v>
          </cell>
          <cell r="G1057"/>
          <cell r="H1057"/>
          <cell r="I1057"/>
          <cell r="J1057"/>
          <cell r="K1057"/>
          <cell r="L1057"/>
          <cell r="M1057"/>
        </row>
        <row r="1058">
          <cell r="A1058" t="str">
            <v>SSV</v>
          </cell>
          <cell r="B1058" t="str">
            <v>PLA-180</v>
          </cell>
          <cell r="C1058" t="str">
            <v>PLATEAUX</v>
          </cell>
          <cell r="D1058" t="str">
            <v>SOGBOHOE</v>
          </cell>
          <cell r="E1058">
            <v>70997120</v>
          </cell>
          <cell r="F1058" t="str">
            <v>2G</v>
          </cell>
          <cell r="G1058"/>
          <cell r="H1058"/>
          <cell r="I1058"/>
          <cell r="J1058"/>
          <cell r="K1058"/>
          <cell r="L1058"/>
          <cell r="M1058"/>
        </row>
        <row r="1059">
          <cell r="A1059" t="str">
            <v>SSV</v>
          </cell>
          <cell r="B1059"/>
          <cell r="C1059"/>
          <cell r="D1059" t="str">
            <v xml:space="preserve">SOGBOSSITO </v>
          </cell>
          <cell r="E1059"/>
          <cell r="F1059"/>
          <cell r="G1059"/>
          <cell r="H1059"/>
          <cell r="I1059"/>
          <cell r="J1059"/>
          <cell r="K1059"/>
          <cell r="L1059"/>
          <cell r="M1059"/>
        </row>
        <row r="1060">
          <cell r="A1060" t="str">
            <v>SSV</v>
          </cell>
          <cell r="B1060"/>
          <cell r="C1060" t="str">
            <v>CENTRALE</v>
          </cell>
          <cell r="D1060" t="str">
            <v>Sokodé 1</v>
          </cell>
          <cell r="E1060">
            <v>70997121</v>
          </cell>
          <cell r="F1060" t="str">
            <v>2G</v>
          </cell>
          <cell r="G1060"/>
          <cell r="H1060"/>
          <cell r="I1060"/>
          <cell r="J1060"/>
          <cell r="K1060"/>
          <cell r="L1060"/>
          <cell r="M1060"/>
        </row>
        <row r="1061">
          <cell r="A1061" t="str">
            <v>SSV</v>
          </cell>
          <cell r="B1061"/>
          <cell r="C1061"/>
          <cell r="D1061" t="str">
            <v>SOKODE 3</v>
          </cell>
          <cell r="E1061"/>
          <cell r="F1061"/>
          <cell r="G1061"/>
          <cell r="H1061"/>
          <cell r="I1061"/>
          <cell r="J1061"/>
          <cell r="K1061"/>
          <cell r="L1061"/>
          <cell r="M1061"/>
        </row>
        <row r="1062">
          <cell r="A1062" t="str">
            <v>EASY CONCEPT</v>
          </cell>
          <cell r="B1062"/>
          <cell r="C1062" t="str">
            <v>CENTRALE</v>
          </cell>
          <cell r="D1062" t="str">
            <v>Sokodé 3</v>
          </cell>
          <cell r="E1062">
            <v>70997122</v>
          </cell>
          <cell r="F1062" t="str">
            <v>2G</v>
          </cell>
          <cell r="G1062"/>
          <cell r="H1062"/>
          <cell r="I1062"/>
          <cell r="J1062"/>
          <cell r="K1062"/>
          <cell r="L1062"/>
          <cell r="M1062"/>
        </row>
        <row r="1063">
          <cell r="A1063" t="str">
            <v>EASY CONCEPT</v>
          </cell>
          <cell r="B1063" t="str">
            <v>CEN-099</v>
          </cell>
          <cell r="C1063" t="str">
            <v>CENTRALE</v>
          </cell>
          <cell r="D1063" t="str">
            <v>Sokodé 5 (SPT)</v>
          </cell>
          <cell r="E1063">
            <v>70997123</v>
          </cell>
          <cell r="F1063" t="str">
            <v>2G</v>
          </cell>
          <cell r="G1063"/>
          <cell r="H1063"/>
          <cell r="I1063"/>
          <cell r="J1063"/>
          <cell r="K1063"/>
          <cell r="L1063"/>
          <cell r="M1063"/>
        </row>
        <row r="1064">
          <cell r="A1064" t="str">
            <v>EASY CONCEPT</v>
          </cell>
          <cell r="B1064" t="str">
            <v>CEN-122</v>
          </cell>
          <cell r="C1064" t="str">
            <v>CENTRALE</v>
          </cell>
          <cell r="D1064" t="str">
            <v>SOKODE ADJOROGO</v>
          </cell>
          <cell r="E1064">
            <v>70997379</v>
          </cell>
          <cell r="F1064" t="str">
            <v>2G</v>
          </cell>
          <cell r="G1064"/>
          <cell r="H1064"/>
          <cell r="I1064"/>
          <cell r="J1064"/>
          <cell r="K1064"/>
          <cell r="L1064"/>
          <cell r="M1064"/>
        </row>
        <row r="1065">
          <cell r="A1065" t="str">
            <v>EASY CONCEPT</v>
          </cell>
          <cell r="B1065" t="str">
            <v>CEN-099</v>
          </cell>
          <cell r="C1065" t="str">
            <v>CENTRALE</v>
          </cell>
          <cell r="D1065" t="str">
            <v>SOKODE CENTRE</v>
          </cell>
          <cell r="E1065">
            <v>70996416</v>
          </cell>
          <cell r="F1065" t="str">
            <v>2G</v>
          </cell>
          <cell r="G1065"/>
          <cell r="H1065"/>
          <cell r="I1065"/>
          <cell r="J1065"/>
          <cell r="K1065"/>
          <cell r="L1065"/>
          <cell r="M1065"/>
        </row>
        <row r="1066">
          <cell r="A1066" t="str">
            <v>EASY CONCEPT</v>
          </cell>
          <cell r="B1066"/>
          <cell r="C1066"/>
          <cell r="D1066" t="str">
            <v>SOKODE FH TELECOM</v>
          </cell>
          <cell r="E1066"/>
          <cell r="F1066"/>
          <cell r="G1066"/>
          <cell r="H1066"/>
          <cell r="I1066"/>
          <cell r="J1066"/>
          <cell r="K1066"/>
          <cell r="L1066"/>
          <cell r="M1066"/>
        </row>
        <row r="1067">
          <cell r="A1067" t="str">
            <v>EASY CONCEPT</v>
          </cell>
          <cell r="B1067"/>
          <cell r="C1067"/>
          <cell r="D1067" t="str">
            <v>SOKODE KADAMBARA</v>
          </cell>
          <cell r="E1067"/>
          <cell r="F1067"/>
          <cell r="G1067"/>
          <cell r="H1067"/>
          <cell r="I1067"/>
          <cell r="J1067"/>
          <cell r="K1067"/>
          <cell r="L1067"/>
          <cell r="M1067"/>
        </row>
        <row r="1068">
          <cell r="A1068" t="str">
            <v>EASY CONCEPT</v>
          </cell>
          <cell r="B1068" t="str">
            <v>CEN-118</v>
          </cell>
          <cell r="C1068" t="str">
            <v>CENTRALE</v>
          </cell>
          <cell r="D1068" t="str">
            <v>SOKODE KANDAMBARA</v>
          </cell>
          <cell r="E1068">
            <v>70997286</v>
          </cell>
          <cell r="F1068" t="str">
            <v>2G</v>
          </cell>
          <cell r="G1068"/>
          <cell r="H1068"/>
          <cell r="I1068"/>
          <cell r="J1068"/>
          <cell r="K1068"/>
          <cell r="L1068"/>
          <cell r="M1068"/>
        </row>
        <row r="1069">
          <cell r="A1069" t="str">
            <v>EASY CONCEPT</v>
          </cell>
          <cell r="B1069" t="str">
            <v>CEN-119</v>
          </cell>
          <cell r="C1069" t="str">
            <v>CENTRALE</v>
          </cell>
          <cell r="D1069" t="str">
            <v>SOKODE KEDIA</v>
          </cell>
          <cell r="E1069">
            <v>70997256</v>
          </cell>
          <cell r="F1069" t="str">
            <v>2G</v>
          </cell>
          <cell r="G1069"/>
          <cell r="H1069"/>
          <cell r="I1069"/>
          <cell r="J1069"/>
          <cell r="K1069"/>
          <cell r="L1069"/>
          <cell r="M1069"/>
        </row>
        <row r="1070">
          <cell r="A1070" t="str">
            <v>EASY CONCEPT</v>
          </cell>
          <cell r="B1070" t="str">
            <v>CEN-104</v>
          </cell>
          <cell r="C1070" t="str">
            <v>CENTRALE</v>
          </cell>
          <cell r="D1070" t="str">
            <v>SOKODE KOMAH</v>
          </cell>
          <cell r="E1070">
            <v>70996478</v>
          </cell>
          <cell r="F1070" t="str">
            <v>2G</v>
          </cell>
          <cell r="G1070"/>
          <cell r="H1070"/>
          <cell r="I1070"/>
          <cell r="J1070"/>
          <cell r="K1070"/>
          <cell r="L1070"/>
          <cell r="M1070"/>
        </row>
        <row r="1071">
          <cell r="A1071" t="str">
            <v>EASY CONCEPT</v>
          </cell>
          <cell r="B1071" t="str">
            <v>CEN-126</v>
          </cell>
          <cell r="C1071" t="str">
            <v>CENTRALE</v>
          </cell>
          <cell r="D1071" t="str">
            <v>SOKODE TCHAWANDA</v>
          </cell>
          <cell r="E1071">
            <v>70997380</v>
          </cell>
          <cell r="F1071" t="str">
            <v>2G</v>
          </cell>
          <cell r="G1071"/>
          <cell r="H1071"/>
          <cell r="I1071"/>
          <cell r="J1071"/>
          <cell r="K1071"/>
          <cell r="L1071"/>
          <cell r="M1071"/>
        </row>
        <row r="1072">
          <cell r="A1072" t="str">
            <v>EASY CONCEPT</v>
          </cell>
          <cell r="B1072" t="str">
            <v>CEN-083</v>
          </cell>
          <cell r="C1072" t="str">
            <v>CENTRALE</v>
          </cell>
          <cell r="D1072" t="str">
            <v>SOKODE-KPANGALAM</v>
          </cell>
          <cell r="E1072">
            <v>70997262</v>
          </cell>
          <cell r="F1072" t="str">
            <v>2G</v>
          </cell>
          <cell r="G1072"/>
          <cell r="H1072"/>
          <cell r="I1072"/>
          <cell r="J1072"/>
          <cell r="K1072"/>
          <cell r="L1072"/>
          <cell r="M1072"/>
        </row>
        <row r="1073">
          <cell r="A1073" t="str">
            <v>EASY CONCEPT</v>
          </cell>
          <cell r="B1073" t="str">
            <v>KAR-045</v>
          </cell>
          <cell r="C1073" t="str">
            <v>KARA</v>
          </cell>
          <cell r="D1073" t="str">
            <v>SOLA</v>
          </cell>
          <cell r="E1073">
            <v>70997125</v>
          </cell>
          <cell r="F1073" t="str">
            <v>2G</v>
          </cell>
          <cell r="G1073"/>
          <cell r="H1073"/>
          <cell r="I1073"/>
          <cell r="J1073"/>
          <cell r="K1073"/>
          <cell r="L1073"/>
          <cell r="M1073"/>
        </row>
        <row r="1074">
          <cell r="A1074" t="str">
            <v>MRG</v>
          </cell>
          <cell r="B1074"/>
          <cell r="C1074" t="str">
            <v>KARA</v>
          </cell>
          <cell r="D1074" t="str">
            <v>SOLA</v>
          </cell>
          <cell r="E1074" t="str">
            <v>70997125</v>
          </cell>
          <cell r="F1074" t="str">
            <v>Android</v>
          </cell>
          <cell r="G1074"/>
          <cell r="H1074"/>
          <cell r="I1074"/>
          <cell r="J1074"/>
          <cell r="K1074"/>
          <cell r="L1074"/>
          <cell r="M1074"/>
        </row>
        <row r="1075">
          <cell r="A1075" t="str">
            <v>MRG</v>
          </cell>
          <cell r="B1075" t="str">
            <v>CEN-100</v>
          </cell>
          <cell r="C1075" t="str">
            <v>CENTRALE</v>
          </cell>
          <cell r="D1075" t="str">
            <v>SOLAO</v>
          </cell>
          <cell r="E1075">
            <v>70996491</v>
          </cell>
          <cell r="F1075" t="str">
            <v>2G</v>
          </cell>
          <cell r="G1075"/>
          <cell r="H1075"/>
          <cell r="I1075"/>
          <cell r="J1075"/>
          <cell r="K1075"/>
          <cell r="L1075"/>
          <cell r="M1075"/>
        </row>
        <row r="1076">
          <cell r="A1076" t="str">
            <v>MRG</v>
          </cell>
          <cell r="B1076"/>
          <cell r="C1076" t="str">
            <v>CENTRALE</v>
          </cell>
          <cell r="D1076" t="str">
            <v>SOLAO</v>
          </cell>
          <cell r="E1076" t="str">
            <v>70996491</v>
          </cell>
          <cell r="F1076" t="str">
            <v>Android</v>
          </cell>
          <cell r="G1076"/>
          <cell r="H1076"/>
          <cell r="I1076"/>
          <cell r="J1076"/>
          <cell r="K1076"/>
          <cell r="L1076"/>
          <cell r="M1076"/>
        </row>
        <row r="1077">
          <cell r="A1077" t="str">
            <v>3SCA</v>
          </cell>
          <cell r="B1077" t="str">
            <v>LOM-127</v>
          </cell>
          <cell r="C1077" t="str">
            <v>LOME</v>
          </cell>
          <cell r="D1077" t="str">
            <v>SOLIDARITE</v>
          </cell>
          <cell r="E1077">
            <v>70997126</v>
          </cell>
          <cell r="F1077" t="str">
            <v>2G</v>
          </cell>
          <cell r="G1077"/>
          <cell r="H1077"/>
          <cell r="I1077"/>
          <cell r="J1077"/>
          <cell r="K1077"/>
          <cell r="L1077"/>
          <cell r="M1077"/>
        </row>
        <row r="1078">
          <cell r="A1078" t="str">
            <v>EASY CONCEPT</v>
          </cell>
          <cell r="B1078" t="str">
            <v>LOM-135</v>
          </cell>
          <cell r="C1078" t="str">
            <v>LOME</v>
          </cell>
          <cell r="D1078" t="str">
            <v>SOTED</v>
          </cell>
          <cell r="E1078">
            <v>70997127</v>
          </cell>
          <cell r="F1078" t="str">
            <v>2G</v>
          </cell>
          <cell r="G1078"/>
          <cell r="H1078"/>
          <cell r="I1078"/>
          <cell r="J1078"/>
          <cell r="K1078"/>
          <cell r="L1078"/>
          <cell r="M1078"/>
        </row>
        <row r="1079">
          <cell r="A1079" t="str">
            <v>EASY CONCEPT</v>
          </cell>
          <cell r="B1079" t="str">
            <v>CEN-030</v>
          </cell>
          <cell r="C1079" t="str">
            <v>CENTRALE</v>
          </cell>
          <cell r="D1079" t="str">
            <v>SOTOUBOUA</v>
          </cell>
          <cell r="E1079">
            <v>70997128</v>
          </cell>
          <cell r="F1079" t="str">
            <v>2G</v>
          </cell>
          <cell r="G1079"/>
          <cell r="H1079"/>
          <cell r="I1079"/>
          <cell r="J1079"/>
          <cell r="K1079"/>
          <cell r="L1079"/>
          <cell r="M1079"/>
        </row>
        <row r="1080">
          <cell r="A1080" t="str">
            <v>MRG</v>
          </cell>
          <cell r="B1080"/>
          <cell r="C1080" t="str">
            <v>CENTRALE</v>
          </cell>
          <cell r="D1080" t="str">
            <v>SOTOUBOUA</v>
          </cell>
          <cell r="E1080" t="str">
            <v>70997128</v>
          </cell>
          <cell r="F1080" t="str">
            <v>Android</v>
          </cell>
          <cell r="G1080"/>
          <cell r="H1080"/>
          <cell r="I1080"/>
          <cell r="J1080"/>
          <cell r="K1080"/>
          <cell r="L1080"/>
          <cell r="M1080"/>
        </row>
        <row r="1081">
          <cell r="A1081" t="str">
            <v>SSV</v>
          </cell>
          <cell r="B1081" t="str">
            <v>CEN-094</v>
          </cell>
          <cell r="C1081" t="str">
            <v>CENTRALE</v>
          </cell>
          <cell r="D1081" t="str">
            <v>SOTOUBOUA MARCHE</v>
          </cell>
          <cell r="E1081">
            <v>70996492</v>
          </cell>
          <cell r="F1081" t="str">
            <v>2G</v>
          </cell>
          <cell r="G1081"/>
          <cell r="H1081"/>
          <cell r="I1081"/>
          <cell r="J1081"/>
          <cell r="K1081"/>
          <cell r="L1081"/>
          <cell r="M1081"/>
        </row>
        <row r="1082">
          <cell r="A1082" t="str">
            <v>SSV</v>
          </cell>
          <cell r="B1082"/>
          <cell r="C1082" t="str">
            <v>CENTRALE</v>
          </cell>
          <cell r="D1082" t="str">
            <v>SOTOUBOUA MARCHE</v>
          </cell>
          <cell r="E1082" t="str">
            <v>70996492</v>
          </cell>
          <cell r="F1082" t="str">
            <v>Android</v>
          </cell>
          <cell r="G1082"/>
          <cell r="H1082"/>
          <cell r="I1082"/>
          <cell r="J1082"/>
          <cell r="K1082"/>
          <cell r="L1082"/>
          <cell r="M1082"/>
        </row>
        <row r="1083">
          <cell r="A1083" t="str">
            <v>EASY CONCEPT</v>
          </cell>
          <cell r="B1083"/>
          <cell r="C1083" t="str">
            <v>CENTRALE</v>
          </cell>
          <cell r="D1083" t="str">
            <v>SOTOUBOUA PEAGE</v>
          </cell>
          <cell r="E1083" t="str">
            <v>70997129</v>
          </cell>
          <cell r="F1083" t="str">
            <v>Android</v>
          </cell>
          <cell r="G1083"/>
          <cell r="H1083"/>
          <cell r="I1083"/>
          <cell r="J1083"/>
          <cell r="K1083"/>
          <cell r="L1083"/>
          <cell r="M1083"/>
        </row>
        <row r="1084">
          <cell r="A1084" t="str">
            <v>EASY CONCEPT</v>
          </cell>
          <cell r="B1084" t="str">
            <v>CEN-090</v>
          </cell>
          <cell r="C1084" t="str">
            <v>CENTRALE</v>
          </cell>
          <cell r="D1084" t="str">
            <v>SOTOUBOUA SONDE</v>
          </cell>
          <cell r="E1084">
            <v>70997130</v>
          </cell>
          <cell r="F1084" t="str">
            <v>2G</v>
          </cell>
          <cell r="G1084"/>
          <cell r="H1084"/>
          <cell r="I1084"/>
          <cell r="J1084"/>
          <cell r="K1084"/>
          <cell r="L1084"/>
          <cell r="M1084"/>
        </row>
        <row r="1085">
          <cell r="A1085" t="str">
            <v>EASY CONCEPT</v>
          </cell>
          <cell r="B1085"/>
          <cell r="C1085" t="str">
            <v>CENTRALE</v>
          </cell>
          <cell r="D1085" t="str">
            <v>SOTOUBOUA SONDE</v>
          </cell>
          <cell r="E1085" t="str">
            <v>70997130</v>
          </cell>
          <cell r="F1085" t="str">
            <v>Android</v>
          </cell>
          <cell r="G1085"/>
          <cell r="H1085"/>
          <cell r="I1085"/>
          <cell r="J1085"/>
          <cell r="K1085"/>
          <cell r="L1085"/>
          <cell r="M1085"/>
        </row>
        <row r="1086">
          <cell r="A1086" t="str">
            <v>EASY CONCEPT</v>
          </cell>
          <cell r="B1086" t="str">
            <v>CEN-030</v>
          </cell>
          <cell r="C1086" t="str">
            <v>CENTRALE</v>
          </cell>
          <cell r="D1086" t="str">
            <v>SOTOUBOUA TELECOM</v>
          </cell>
          <cell r="E1086">
            <v>70997287</v>
          </cell>
          <cell r="F1086" t="str">
            <v>2G</v>
          </cell>
          <cell r="G1086"/>
          <cell r="H1086"/>
          <cell r="I1086"/>
          <cell r="J1086"/>
          <cell r="K1086"/>
          <cell r="L1086"/>
          <cell r="M1086"/>
        </row>
        <row r="1087">
          <cell r="A1087" t="str">
            <v>EASY CONCEPT</v>
          </cell>
          <cell r="B1087" t="str">
            <v>CEN-032</v>
          </cell>
          <cell r="C1087" t="str">
            <v>CENTRALE</v>
          </cell>
          <cell r="D1087" t="str">
            <v>SOTOUBOUA UNIVERSITE</v>
          </cell>
          <cell r="E1087">
            <v>70997131</v>
          </cell>
          <cell r="F1087" t="str">
            <v>2G</v>
          </cell>
          <cell r="G1087"/>
          <cell r="H1087"/>
          <cell r="I1087"/>
          <cell r="J1087"/>
          <cell r="K1087"/>
          <cell r="L1087"/>
          <cell r="M1087"/>
        </row>
        <row r="1088">
          <cell r="A1088" t="str">
            <v>EASY CONCEPT</v>
          </cell>
          <cell r="B1088"/>
          <cell r="C1088" t="str">
            <v>CENTRALE</v>
          </cell>
          <cell r="D1088" t="str">
            <v>SOTOUBOUA UNIVERSITE</v>
          </cell>
          <cell r="E1088" t="str">
            <v>70997131</v>
          </cell>
          <cell r="F1088" t="str">
            <v>Android</v>
          </cell>
          <cell r="G1088"/>
          <cell r="H1088"/>
          <cell r="I1088"/>
          <cell r="J1088"/>
          <cell r="K1088"/>
          <cell r="L1088"/>
          <cell r="M1088"/>
        </row>
        <row r="1089">
          <cell r="A1089" t="str">
            <v>EASY CONCEPT</v>
          </cell>
          <cell r="B1089" t="str">
            <v>CEN-031</v>
          </cell>
          <cell r="C1089" t="str">
            <v>CENTRALE</v>
          </cell>
          <cell r="D1089" t="str">
            <v>SOTOUBOUA-PEAGE</v>
          </cell>
          <cell r="E1089">
            <v>70997129</v>
          </cell>
          <cell r="F1089" t="str">
            <v>2G</v>
          </cell>
          <cell r="G1089"/>
          <cell r="H1089"/>
          <cell r="I1089"/>
          <cell r="J1089"/>
          <cell r="K1089"/>
          <cell r="L1089"/>
          <cell r="M1089"/>
        </row>
        <row r="1090">
          <cell r="A1090" t="str">
            <v>EASY CONCEPT</v>
          </cell>
          <cell r="B1090" t="str">
            <v>KAR-085</v>
          </cell>
          <cell r="C1090" t="str">
            <v>KARA</v>
          </cell>
          <cell r="D1090" t="str">
            <v>SOUDOU</v>
          </cell>
          <cell r="E1090">
            <v>70997132</v>
          </cell>
          <cell r="F1090" t="str">
            <v>2G</v>
          </cell>
          <cell r="G1090"/>
          <cell r="H1090"/>
          <cell r="I1090"/>
          <cell r="J1090"/>
          <cell r="K1090"/>
          <cell r="L1090"/>
          <cell r="M1090"/>
        </row>
        <row r="1091">
          <cell r="A1091" t="str">
            <v>MRG</v>
          </cell>
          <cell r="B1091"/>
          <cell r="C1091" t="str">
            <v>KARA</v>
          </cell>
          <cell r="D1091" t="str">
            <v>SOUDOU</v>
          </cell>
          <cell r="E1091" t="str">
            <v>70997132</v>
          </cell>
          <cell r="F1091" t="str">
            <v>Android</v>
          </cell>
          <cell r="G1091"/>
          <cell r="H1091"/>
          <cell r="I1091"/>
          <cell r="J1091"/>
          <cell r="K1091"/>
          <cell r="L1091"/>
          <cell r="M1091"/>
        </row>
        <row r="1092">
          <cell r="A1092" t="str">
            <v>MRG</v>
          </cell>
          <cell r="B1092" t="str">
            <v>KAR-120</v>
          </cell>
          <cell r="C1092" t="str">
            <v>KARA</v>
          </cell>
          <cell r="D1092" t="str">
            <v>SOUDOU2</v>
          </cell>
          <cell r="E1092">
            <v>70997133</v>
          </cell>
          <cell r="F1092" t="str">
            <v>2G</v>
          </cell>
          <cell r="G1092"/>
          <cell r="H1092"/>
          <cell r="I1092"/>
          <cell r="J1092"/>
          <cell r="K1092"/>
          <cell r="L1092"/>
          <cell r="M1092"/>
        </row>
        <row r="1093">
          <cell r="A1093" t="str">
            <v>MRG</v>
          </cell>
          <cell r="B1093" t="str">
            <v>KAR-039</v>
          </cell>
          <cell r="C1093" t="str">
            <v>KARA</v>
          </cell>
          <cell r="D1093" t="str">
            <v>SOUMBOU</v>
          </cell>
          <cell r="E1093">
            <v>70997134</v>
          </cell>
          <cell r="F1093" t="str">
            <v>2G</v>
          </cell>
          <cell r="G1093"/>
          <cell r="H1093"/>
          <cell r="I1093"/>
          <cell r="J1093"/>
          <cell r="K1093"/>
          <cell r="L1093"/>
          <cell r="M1093"/>
        </row>
        <row r="1094">
          <cell r="A1094" t="str">
            <v>MRG</v>
          </cell>
          <cell r="B1094" t="str">
            <v>KAR-023</v>
          </cell>
          <cell r="C1094" t="str">
            <v>KARA</v>
          </cell>
          <cell r="D1094" t="str">
            <v>SOUMDINA</v>
          </cell>
          <cell r="E1094">
            <v>70997135</v>
          </cell>
          <cell r="F1094" t="str">
            <v>2G</v>
          </cell>
          <cell r="G1094"/>
          <cell r="H1094"/>
          <cell r="I1094"/>
          <cell r="J1094"/>
          <cell r="K1094"/>
          <cell r="L1094"/>
          <cell r="M1094"/>
        </row>
        <row r="1095">
          <cell r="A1095" t="str">
            <v>EASY CONCEPT</v>
          </cell>
          <cell r="B1095"/>
          <cell r="C1095"/>
          <cell r="D1095" t="str">
            <v xml:space="preserve">SOUMDINA </v>
          </cell>
          <cell r="E1095"/>
          <cell r="F1095"/>
          <cell r="G1095"/>
          <cell r="H1095"/>
          <cell r="I1095"/>
          <cell r="J1095"/>
          <cell r="K1095"/>
          <cell r="L1095"/>
          <cell r="M1095"/>
        </row>
        <row r="1096">
          <cell r="A1096" t="str">
            <v>EASY CONCEPT</v>
          </cell>
          <cell r="B1096"/>
          <cell r="C1096" t="str">
            <v>KARA</v>
          </cell>
          <cell r="D1096" t="str">
            <v>SOUMDINA-HAUT</v>
          </cell>
          <cell r="E1096" t="str">
            <v>70997135</v>
          </cell>
          <cell r="F1096" t="str">
            <v>Android</v>
          </cell>
          <cell r="G1096"/>
          <cell r="H1096"/>
          <cell r="I1096"/>
          <cell r="J1096"/>
          <cell r="K1096"/>
          <cell r="L1096"/>
          <cell r="M1096"/>
        </row>
        <row r="1097">
          <cell r="A1097" t="str">
            <v>SSV</v>
          </cell>
          <cell r="B1097" t="str">
            <v>KAR-086</v>
          </cell>
          <cell r="C1097" t="str">
            <v>KARA</v>
          </cell>
          <cell r="D1097" t="str">
            <v>SOUMDINAKAWA</v>
          </cell>
          <cell r="E1097">
            <v>70997136</v>
          </cell>
          <cell r="F1097" t="str">
            <v>2G</v>
          </cell>
          <cell r="G1097"/>
          <cell r="H1097"/>
          <cell r="I1097"/>
          <cell r="J1097"/>
          <cell r="K1097"/>
          <cell r="L1097"/>
          <cell r="M1097"/>
        </row>
        <row r="1098">
          <cell r="A1098" t="str">
            <v>SSV</v>
          </cell>
          <cell r="B1098"/>
          <cell r="C1098" t="str">
            <v>KARA</v>
          </cell>
          <cell r="D1098" t="str">
            <v>SOUMDINAKAWA</v>
          </cell>
          <cell r="E1098" t="str">
            <v>70997136</v>
          </cell>
          <cell r="F1098" t="str">
            <v>Android</v>
          </cell>
          <cell r="G1098"/>
          <cell r="H1098"/>
          <cell r="I1098"/>
          <cell r="J1098"/>
          <cell r="K1098"/>
          <cell r="L1098"/>
          <cell r="M1098"/>
        </row>
        <row r="1099">
          <cell r="A1099" t="str">
            <v>SSV</v>
          </cell>
          <cell r="B1099" t="str">
            <v>CEN-101</v>
          </cell>
          <cell r="C1099" t="str">
            <v>CENTRALE</v>
          </cell>
          <cell r="D1099" t="str">
            <v>Souroutawi</v>
          </cell>
          <cell r="E1099">
            <v>70996493</v>
          </cell>
          <cell r="F1099" t="str">
            <v>2G</v>
          </cell>
          <cell r="G1099"/>
          <cell r="H1099"/>
          <cell r="I1099"/>
          <cell r="J1099"/>
          <cell r="K1099"/>
          <cell r="L1099"/>
          <cell r="M1099"/>
        </row>
        <row r="1100">
          <cell r="A1100" t="str">
            <v>SSV</v>
          </cell>
          <cell r="B1100" t="str">
            <v>LOM-087</v>
          </cell>
          <cell r="C1100" t="str">
            <v>LOME</v>
          </cell>
          <cell r="D1100" t="str">
            <v>SOVIEPE</v>
          </cell>
          <cell r="E1100">
            <v>70997138</v>
          </cell>
          <cell r="F1100" t="str">
            <v>2G</v>
          </cell>
          <cell r="G1100"/>
          <cell r="H1100"/>
          <cell r="I1100"/>
          <cell r="J1100"/>
          <cell r="K1100"/>
          <cell r="L1100"/>
          <cell r="M1100"/>
        </row>
        <row r="1101">
          <cell r="A1101" t="str">
            <v>EASY CONCEPT</v>
          </cell>
          <cell r="B1101" t="str">
            <v>LOM-136</v>
          </cell>
          <cell r="C1101" t="str">
            <v>LOME</v>
          </cell>
          <cell r="D1101" t="str">
            <v>STREBLER</v>
          </cell>
          <cell r="E1101">
            <v>70997139</v>
          </cell>
          <cell r="F1101" t="str">
            <v>2G</v>
          </cell>
          <cell r="G1101"/>
          <cell r="H1101"/>
          <cell r="I1101"/>
          <cell r="J1101"/>
          <cell r="K1101"/>
          <cell r="L1101"/>
          <cell r="M1101"/>
        </row>
        <row r="1102">
          <cell r="A1102" t="str">
            <v>EASY CONCEPT</v>
          </cell>
          <cell r="B1102"/>
          <cell r="C1102"/>
          <cell r="D1102" t="str">
            <v>SUN AGIP</v>
          </cell>
          <cell r="E1102"/>
          <cell r="F1102"/>
          <cell r="G1102"/>
          <cell r="H1102"/>
          <cell r="I1102"/>
          <cell r="J1102"/>
          <cell r="K1102"/>
          <cell r="L1102"/>
          <cell r="M1102"/>
        </row>
        <row r="1103">
          <cell r="A1103" t="str">
            <v>MRG</v>
          </cell>
          <cell r="B1103" t="str">
            <v>SAV-108</v>
          </cell>
          <cell r="C1103" t="str">
            <v>SAVANES</v>
          </cell>
          <cell r="D1103" t="str">
            <v>TABABOU</v>
          </cell>
          <cell r="E1103">
            <v>70997275</v>
          </cell>
          <cell r="F1103" t="str">
            <v>2G</v>
          </cell>
          <cell r="G1103"/>
          <cell r="H1103"/>
          <cell r="I1103"/>
          <cell r="J1103"/>
          <cell r="K1103"/>
          <cell r="L1103"/>
          <cell r="M1103"/>
        </row>
        <row r="1104">
          <cell r="A1104" t="str">
            <v>3SCA</v>
          </cell>
          <cell r="B1104" t="str">
            <v>MAR-041</v>
          </cell>
          <cell r="C1104" t="str">
            <v>MARITIME</v>
          </cell>
          <cell r="D1104" t="str">
            <v>TABLIGBO</v>
          </cell>
          <cell r="E1104">
            <v>70997140</v>
          </cell>
          <cell r="F1104" t="str">
            <v>2G</v>
          </cell>
          <cell r="G1104"/>
          <cell r="H1104"/>
          <cell r="I1104"/>
          <cell r="J1104"/>
          <cell r="K1104"/>
          <cell r="L1104"/>
          <cell r="M1104"/>
        </row>
        <row r="1105">
          <cell r="A1105" t="str">
            <v>MRG</v>
          </cell>
          <cell r="B1105" t="str">
            <v>MAR-150</v>
          </cell>
          <cell r="C1105" t="str">
            <v>MARITIME</v>
          </cell>
          <cell r="D1105" t="str">
            <v>TABLIGBO3_MOOV</v>
          </cell>
          <cell r="E1105">
            <v>70997334</v>
          </cell>
          <cell r="F1105" t="str">
            <v>2G</v>
          </cell>
          <cell r="G1105"/>
          <cell r="H1105"/>
          <cell r="I1105"/>
          <cell r="J1105"/>
          <cell r="K1105"/>
          <cell r="L1105"/>
          <cell r="M1105"/>
        </row>
        <row r="1106">
          <cell r="A1106" t="str">
            <v>MRG</v>
          </cell>
          <cell r="B1106" t="str">
            <v>MAR-042</v>
          </cell>
          <cell r="C1106" t="str">
            <v>MARITIME</v>
          </cell>
          <cell r="D1106" t="str">
            <v>TABLIGBO-AKOUDOKPO</v>
          </cell>
          <cell r="E1106">
            <v>70997141</v>
          </cell>
          <cell r="F1106" t="str">
            <v>2G</v>
          </cell>
          <cell r="G1106"/>
          <cell r="H1106"/>
          <cell r="I1106"/>
          <cell r="J1106"/>
          <cell r="K1106"/>
          <cell r="L1106"/>
          <cell r="M1106"/>
        </row>
        <row r="1107">
          <cell r="A1107" t="str">
            <v>EASY CONCEPT</v>
          </cell>
          <cell r="B1107" t="str">
            <v>CEN-075</v>
          </cell>
          <cell r="C1107" t="str">
            <v>CENTRALE</v>
          </cell>
          <cell r="D1107" t="str">
            <v>TADJAN</v>
          </cell>
          <cell r="E1107">
            <v>70997142</v>
          </cell>
          <cell r="F1107" t="str">
            <v>2G</v>
          </cell>
          <cell r="G1107"/>
          <cell r="H1107"/>
          <cell r="I1107"/>
          <cell r="J1107"/>
          <cell r="K1107"/>
          <cell r="L1107"/>
          <cell r="M1107"/>
        </row>
        <row r="1108">
          <cell r="A1108" t="str">
            <v>EASY CONCEPT</v>
          </cell>
          <cell r="B1108"/>
          <cell r="C1108" t="str">
            <v>CENTRALE</v>
          </cell>
          <cell r="D1108" t="str">
            <v>TADJAN</v>
          </cell>
          <cell r="E1108" t="str">
            <v>70997142</v>
          </cell>
          <cell r="F1108" t="str">
            <v>Android</v>
          </cell>
          <cell r="G1108"/>
          <cell r="H1108"/>
          <cell r="I1108"/>
          <cell r="J1108"/>
          <cell r="K1108"/>
          <cell r="L1108"/>
          <cell r="M1108"/>
        </row>
        <row r="1109">
          <cell r="A1109" t="str">
            <v>MRG</v>
          </cell>
          <cell r="B1109" t="str">
            <v>PLA-112</v>
          </cell>
          <cell r="C1109" t="str">
            <v>PLATEAUX</v>
          </cell>
          <cell r="D1109" t="str">
            <v>TADO</v>
          </cell>
          <cell r="E1109">
            <v>70997143</v>
          </cell>
          <cell r="F1109" t="str">
            <v>2G</v>
          </cell>
          <cell r="G1109"/>
          <cell r="H1109"/>
          <cell r="I1109"/>
          <cell r="J1109"/>
          <cell r="K1109"/>
          <cell r="L1109"/>
          <cell r="M1109"/>
        </row>
        <row r="1110">
          <cell r="A1110" t="str">
            <v>MRG</v>
          </cell>
          <cell r="B1110" t="str">
            <v>SAV-058</v>
          </cell>
          <cell r="C1110" t="str">
            <v>SAVANES</v>
          </cell>
          <cell r="D1110" t="str">
            <v>TAKPAMBA</v>
          </cell>
          <cell r="E1110">
            <v>70997144</v>
          </cell>
          <cell r="F1110" t="str">
            <v>2G</v>
          </cell>
          <cell r="G1110"/>
          <cell r="H1110"/>
          <cell r="I1110"/>
          <cell r="J1110"/>
          <cell r="K1110"/>
          <cell r="L1110"/>
          <cell r="M1110"/>
        </row>
        <row r="1111">
          <cell r="A1111" t="str">
            <v>MRG</v>
          </cell>
          <cell r="B1111"/>
          <cell r="C1111" t="str">
            <v>SAVANES</v>
          </cell>
          <cell r="D1111" t="str">
            <v>TAKPAMBA</v>
          </cell>
          <cell r="E1111" t="str">
            <v>70997144</v>
          </cell>
          <cell r="F1111" t="str">
            <v>Android</v>
          </cell>
          <cell r="G1111"/>
          <cell r="H1111"/>
          <cell r="I1111"/>
          <cell r="J1111"/>
          <cell r="K1111"/>
          <cell r="L1111"/>
          <cell r="M1111"/>
        </row>
        <row r="1112">
          <cell r="A1112" t="str">
            <v>MRG</v>
          </cell>
          <cell r="B1112" t="str">
            <v>SAV-056</v>
          </cell>
          <cell r="C1112" t="str">
            <v>SAVANES</v>
          </cell>
          <cell r="D1112" t="str">
            <v>TAKPAPIENI</v>
          </cell>
          <cell r="E1112">
            <v>70997145</v>
          </cell>
          <cell r="F1112" t="str">
            <v>2G</v>
          </cell>
          <cell r="G1112"/>
          <cell r="H1112"/>
          <cell r="I1112"/>
          <cell r="J1112"/>
          <cell r="K1112"/>
          <cell r="L1112"/>
          <cell r="M1112"/>
        </row>
        <row r="1113">
          <cell r="A1113" t="str">
            <v>MRG</v>
          </cell>
          <cell r="B1113"/>
          <cell r="C1113" t="str">
            <v>SAVANES</v>
          </cell>
          <cell r="D1113" t="str">
            <v>TAKPAPIENI</v>
          </cell>
          <cell r="E1113" t="str">
            <v>70997145</v>
          </cell>
          <cell r="F1113" t="str">
            <v>Android</v>
          </cell>
          <cell r="G1113"/>
          <cell r="H1113"/>
          <cell r="I1113"/>
          <cell r="J1113"/>
          <cell r="K1113"/>
          <cell r="L1113"/>
          <cell r="M1113"/>
        </row>
        <row r="1114">
          <cell r="A1114" t="str">
            <v>MRG</v>
          </cell>
          <cell r="B1114"/>
          <cell r="C1114" t="str">
            <v>CENTRALE</v>
          </cell>
          <cell r="D1114" t="str">
            <v>Talaba</v>
          </cell>
          <cell r="E1114">
            <v>70997146</v>
          </cell>
          <cell r="F1114" t="str">
            <v>2G</v>
          </cell>
          <cell r="G1114"/>
          <cell r="H1114"/>
          <cell r="I1114"/>
          <cell r="J1114"/>
          <cell r="K1114"/>
          <cell r="L1114"/>
          <cell r="M1114"/>
        </row>
        <row r="1115">
          <cell r="A1115" t="str">
            <v>MRG</v>
          </cell>
          <cell r="B1115" t="str">
            <v>SAV-019</v>
          </cell>
          <cell r="C1115" t="str">
            <v>SAVANES</v>
          </cell>
          <cell r="D1115" t="str">
            <v>TALONGUE</v>
          </cell>
          <cell r="E1115">
            <v>70997147</v>
          </cell>
          <cell r="F1115" t="str">
            <v>2G</v>
          </cell>
          <cell r="G1115"/>
          <cell r="H1115"/>
          <cell r="I1115"/>
          <cell r="J1115"/>
          <cell r="K1115"/>
          <cell r="L1115"/>
          <cell r="M1115"/>
        </row>
        <row r="1116">
          <cell r="A1116" t="str">
            <v>MRG</v>
          </cell>
          <cell r="B1116"/>
          <cell r="C1116" t="str">
            <v>SAVANES</v>
          </cell>
          <cell r="D1116" t="str">
            <v>TALONGUE</v>
          </cell>
          <cell r="E1116" t="str">
            <v>70997147</v>
          </cell>
          <cell r="F1116" t="str">
            <v>Android</v>
          </cell>
          <cell r="G1116"/>
          <cell r="H1116"/>
          <cell r="I1116"/>
          <cell r="J1116"/>
          <cell r="K1116"/>
          <cell r="L1116"/>
          <cell r="M1116"/>
        </row>
        <row r="1117">
          <cell r="A1117" t="str">
            <v>3SCA</v>
          </cell>
          <cell r="B1117" t="str">
            <v>SAV-081</v>
          </cell>
          <cell r="C1117" t="str">
            <v>SAVANES</v>
          </cell>
          <cell r="D1117" t="str">
            <v>TAMBONGA</v>
          </cell>
          <cell r="E1117">
            <v>70997148</v>
          </cell>
          <cell r="F1117" t="str">
            <v>2G</v>
          </cell>
          <cell r="G1117"/>
          <cell r="H1117"/>
          <cell r="I1117"/>
          <cell r="J1117"/>
          <cell r="K1117"/>
          <cell r="L1117"/>
          <cell r="M1117"/>
        </row>
        <row r="1118">
          <cell r="A1118" t="str">
            <v>3SCA</v>
          </cell>
          <cell r="B1118"/>
          <cell r="C1118" t="str">
            <v>SAVANES</v>
          </cell>
          <cell r="D1118" t="str">
            <v>TAMBONGA</v>
          </cell>
          <cell r="E1118" t="str">
            <v>70997148</v>
          </cell>
          <cell r="F1118" t="str">
            <v>Android</v>
          </cell>
          <cell r="G1118"/>
          <cell r="H1118"/>
          <cell r="I1118"/>
          <cell r="J1118"/>
          <cell r="K1118"/>
          <cell r="L1118"/>
          <cell r="M1118"/>
        </row>
        <row r="1119">
          <cell r="A1119" t="str">
            <v>MRG</v>
          </cell>
          <cell r="B1119"/>
          <cell r="C1119" t="str">
            <v>SAVANES</v>
          </cell>
          <cell r="D1119" t="str">
            <v>TAMI MOOV</v>
          </cell>
          <cell r="E1119">
            <v>70997375</v>
          </cell>
          <cell r="F1119" t="str">
            <v>Android</v>
          </cell>
          <cell r="G1119"/>
          <cell r="H1119"/>
          <cell r="I1119"/>
          <cell r="J1119"/>
          <cell r="K1119"/>
          <cell r="L1119"/>
          <cell r="M1119"/>
        </row>
        <row r="1120">
          <cell r="A1120" t="str">
            <v>MRG</v>
          </cell>
          <cell r="B1120" t="str">
            <v>SAV-109</v>
          </cell>
          <cell r="C1120" t="str">
            <v>SAVANES</v>
          </cell>
          <cell r="D1120" t="str">
            <v>TAMI_MOOV</v>
          </cell>
          <cell r="E1120">
            <v>70997375</v>
          </cell>
          <cell r="F1120" t="str">
            <v>2G</v>
          </cell>
          <cell r="G1120"/>
          <cell r="H1120"/>
          <cell r="I1120"/>
          <cell r="J1120"/>
          <cell r="K1120"/>
          <cell r="L1120"/>
          <cell r="M1120"/>
        </row>
        <row r="1121">
          <cell r="A1121" t="str">
            <v>3SCA</v>
          </cell>
          <cell r="B1121" t="str">
            <v>SAV-068</v>
          </cell>
          <cell r="C1121" t="str">
            <v>SAVANES</v>
          </cell>
          <cell r="D1121" t="str">
            <v>TAMONGUE</v>
          </cell>
          <cell r="E1121">
            <v>70997149</v>
          </cell>
          <cell r="F1121" t="str">
            <v>2G</v>
          </cell>
          <cell r="G1121"/>
          <cell r="H1121"/>
          <cell r="I1121"/>
          <cell r="J1121"/>
          <cell r="K1121"/>
          <cell r="L1121"/>
          <cell r="M1121"/>
        </row>
        <row r="1122">
          <cell r="A1122" t="str">
            <v>EASY CONCEPT</v>
          </cell>
          <cell r="B1122"/>
          <cell r="C1122" t="str">
            <v>SAVANES</v>
          </cell>
          <cell r="D1122" t="str">
            <v>TAMONGUE</v>
          </cell>
          <cell r="E1122" t="str">
            <v>70997149</v>
          </cell>
          <cell r="F1122" t="str">
            <v>Android</v>
          </cell>
          <cell r="G1122"/>
          <cell r="H1122"/>
          <cell r="I1122"/>
          <cell r="J1122"/>
          <cell r="K1122"/>
          <cell r="L1122"/>
          <cell r="M1122"/>
        </row>
        <row r="1123">
          <cell r="A1123" t="str">
            <v>EASY CONCEPT</v>
          </cell>
          <cell r="B1123" t="str">
            <v>SAV-025</v>
          </cell>
          <cell r="C1123" t="str">
            <v>SAVANES</v>
          </cell>
          <cell r="D1123" t="str">
            <v>TAMPIALIM</v>
          </cell>
          <cell r="E1123">
            <v>70997150</v>
          </cell>
          <cell r="F1123" t="str">
            <v>2G</v>
          </cell>
          <cell r="G1123"/>
          <cell r="H1123"/>
          <cell r="I1123"/>
          <cell r="J1123"/>
          <cell r="K1123"/>
          <cell r="L1123"/>
          <cell r="M1123"/>
        </row>
        <row r="1124">
          <cell r="A1124" t="str">
            <v>MRG</v>
          </cell>
          <cell r="B1124" t="str">
            <v>SAV-032</v>
          </cell>
          <cell r="C1124" t="str">
            <v>SAVANES</v>
          </cell>
          <cell r="D1124" t="str">
            <v>TANDJOUARE</v>
          </cell>
          <cell r="E1124">
            <v>70997151</v>
          </cell>
          <cell r="F1124" t="str">
            <v>2G</v>
          </cell>
          <cell r="G1124"/>
          <cell r="H1124"/>
          <cell r="I1124"/>
          <cell r="J1124"/>
          <cell r="K1124"/>
          <cell r="L1124"/>
          <cell r="M1124"/>
        </row>
        <row r="1125">
          <cell r="A1125" t="str">
            <v>MRG</v>
          </cell>
          <cell r="B1125"/>
          <cell r="C1125" t="str">
            <v>SAVANES</v>
          </cell>
          <cell r="D1125" t="str">
            <v>TANDJOUARE</v>
          </cell>
          <cell r="E1125" t="str">
            <v>70997151</v>
          </cell>
          <cell r="F1125" t="str">
            <v>Android</v>
          </cell>
          <cell r="G1125"/>
          <cell r="H1125"/>
          <cell r="I1125"/>
          <cell r="J1125"/>
          <cell r="K1125"/>
          <cell r="L1125"/>
          <cell r="M1125"/>
        </row>
        <row r="1126">
          <cell r="A1126" t="str">
            <v>3SCA</v>
          </cell>
          <cell r="B1126" t="str">
            <v>KAR-104</v>
          </cell>
          <cell r="C1126" t="str">
            <v>KARA</v>
          </cell>
          <cell r="D1126" t="str">
            <v>TANKPAYABOUR</v>
          </cell>
          <cell r="E1126">
            <v>70997152</v>
          </cell>
          <cell r="F1126" t="str">
            <v>2G</v>
          </cell>
          <cell r="G1126"/>
          <cell r="H1126"/>
          <cell r="I1126"/>
          <cell r="J1126"/>
          <cell r="K1126"/>
          <cell r="L1126"/>
          <cell r="M1126"/>
        </row>
        <row r="1127">
          <cell r="A1127" t="str">
            <v>3SCA</v>
          </cell>
          <cell r="B1127" t="str">
            <v>CEN-015</v>
          </cell>
          <cell r="C1127" t="str">
            <v>CENTRALE</v>
          </cell>
          <cell r="D1127" t="str">
            <v>TCHALO</v>
          </cell>
          <cell r="E1127">
            <v>70997153</v>
          </cell>
          <cell r="F1127" t="str">
            <v>2G</v>
          </cell>
          <cell r="G1127"/>
          <cell r="H1127"/>
          <cell r="I1127"/>
          <cell r="J1127"/>
          <cell r="K1127"/>
          <cell r="L1127"/>
          <cell r="M1127"/>
        </row>
        <row r="1128">
          <cell r="A1128" t="str">
            <v>SSV</v>
          </cell>
          <cell r="B1128"/>
          <cell r="C1128" t="str">
            <v>CENTRALE</v>
          </cell>
          <cell r="D1128" t="str">
            <v>Tchamba 2</v>
          </cell>
          <cell r="E1128">
            <v>70997154</v>
          </cell>
          <cell r="F1128" t="str">
            <v>2G</v>
          </cell>
          <cell r="G1128"/>
          <cell r="H1128"/>
          <cell r="I1128"/>
          <cell r="J1128"/>
          <cell r="K1128"/>
          <cell r="L1128"/>
          <cell r="M1128"/>
        </row>
        <row r="1129">
          <cell r="A1129" t="str">
            <v>SSV</v>
          </cell>
          <cell r="B1129"/>
          <cell r="C1129" t="str">
            <v>CENTRALE</v>
          </cell>
          <cell r="D1129" t="str">
            <v>Tchamba 3</v>
          </cell>
          <cell r="E1129">
            <v>70997155</v>
          </cell>
          <cell r="F1129" t="str">
            <v>2G</v>
          </cell>
          <cell r="G1129"/>
          <cell r="H1129"/>
          <cell r="I1129"/>
          <cell r="J1129"/>
          <cell r="K1129"/>
          <cell r="L1129"/>
          <cell r="M1129"/>
        </row>
        <row r="1130">
          <cell r="A1130" t="str">
            <v>MRG</v>
          </cell>
          <cell r="B1130" t="str">
            <v>CEN-107</v>
          </cell>
          <cell r="C1130" t="str">
            <v>CENTRALE</v>
          </cell>
          <cell r="D1130" t="str">
            <v>TCHAMBA AKPOWA</v>
          </cell>
          <cell r="E1130">
            <v>70996494</v>
          </cell>
          <cell r="F1130" t="str">
            <v>2G</v>
          </cell>
          <cell r="G1130"/>
          <cell r="H1130"/>
          <cell r="I1130"/>
          <cell r="J1130"/>
          <cell r="K1130"/>
          <cell r="L1130"/>
          <cell r="M1130"/>
        </row>
        <row r="1131">
          <cell r="A1131" t="str">
            <v>MRG</v>
          </cell>
          <cell r="B1131"/>
          <cell r="C1131" t="str">
            <v>CENTRALE</v>
          </cell>
          <cell r="D1131" t="str">
            <v>TCHAMBA DJEREWA</v>
          </cell>
          <cell r="E1131">
            <v>70997288</v>
          </cell>
          <cell r="F1131" t="str">
            <v>2G</v>
          </cell>
          <cell r="G1131"/>
          <cell r="H1131"/>
          <cell r="I1131"/>
          <cell r="J1131"/>
          <cell r="K1131"/>
          <cell r="L1131"/>
          <cell r="M1131"/>
        </row>
        <row r="1132">
          <cell r="A1132" t="str">
            <v>MRG</v>
          </cell>
          <cell r="B1132" t="str">
            <v>SAV-048</v>
          </cell>
          <cell r="C1132" t="str">
            <v>SAVANES</v>
          </cell>
          <cell r="D1132" t="str">
            <v>TCHAMONGA</v>
          </cell>
          <cell r="E1132">
            <v>70997156</v>
          </cell>
          <cell r="F1132" t="str">
            <v>2G</v>
          </cell>
          <cell r="G1132"/>
          <cell r="H1132"/>
          <cell r="I1132"/>
          <cell r="J1132"/>
          <cell r="K1132"/>
          <cell r="L1132"/>
          <cell r="M1132"/>
        </row>
        <row r="1133">
          <cell r="A1133" t="str">
            <v>3SCA</v>
          </cell>
          <cell r="B1133"/>
          <cell r="C1133" t="str">
            <v>SAVANES</v>
          </cell>
          <cell r="D1133" t="str">
            <v>TCHAMONGA</v>
          </cell>
          <cell r="E1133" t="str">
            <v>70997156</v>
          </cell>
          <cell r="F1133" t="str">
            <v>Android</v>
          </cell>
          <cell r="G1133"/>
          <cell r="H1133"/>
          <cell r="I1133"/>
          <cell r="J1133"/>
          <cell r="K1133"/>
          <cell r="L1133"/>
          <cell r="M1133"/>
        </row>
        <row r="1134">
          <cell r="A1134" t="str">
            <v>MRG</v>
          </cell>
          <cell r="B1134" t="str">
            <v>SAV-049</v>
          </cell>
          <cell r="C1134" t="str">
            <v>SAVANES</v>
          </cell>
          <cell r="D1134" t="str">
            <v>TCHANAGA</v>
          </cell>
          <cell r="E1134">
            <v>70997157</v>
          </cell>
          <cell r="F1134" t="str">
            <v>2G</v>
          </cell>
          <cell r="G1134"/>
          <cell r="H1134"/>
          <cell r="I1134"/>
          <cell r="J1134"/>
          <cell r="K1134"/>
          <cell r="L1134"/>
          <cell r="M1134"/>
        </row>
        <row r="1135">
          <cell r="A1135" t="str">
            <v>MRG</v>
          </cell>
          <cell r="B1135"/>
          <cell r="C1135" t="str">
            <v>SAVANES</v>
          </cell>
          <cell r="D1135" t="str">
            <v>TCHANAGA</v>
          </cell>
          <cell r="E1135" t="str">
            <v>70997157</v>
          </cell>
          <cell r="F1135" t="str">
            <v>Android</v>
          </cell>
          <cell r="G1135"/>
          <cell r="H1135"/>
          <cell r="I1135"/>
          <cell r="J1135"/>
          <cell r="K1135"/>
          <cell r="L1135"/>
          <cell r="M1135"/>
        </row>
        <row r="1136">
          <cell r="A1136" t="str">
            <v>3SCA</v>
          </cell>
          <cell r="B1136" t="str">
            <v>SAV-055</v>
          </cell>
          <cell r="C1136" t="str">
            <v>SAVANES</v>
          </cell>
          <cell r="D1136" t="str">
            <v>TCHANWIEKOU</v>
          </cell>
          <cell r="E1136">
            <v>70997158</v>
          </cell>
          <cell r="F1136" t="str">
            <v>2G</v>
          </cell>
          <cell r="G1136"/>
          <cell r="H1136"/>
          <cell r="I1136"/>
          <cell r="J1136"/>
          <cell r="K1136"/>
          <cell r="L1136"/>
          <cell r="M1136"/>
        </row>
        <row r="1137">
          <cell r="A1137" t="str">
            <v>MRG</v>
          </cell>
          <cell r="B1137" t="str">
            <v>KAR-074</v>
          </cell>
          <cell r="C1137" t="str">
            <v>KARA</v>
          </cell>
          <cell r="D1137" t="str">
            <v>TCHANWORO</v>
          </cell>
          <cell r="E1137">
            <v>70997159</v>
          </cell>
          <cell r="F1137" t="str">
            <v>2G</v>
          </cell>
          <cell r="G1137"/>
          <cell r="H1137"/>
          <cell r="I1137"/>
          <cell r="J1137"/>
          <cell r="K1137"/>
          <cell r="L1137"/>
          <cell r="M1137"/>
        </row>
        <row r="1138">
          <cell r="A1138" t="str">
            <v>3SCA</v>
          </cell>
          <cell r="B1138" t="str">
            <v>KAR-124</v>
          </cell>
          <cell r="C1138" t="str">
            <v>KARA</v>
          </cell>
          <cell r="D1138" t="str">
            <v>TCHAPOSSI</v>
          </cell>
          <cell r="E1138">
            <v>70997160</v>
          </cell>
          <cell r="F1138" t="str">
            <v>2G</v>
          </cell>
          <cell r="G1138"/>
          <cell r="H1138"/>
          <cell r="I1138"/>
          <cell r="J1138"/>
          <cell r="K1138"/>
          <cell r="L1138"/>
          <cell r="M1138"/>
        </row>
        <row r="1139">
          <cell r="A1139" t="str">
            <v>3SCA</v>
          </cell>
          <cell r="B1139"/>
          <cell r="C1139" t="str">
            <v>KARA</v>
          </cell>
          <cell r="D1139" t="str">
            <v>TCHAPOSSI</v>
          </cell>
          <cell r="E1139" t="str">
            <v>70997160</v>
          </cell>
          <cell r="F1139" t="str">
            <v>Android</v>
          </cell>
          <cell r="G1139"/>
          <cell r="H1139"/>
          <cell r="I1139"/>
          <cell r="J1139"/>
          <cell r="K1139"/>
          <cell r="L1139"/>
          <cell r="M1139"/>
        </row>
        <row r="1140">
          <cell r="A1140" t="str">
            <v>3SCA</v>
          </cell>
          <cell r="B1140" t="str">
            <v>KAR-024</v>
          </cell>
          <cell r="C1140" t="str">
            <v>KARA</v>
          </cell>
          <cell r="D1140" t="str">
            <v>TCHARE</v>
          </cell>
          <cell r="E1140">
            <v>70997161</v>
          </cell>
          <cell r="F1140" t="str">
            <v>2G</v>
          </cell>
          <cell r="G1140"/>
          <cell r="H1140"/>
          <cell r="I1140"/>
          <cell r="J1140"/>
          <cell r="K1140"/>
          <cell r="L1140"/>
          <cell r="M1140"/>
        </row>
        <row r="1141">
          <cell r="A1141" t="str">
            <v>3SCA</v>
          </cell>
          <cell r="B1141"/>
          <cell r="C1141" t="str">
            <v>CENTRALE</v>
          </cell>
          <cell r="D1141" t="str">
            <v>TCHAREBAOU</v>
          </cell>
          <cell r="E1141" t="str">
            <v>70997162</v>
          </cell>
          <cell r="F1141" t="str">
            <v>Android</v>
          </cell>
          <cell r="G1141"/>
          <cell r="H1141"/>
          <cell r="I1141"/>
          <cell r="J1141"/>
          <cell r="K1141"/>
          <cell r="L1141"/>
          <cell r="M1141"/>
        </row>
        <row r="1142">
          <cell r="A1142" t="str">
            <v>3SCA</v>
          </cell>
          <cell r="B1142" t="str">
            <v>CEN-076</v>
          </cell>
          <cell r="C1142" t="str">
            <v>CENTRALE</v>
          </cell>
          <cell r="D1142" t="str">
            <v>TCHAREBAOU</v>
          </cell>
          <cell r="E1142">
            <v>70997162</v>
          </cell>
          <cell r="F1142" t="str">
            <v>2G</v>
          </cell>
          <cell r="G1142"/>
          <cell r="H1142"/>
          <cell r="I1142"/>
          <cell r="J1142"/>
          <cell r="K1142"/>
          <cell r="L1142"/>
          <cell r="M1142"/>
        </row>
        <row r="1143">
          <cell r="A1143" t="str">
            <v>3SCA</v>
          </cell>
          <cell r="B1143" t="str">
            <v>CEN-102</v>
          </cell>
          <cell r="C1143" t="str">
            <v>CENTRALE</v>
          </cell>
          <cell r="D1143" t="str">
            <v>TCHATAKPA DAKO</v>
          </cell>
          <cell r="E1143">
            <v>70996495</v>
          </cell>
          <cell r="F1143" t="str">
            <v>2G</v>
          </cell>
          <cell r="G1143"/>
          <cell r="H1143"/>
          <cell r="I1143"/>
          <cell r="J1143"/>
          <cell r="K1143"/>
          <cell r="L1143"/>
          <cell r="M1143"/>
        </row>
        <row r="1144">
          <cell r="A1144" t="str">
            <v>3SCA</v>
          </cell>
          <cell r="B1144"/>
          <cell r="C1144" t="str">
            <v>CENTRALE</v>
          </cell>
          <cell r="D1144" t="str">
            <v>TCHATAKPA DAKO</v>
          </cell>
          <cell r="E1144" t="str">
            <v>70996495</v>
          </cell>
          <cell r="F1144" t="str">
            <v>Android</v>
          </cell>
          <cell r="G1144"/>
          <cell r="H1144"/>
          <cell r="I1144"/>
          <cell r="J1144"/>
          <cell r="K1144"/>
          <cell r="L1144"/>
          <cell r="M1144"/>
        </row>
        <row r="1145">
          <cell r="A1145" t="str">
            <v>MRG</v>
          </cell>
          <cell r="B1145" t="str">
            <v>KAR-087</v>
          </cell>
          <cell r="C1145" t="str">
            <v>KARA</v>
          </cell>
          <cell r="D1145" t="str">
            <v>TCHATCHAMINADE</v>
          </cell>
          <cell r="E1145">
            <v>70997163</v>
          </cell>
          <cell r="F1145" t="str">
            <v>2G</v>
          </cell>
          <cell r="G1145"/>
          <cell r="H1145"/>
          <cell r="I1145"/>
          <cell r="J1145"/>
          <cell r="K1145"/>
          <cell r="L1145"/>
          <cell r="M1145"/>
        </row>
        <row r="1146">
          <cell r="A1146" t="str">
            <v>MRG</v>
          </cell>
          <cell r="B1146" t="str">
            <v>CEN-007</v>
          </cell>
          <cell r="C1146" t="str">
            <v>CENTRALE</v>
          </cell>
          <cell r="D1146" t="str">
            <v>TCHAWANDA</v>
          </cell>
          <cell r="E1146">
            <v>70997164</v>
          </cell>
          <cell r="F1146" t="str">
            <v>2G</v>
          </cell>
          <cell r="G1146"/>
          <cell r="H1146"/>
          <cell r="I1146"/>
          <cell r="J1146"/>
          <cell r="K1146"/>
          <cell r="L1146"/>
          <cell r="M1146"/>
        </row>
        <row r="1147">
          <cell r="A1147" t="str">
            <v>EASY CONCEPT</v>
          </cell>
          <cell r="B1147" t="str">
            <v>CEN-033</v>
          </cell>
          <cell r="C1147" t="str">
            <v>CENTRALE</v>
          </cell>
          <cell r="D1147" t="str">
            <v>TCHEBEBE</v>
          </cell>
          <cell r="E1147">
            <v>70997165</v>
          </cell>
          <cell r="F1147" t="str">
            <v>2G</v>
          </cell>
          <cell r="G1147"/>
          <cell r="H1147"/>
          <cell r="I1147"/>
          <cell r="J1147"/>
          <cell r="K1147"/>
          <cell r="L1147"/>
          <cell r="M1147"/>
        </row>
        <row r="1148">
          <cell r="A1148" t="str">
            <v>MRG</v>
          </cell>
          <cell r="B1148"/>
          <cell r="C1148" t="str">
            <v>CENTRALE</v>
          </cell>
          <cell r="D1148" t="str">
            <v>TCHEBEBE</v>
          </cell>
          <cell r="E1148" t="str">
            <v>70997165</v>
          </cell>
          <cell r="F1148" t="str">
            <v>Android</v>
          </cell>
          <cell r="G1148"/>
          <cell r="H1148"/>
          <cell r="I1148"/>
          <cell r="J1148"/>
          <cell r="K1148"/>
          <cell r="L1148"/>
          <cell r="M1148"/>
        </row>
        <row r="1149">
          <cell r="A1149" t="str">
            <v>MRG</v>
          </cell>
          <cell r="B1149" t="str">
            <v>PLA-037</v>
          </cell>
          <cell r="C1149" t="str">
            <v>PLATEAUX</v>
          </cell>
          <cell r="D1149" t="str">
            <v>TCHEKITA</v>
          </cell>
          <cell r="E1149">
            <v>70997166</v>
          </cell>
          <cell r="F1149" t="str">
            <v>2G</v>
          </cell>
          <cell r="G1149"/>
          <cell r="H1149"/>
          <cell r="I1149"/>
          <cell r="J1149"/>
          <cell r="K1149"/>
          <cell r="L1149"/>
          <cell r="M1149"/>
        </row>
        <row r="1150">
          <cell r="A1150" t="str">
            <v>3SCA</v>
          </cell>
          <cell r="B1150"/>
          <cell r="C1150" t="str">
            <v>PLATEAUX</v>
          </cell>
          <cell r="D1150" t="str">
            <v>TCHEKITA</v>
          </cell>
          <cell r="E1150" t="str">
            <v>70997166</v>
          </cell>
          <cell r="F1150" t="str">
            <v>Android</v>
          </cell>
          <cell r="G1150"/>
          <cell r="H1150"/>
          <cell r="I1150"/>
          <cell r="J1150"/>
          <cell r="K1150"/>
          <cell r="L1150"/>
          <cell r="M1150"/>
        </row>
        <row r="1151">
          <cell r="A1151" t="str">
            <v>3SCA</v>
          </cell>
          <cell r="B1151" t="str">
            <v>PLA-164</v>
          </cell>
          <cell r="C1151" t="str">
            <v>PLATEAUX</v>
          </cell>
          <cell r="D1151" t="str">
            <v>TCHEKOUNIKOPE</v>
          </cell>
          <cell r="E1151">
            <v>70997167</v>
          </cell>
          <cell r="F1151" t="str">
            <v>2G</v>
          </cell>
          <cell r="G1151"/>
          <cell r="H1151"/>
          <cell r="I1151"/>
          <cell r="J1151"/>
          <cell r="K1151"/>
          <cell r="L1151"/>
          <cell r="M1151"/>
        </row>
        <row r="1152">
          <cell r="A1152" t="str">
            <v>MRG</v>
          </cell>
          <cell r="B1152" t="str">
            <v>MAR-076</v>
          </cell>
          <cell r="C1152" t="str">
            <v>MARITIME</v>
          </cell>
          <cell r="D1152" t="str">
            <v>TCHEKPO-DEVE</v>
          </cell>
          <cell r="E1152">
            <v>70997168</v>
          </cell>
          <cell r="F1152" t="str">
            <v>2G</v>
          </cell>
          <cell r="G1152"/>
          <cell r="H1152"/>
          <cell r="I1152"/>
          <cell r="J1152"/>
          <cell r="K1152"/>
          <cell r="L1152"/>
          <cell r="M1152"/>
        </row>
        <row r="1153">
          <cell r="A1153" t="str">
            <v>MRG</v>
          </cell>
          <cell r="B1153" t="str">
            <v>KAR-113</v>
          </cell>
          <cell r="C1153" t="str">
            <v>KARA</v>
          </cell>
          <cell r="D1153" t="str">
            <v>TCHIMBERI</v>
          </cell>
          <cell r="E1153">
            <v>70997169</v>
          </cell>
          <cell r="F1153" t="str">
            <v>2G</v>
          </cell>
          <cell r="G1153"/>
          <cell r="H1153"/>
          <cell r="I1153"/>
          <cell r="J1153"/>
          <cell r="K1153"/>
          <cell r="L1153"/>
          <cell r="M1153"/>
        </row>
        <row r="1154">
          <cell r="A1154" t="str">
            <v>MRG</v>
          </cell>
          <cell r="B1154"/>
          <cell r="C1154" t="str">
            <v>CENTRALE</v>
          </cell>
          <cell r="D1154" t="str">
            <v>TCHIMBERI</v>
          </cell>
          <cell r="E1154" t="str">
            <v>70997169</v>
          </cell>
          <cell r="F1154" t="str">
            <v>Android</v>
          </cell>
          <cell r="G1154"/>
          <cell r="H1154"/>
          <cell r="I1154"/>
          <cell r="J1154"/>
          <cell r="K1154"/>
          <cell r="L1154"/>
          <cell r="M1154"/>
        </row>
        <row r="1155">
          <cell r="A1155" t="str">
            <v>MRG</v>
          </cell>
          <cell r="B1155" t="str">
            <v>PLA-059</v>
          </cell>
          <cell r="C1155" t="str">
            <v>PLATEAUX</v>
          </cell>
          <cell r="D1155" t="str">
            <v>TCHINIGAN</v>
          </cell>
          <cell r="E1155">
            <v>70997170</v>
          </cell>
          <cell r="F1155" t="str">
            <v>2G</v>
          </cell>
          <cell r="G1155"/>
          <cell r="H1155"/>
          <cell r="I1155"/>
          <cell r="J1155"/>
          <cell r="K1155"/>
          <cell r="L1155"/>
          <cell r="M1155"/>
        </row>
        <row r="1156">
          <cell r="A1156" t="str">
            <v>EASY CONCEPT</v>
          </cell>
          <cell r="B1156" t="str">
            <v>SAV-070</v>
          </cell>
          <cell r="C1156" t="str">
            <v>SAVANES</v>
          </cell>
          <cell r="D1156" t="str">
            <v>TCHINMUL</v>
          </cell>
          <cell r="E1156">
            <v>70997171</v>
          </cell>
          <cell r="F1156" t="str">
            <v>2G</v>
          </cell>
          <cell r="G1156"/>
          <cell r="H1156"/>
          <cell r="I1156"/>
          <cell r="J1156"/>
          <cell r="K1156"/>
          <cell r="L1156"/>
          <cell r="M1156"/>
        </row>
        <row r="1157">
          <cell r="A1157" t="str">
            <v>SSV</v>
          </cell>
          <cell r="B1157"/>
          <cell r="C1157" t="str">
            <v>SAVANES</v>
          </cell>
          <cell r="D1157" t="str">
            <v>TCHINMUL</v>
          </cell>
          <cell r="E1157" t="str">
            <v>70997171</v>
          </cell>
          <cell r="F1157" t="str">
            <v>Android</v>
          </cell>
          <cell r="G1157"/>
          <cell r="H1157"/>
          <cell r="I1157"/>
          <cell r="J1157"/>
          <cell r="K1157"/>
          <cell r="L1157"/>
          <cell r="M1157"/>
        </row>
        <row r="1158">
          <cell r="A1158" t="str">
            <v>EASY CONCEPT</v>
          </cell>
          <cell r="B1158" t="str">
            <v>KAR-025</v>
          </cell>
          <cell r="C1158" t="str">
            <v>KARA</v>
          </cell>
          <cell r="D1158" t="str">
            <v>TCHITCHAO</v>
          </cell>
          <cell r="E1158">
            <v>70997172</v>
          </cell>
          <cell r="F1158" t="str">
            <v>2G</v>
          </cell>
          <cell r="G1158"/>
          <cell r="H1158"/>
          <cell r="I1158"/>
          <cell r="J1158"/>
          <cell r="K1158"/>
          <cell r="L1158"/>
          <cell r="M1158"/>
        </row>
        <row r="1159">
          <cell r="A1159" t="str">
            <v>EASY CONCEPT</v>
          </cell>
          <cell r="B1159" t="str">
            <v>KAR-046</v>
          </cell>
          <cell r="C1159" t="str">
            <v>KARA</v>
          </cell>
          <cell r="D1159" t="str">
            <v>TCHITCHIRA</v>
          </cell>
          <cell r="E1159">
            <v>70997173</v>
          </cell>
          <cell r="F1159" t="str">
            <v>2G</v>
          </cell>
          <cell r="G1159"/>
          <cell r="H1159"/>
          <cell r="I1159"/>
          <cell r="J1159"/>
          <cell r="K1159"/>
          <cell r="L1159"/>
          <cell r="M1159"/>
        </row>
        <row r="1160">
          <cell r="A1160" t="str">
            <v>MRG</v>
          </cell>
          <cell r="B1160"/>
          <cell r="C1160" t="str">
            <v>KARA</v>
          </cell>
          <cell r="D1160" t="str">
            <v>TCHITCHIRA</v>
          </cell>
          <cell r="E1160" t="str">
            <v>70997173</v>
          </cell>
          <cell r="F1160" t="str">
            <v>Android</v>
          </cell>
          <cell r="G1160"/>
          <cell r="H1160"/>
          <cell r="I1160"/>
          <cell r="J1160"/>
          <cell r="K1160"/>
          <cell r="L1160"/>
          <cell r="M1160"/>
        </row>
        <row r="1161">
          <cell r="A1161" t="str">
            <v>EASY CONCEPT</v>
          </cell>
          <cell r="B1161" t="str">
            <v>KAR-114</v>
          </cell>
          <cell r="C1161" t="str">
            <v>KARA</v>
          </cell>
          <cell r="D1161" t="str">
            <v>TCHOGOUMA</v>
          </cell>
          <cell r="E1161">
            <v>70997174</v>
          </cell>
          <cell r="F1161" t="str">
            <v>2G</v>
          </cell>
          <cell r="G1161"/>
          <cell r="H1161"/>
          <cell r="I1161"/>
          <cell r="J1161"/>
          <cell r="K1161"/>
          <cell r="L1161"/>
          <cell r="M1161"/>
        </row>
        <row r="1162">
          <cell r="A1162" t="str">
            <v>EASY CONCEPT</v>
          </cell>
          <cell r="B1162"/>
          <cell r="C1162" t="str">
            <v>KARA</v>
          </cell>
          <cell r="D1162" t="str">
            <v>TCHOGOUMA</v>
          </cell>
          <cell r="E1162" t="str">
            <v>70997174</v>
          </cell>
          <cell r="F1162" t="str">
            <v>Android</v>
          </cell>
          <cell r="G1162"/>
          <cell r="H1162"/>
          <cell r="I1162"/>
          <cell r="J1162"/>
          <cell r="K1162"/>
          <cell r="L1162"/>
          <cell r="M1162"/>
        </row>
        <row r="1163">
          <cell r="A1163" t="str">
            <v>MRG</v>
          </cell>
          <cell r="B1163" t="str">
            <v>CEN-034</v>
          </cell>
          <cell r="C1163" t="str">
            <v>CENTRALE</v>
          </cell>
          <cell r="D1163" t="str">
            <v>TCHOIDE</v>
          </cell>
          <cell r="E1163">
            <v>70997175</v>
          </cell>
          <cell r="F1163" t="str">
            <v>2G</v>
          </cell>
          <cell r="G1163"/>
          <cell r="H1163"/>
          <cell r="I1163"/>
          <cell r="J1163"/>
          <cell r="K1163"/>
          <cell r="L1163"/>
          <cell r="M1163"/>
        </row>
        <row r="1164">
          <cell r="A1164" t="str">
            <v>EASY CONCEPT</v>
          </cell>
          <cell r="B1164"/>
          <cell r="C1164" t="str">
            <v>CENTRALE</v>
          </cell>
          <cell r="D1164" t="str">
            <v>TCHOIDE</v>
          </cell>
          <cell r="E1164" t="str">
            <v>70997175</v>
          </cell>
          <cell r="F1164" t="str">
            <v>Android</v>
          </cell>
          <cell r="G1164"/>
          <cell r="H1164"/>
          <cell r="I1164"/>
          <cell r="J1164"/>
          <cell r="K1164"/>
          <cell r="L1164"/>
          <cell r="M1164"/>
        </row>
        <row r="1165">
          <cell r="A1165" t="str">
            <v>3SCA</v>
          </cell>
          <cell r="B1165" t="str">
            <v>KAR-110</v>
          </cell>
          <cell r="C1165" t="str">
            <v>KARA</v>
          </cell>
          <cell r="D1165" t="str">
            <v>TCHORE</v>
          </cell>
          <cell r="E1165">
            <v>70997176</v>
          </cell>
          <cell r="F1165" t="str">
            <v>2G</v>
          </cell>
          <cell r="G1165"/>
          <cell r="H1165"/>
          <cell r="I1165"/>
          <cell r="J1165"/>
          <cell r="K1165"/>
          <cell r="L1165"/>
          <cell r="M1165"/>
        </row>
        <row r="1166">
          <cell r="A1166" t="str">
            <v>3SCA</v>
          </cell>
          <cell r="B1166"/>
          <cell r="C1166" t="str">
            <v xml:space="preserve">PLATEAUX </v>
          </cell>
          <cell r="D1166" t="str">
            <v>TEKO</v>
          </cell>
          <cell r="E1166">
            <v>70997194</v>
          </cell>
          <cell r="F1166" t="str">
            <v>2G</v>
          </cell>
          <cell r="G1166"/>
          <cell r="H1166"/>
          <cell r="I1166"/>
          <cell r="J1166"/>
          <cell r="K1166"/>
          <cell r="L1166"/>
          <cell r="M1166"/>
        </row>
        <row r="1167">
          <cell r="A1167" t="str">
            <v>SSV</v>
          </cell>
          <cell r="B1167" t="str">
            <v>LOM-042</v>
          </cell>
          <cell r="C1167" t="str">
            <v>LOME</v>
          </cell>
          <cell r="D1167" t="str">
            <v>TELESSOU</v>
          </cell>
          <cell r="E1167">
            <v>70997177</v>
          </cell>
          <cell r="F1167" t="str">
            <v>2G</v>
          </cell>
          <cell r="G1167"/>
          <cell r="H1167"/>
          <cell r="I1167"/>
          <cell r="J1167"/>
          <cell r="K1167"/>
          <cell r="L1167"/>
          <cell r="M1167"/>
        </row>
        <row r="1168">
          <cell r="A1168" t="str">
            <v>EASY CONCEPT</v>
          </cell>
          <cell r="B1168" t="str">
            <v>PLA-013</v>
          </cell>
          <cell r="C1168" t="str">
            <v>PLATEAUX</v>
          </cell>
          <cell r="D1168" t="str">
            <v>TEMEDJA</v>
          </cell>
          <cell r="E1168">
            <v>70997178</v>
          </cell>
          <cell r="F1168" t="str">
            <v>2G</v>
          </cell>
          <cell r="G1168"/>
          <cell r="H1168"/>
          <cell r="I1168"/>
          <cell r="J1168"/>
          <cell r="K1168"/>
          <cell r="L1168"/>
          <cell r="M1168"/>
        </row>
        <row r="1169">
          <cell r="A1169" t="str">
            <v>3SCA</v>
          </cell>
          <cell r="B1169" t="str">
            <v>PLA-113</v>
          </cell>
          <cell r="C1169" t="str">
            <v>PLATEAUX</v>
          </cell>
          <cell r="D1169" t="str">
            <v>TETETOU</v>
          </cell>
          <cell r="E1169">
            <v>70997179</v>
          </cell>
          <cell r="F1169" t="str">
            <v>2G</v>
          </cell>
          <cell r="G1169"/>
          <cell r="H1169"/>
          <cell r="I1169"/>
          <cell r="J1169"/>
          <cell r="K1169"/>
          <cell r="L1169"/>
          <cell r="M1169"/>
        </row>
        <row r="1170">
          <cell r="A1170" t="str">
            <v>3SCA</v>
          </cell>
          <cell r="B1170" t="str">
            <v>CEN-035</v>
          </cell>
          <cell r="C1170" t="str">
            <v>CENTRALE</v>
          </cell>
          <cell r="D1170" t="str">
            <v>TIGBADA</v>
          </cell>
          <cell r="E1170">
            <v>70997180</v>
          </cell>
          <cell r="F1170" t="str">
            <v>2G</v>
          </cell>
          <cell r="G1170"/>
          <cell r="H1170"/>
          <cell r="I1170"/>
          <cell r="J1170"/>
          <cell r="K1170"/>
          <cell r="L1170"/>
          <cell r="M1170"/>
        </row>
        <row r="1171">
          <cell r="A1171" t="str">
            <v>MRG</v>
          </cell>
          <cell r="B1171"/>
          <cell r="C1171" t="str">
            <v>CENTRALE</v>
          </cell>
          <cell r="D1171" t="str">
            <v>TIGBADA</v>
          </cell>
          <cell r="E1171" t="str">
            <v>70997180</v>
          </cell>
          <cell r="F1171" t="str">
            <v>Android</v>
          </cell>
          <cell r="G1171"/>
          <cell r="H1171"/>
          <cell r="I1171"/>
          <cell r="J1171"/>
          <cell r="K1171"/>
          <cell r="L1171"/>
          <cell r="M1171"/>
        </row>
        <row r="1172">
          <cell r="A1172" t="str">
            <v>SSV</v>
          </cell>
          <cell r="B1172" t="str">
            <v>SAV-038</v>
          </cell>
          <cell r="C1172" t="str">
            <v>SAVANES</v>
          </cell>
          <cell r="D1172" t="str">
            <v>TIGOU</v>
          </cell>
          <cell r="E1172">
            <v>70997181</v>
          </cell>
          <cell r="F1172" t="str">
            <v>2G</v>
          </cell>
          <cell r="G1172"/>
          <cell r="H1172"/>
          <cell r="I1172"/>
          <cell r="J1172"/>
          <cell r="K1172"/>
          <cell r="L1172"/>
          <cell r="M1172"/>
        </row>
        <row r="1173">
          <cell r="A1173" t="str">
            <v>3SCA</v>
          </cell>
          <cell r="B1173"/>
          <cell r="C1173" t="str">
            <v>SAVANES</v>
          </cell>
          <cell r="D1173" t="str">
            <v>TIGOU</v>
          </cell>
          <cell r="E1173" t="str">
            <v>70997181</v>
          </cell>
          <cell r="F1173" t="str">
            <v>Android</v>
          </cell>
          <cell r="G1173"/>
          <cell r="H1173"/>
          <cell r="I1173"/>
          <cell r="J1173"/>
          <cell r="K1173"/>
          <cell r="L1173"/>
          <cell r="M1173"/>
        </row>
        <row r="1174">
          <cell r="A1174" t="str">
            <v>EASY CONCEPT</v>
          </cell>
          <cell r="B1174" t="str">
            <v>SAV-014</v>
          </cell>
          <cell r="C1174" t="str">
            <v>SAVANES</v>
          </cell>
          <cell r="D1174" t="str">
            <v>TIMBOU</v>
          </cell>
          <cell r="E1174">
            <v>70997182</v>
          </cell>
          <cell r="F1174" t="str">
            <v>2G</v>
          </cell>
          <cell r="G1174"/>
          <cell r="H1174"/>
          <cell r="I1174"/>
          <cell r="J1174"/>
          <cell r="K1174"/>
          <cell r="L1174"/>
          <cell r="M1174"/>
        </row>
        <row r="1175">
          <cell r="A1175" t="str">
            <v>EASY CONCEPT</v>
          </cell>
          <cell r="B1175"/>
          <cell r="C1175" t="str">
            <v>SAVANES</v>
          </cell>
          <cell r="D1175" t="str">
            <v>TIMBOU</v>
          </cell>
          <cell r="E1175" t="str">
            <v>70997182</v>
          </cell>
          <cell r="F1175" t="str">
            <v>Android</v>
          </cell>
          <cell r="G1175"/>
          <cell r="H1175"/>
          <cell r="I1175"/>
          <cell r="J1175"/>
          <cell r="K1175"/>
          <cell r="L1175"/>
          <cell r="M1175"/>
        </row>
        <row r="1176">
          <cell r="A1176" t="str">
            <v>EASY CONCEPT</v>
          </cell>
          <cell r="B1176" t="str">
            <v>CEN-029</v>
          </cell>
          <cell r="C1176" t="str">
            <v>CENTRALE</v>
          </cell>
          <cell r="D1176" t="str">
            <v>TINDJASSE</v>
          </cell>
          <cell r="E1176">
            <v>70997183</v>
          </cell>
          <cell r="F1176" t="str">
            <v>2G</v>
          </cell>
          <cell r="G1176"/>
          <cell r="H1176"/>
          <cell r="I1176"/>
          <cell r="J1176"/>
          <cell r="K1176"/>
          <cell r="L1176"/>
          <cell r="M1176"/>
        </row>
        <row r="1177">
          <cell r="A1177" t="str">
            <v>EASY CONCEPT</v>
          </cell>
          <cell r="B1177"/>
          <cell r="C1177" t="str">
            <v>KARA</v>
          </cell>
          <cell r="D1177" t="str">
            <v>TINDJASSE</v>
          </cell>
          <cell r="E1177" t="str">
            <v>70997183</v>
          </cell>
          <cell r="F1177" t="str">
            <v>Android</v>
          </cell>
          <cell r="G1177"/>
          <cell r="H1177"/>
          <cell r="I1177"/>
          <cell r="J1177"/>
          <cell r="K1177"/>
          <cell r="L1177"/>
          <cell r="M1177"/>
        </row>
        <row r="1178">
          <cell r="A1178" t="str">
            <v>EASY CONCEPT</v>
          </cell>
          <cell r="B1178" t="str">
            <v>PLA-072</v>
          </cell>
          <cell r="C1178" t="str">
            <v>PLATEAUX</v>
          </cell>
          <cell r="D1178" t="str">
            <v>TINIPE</v>
          </cell>
          <cell r="E1178">
            <v>70997184</v>
          </cell>
          <cell r="F1178" t="str">
            <v>2G</v>
          </cell>
          <cell r="G1178"/>
          <cell r="H1178"/>
          <cell r="I1178"/>
          <cell r="J1178"/>
          <cell r="K1178"/>
          <cell r="L1178"/>
          <cell r="M1178"/>
        </row>
        <row r="1179">
          <cell r="A1179" t="str">
            <v>EASY CONCEPT</v>
          </cell>
          <cell r="B1179"/>
          <cell r="C1179" t="str">
            <v>MARITIME</v>
          </cell>
          <cell r="D1179" t="str">
            <v>TINIPE</v>
          </cell>
          <cell r="E1179" t="str">
            <v>70997184</v>
          </cell>
          <cell r="F1179" t="str">
            <v>Android</v>
          </cell>
          <cell r="G1179"/>
          <cell r="H1179"/>
          <cell r="I1179"/>
          <cell r="J1179"/>
          <cell r="K1179"/>
          <cell r="L1179"/>
          <cell r="M1179"/>
        </row>
        <row r="1180">
          <cell r="A1180" t="str">
            <v>MRG</v>
          </cell>
          <cell r="B1180" t="str">
            <v>PLA-185</v>
          </cell>
          <cell r="C1180" t="str">
            <v>PLATEAUX</v>
          </cell>
          <cell r="D1180" t="str">
            <v>TINKOU</v>
          </cell>
          <cell r="E1180">
            <v>70996443</v>
          </cell>
          <cell r="F1180" t="str">
            <v>2G</v>
          </cell>
          <cell r="G1180"/>
          <cell r="H1180"/>
          <cell r="I1180"/>
          <cell r="J1180"/>
          <cell r="K1180"/>
          <cell r="L1180"/>
          <cell r="M1180"/>
        </row>
        <row r="1181">
          <cell r="A1181" t="str">
            <v>MRG</v>
          </cell>
          <cell r="B1181"/>
          <cell r="C1181" t="str">
            <v>PLATEAUX</v>
          </cell>
          <cell r="D1181" t="str">
            <v>TINKOU</v>
          </cell>
          <cell r="E1181" t="str">
            <v>70996443</v>
          </cell>
          <cell r="F1181" t="str">
            <v>Android</v>
          </cell>
          <cell r="G1181"/>
          <cell r="H1181"/>
          <cell r="I1181"/>
          <cell r="J1181"/>
          <cell r="K1181"/>
          <cell r="L1181"/>
          <cell r="M1181"/>
        </row>
        <row r="1182">
          <cell r="A1182" t="str">
            <v>EASY CONCEPT</v>
          </cell>
          <cell r="B1182" t="str">
            <v>CEN-044</v>
          </cell>
          <cell r="C1182" t="str">
            <v>CENTRALE</v>
          </cell>
          <cell r="D1182" t="str">
            <v>TITIGBE</v>
          </cell>
          <cell r="E1182">
            <v>70997185</v>
          </cell>
          <cell r="F1182" t="str">
            <v>2G</v>
          </cell>
          <cell r="G1182"/>
          <cell r="H1182"/>
          <cell r="I1182"/>
          <cell r="J1182"/>
          <cell r="K1182"/>
          <cell r="L1182"/>
          <cell r="M1182"/>
        </row>
        <row r="1183">
          <cell r="A1183" t="str">
            <v>EASY CONCEPT</v>
          </cell>
          <cell r="B1183"/>
          <cell r="C1183" t="str">
            <v>CENTRALE</v>
          </cell>
          <cell r="D1183" t="str">
            <v>TITIGBE</v>
          </cell>
          <cell r="E1183" t="str">
            <v>70997185</v>
          </cell>
          <cell r="F1183" t="str">
            <v>Android</v>
          </cell>
          <cell r="G1183"/>
          <cell r="H1183"/>
          <cell r="I1183"/>
          <cell r="J1183"/>
          <cell r="K1183"/>
          <cell r="L1183"/>
          <cell r="M1183"/>
        </row>
        <row r="1184">
          <cell r="A1184" t="str">
            <v>SSV</v>
          </cell>
          <cell r="B1184" t="str">
            <v>PLA-179</v>
          </cell>
          <cell r="C1184" t="str">
            <v>PLATEAUX</v>
          </cell>
          <cell r="D1184" t="str">
            <v>TOBOSSE</v>
          </cell>
          <cell r="E1184">
            <v>70997186</v>
          </cell>
          <cell r="F1184" t="str">
            <v>2G</v>
          </cell>
          <cell r="G1184"/>
          <cell r="H1184"/>
          <cell r="I1184"/>
          <cell r="J1184"/>
          <cell r="K1184"/>
          <cell r="L1184"/>
          <cell r="M1184"/>
        </row>
        <row r="1185">
          <cell r="A1185" t="str">
            <v>SSV</v>
          </cell>
          <cell r="B1185"/>
          <cell r="C1185" t="str">
            <v>PLATEAUX</v>
          </cell>
          <cell r="D1185" t="str">
            <v>TOBOSSE</v>
          </cell>
          <cell r="E1185" t="str">
            <v>70997186</v>
          </cell>
          <cell r="F1185" t="str">
            <v>Android</v>
          </cell>
          <cell r="G1185"/>
          <cell r="H1185"/>
          <cell r="I1185"/>
          <cell r="J1185"/>
          <cell r="K1185"/>
          <cell r="L1185"/>
          <cell r="M1185"/>
        </row>
        <row r="1186">
          <cell r="A1186" t="str">
            <v>3SCA</v>
          </cell>
          <cell r="B1186"/>
          <cell r="C1186" t="str">
            <v>LOME</v>
          </cell>
          <cell r="D1186" t="str">
            <v>TODMAN</v>
          </cell>
          <cell r="E1186">
            <v>70996538</v>
          </cell>
          <cell r="F1186" t="str">
            <v>2G</v>
          </cell>
          <cell r="G1186"/>
          <cell r="H1186"/>
          <cell r="I1186"/>
          <cell r="J1186"/>
          <cell r="K1186"/>
          <cell r="L1186"/>
          <cell r="M1186"/>
        </row>
        <row r="1187">
          <cell r="A1187" t="str">
            <v>3SCA</v>
          </cell>
          <cell r="B1187" t="str">
            <v>LOM-026</v>
          </cell>
          <cell r="C1187" t="str">
            <v>LOME</v>
          </cell>
          <cell r="D1187" t="str">
            <v>TOGBLE 1</v>
          </cell>
          <cell r="E1187">
            <v>70997187</v>
          </cell>
          <cell r="F1187" t="str">
            <v>2G</v>
          </cell>
          <cell r="G1187"/>
          <cell r="H1187"/>
          <cell r="I1187"/>
          <cell r="J1187"/>
          <cell r="K1187"/>
          <cell r="L1187"/>
          <cell r="M1187"/>
        </row>
        <row r="1188">
          <cell r="A1188" t="str">
            <v>MRG</v>
          </cell>
          <cell r="B1188" t="str">
            <v>LOM-256</v>
          </cell>
          <cell r="C1188" t="str">
            <v>LOME</v>
          </cell>
          <cell r="D1188" t="str">
            <v>TOGBLEKOPE 2</v>
          </cell>
          <cell r="E1188">
            <v>70997188</v>
          </cell>
          <cell r="F1188" t="str">
            <v>2G</v>
          </cell>
          <cell r="G1188"/>
          <cell r="H1188"/>
          <cell r="I1188"/>
          <cell r="J1188"/>
          <cell r="K1188"/>
          <cell r="L1188"/>
          <cell r="M1188"/>
        </row>
        <row r="1189">
          <cell r="A1189" t="str">
            <v>MRG</v>
          </cell>
          <cell r="B1189" t="str">
            <v>LOM-290</v>
          </cell>
          <cell r="C1189" t="str">
            <v>LOME</v>
          </cell>
          <cell r="D1189" t="str">
            <v>TOGBLEKOPE 3</v>
          </cell>
          <cell r="E1189">
            <v>70996496</v>
          </cell>
          <cell r="F1189" t="str">
            <v>2G</v>
          </cell>
          <cell r="G1189"/>
          <cell r="H1189"/>
          <cell r="I1189"/>
          <cell r="J1189"/>
          <cell r="K1189"/>
          <cell r="L1189"/>
          <cell r="M1189"/>
        </row>
        <row r="1190">
          <cell r="A1190" t="str">
            <v>EASY CONCEPT</v>
          </cell>
          <cell r="B1190" t="str">
            <v>LOM-102</v>
          </cell>
          <cell r="C1190" t="str">
            <v>LOME</v>
          </cell>
          <cell r="D1190" t="str">
            <v>TOGO 2000</v>
          </cell>
          <cell r="E1190">
            <v>70996444</v>
          </cell>
          <cell r="F1190" t="str">
            <v>2G</v>
          </cell>
          <cell r="G1190"/>
          <cell r="H1190"/>
          <cell r="I1190"/>
          <cell r="J1190"/>
          <cell r="K1190"/>
          <cell r="L1190"/>
          <cell r="M1190"/>
        </row>
        <row r="1191">
          <cell r="A1191" t="str">
            <v>3SCA</v>
          </cell>
          <cell r="B1191" t="str">
            <v>LOM-110</v>
          </cell>
          <cell r="C1191" t="str">
            <v>LOME</v>
          </cell>
          <cell r="D1191" t="str">
            <v>TOGO 3000</v>
          </cell>
          <cell r="E1191">
            <v>70997189</v>
          </cell>
          <cell r="F1191" t="str">
            <v>2G</v>
          </cell>
          <cell r="G1191"/>
          <cell r="H1191"/>
          <cell r="I1191"/>
          <cell r="J1191"/>
          <cell r="K1191"/>
          <cell r="L1191"/>
          <cell r="M1191"/>
        </row>
        <row r="1192">
          <cell r="A1192" t="str">
            <v>3SCA</v>
          </cell>
          <cell r="B1192"/>
          <cell r="C1192" t="str">
            <v>MARITIME</v>
          </cell>
          <cell r="D1192" t="str">
            <v>Togokomé</v>
          </cell>
          <cell r="E1192">
            <v>70997190</v>
          </cell>
          <cell r="F1192" t="str">
            <v>2G</v>
          </cell>
          <cell r="G1192"/>
          <cell r="H1192"/>
          <cell r="I1192"/>
          <cell r="J1192"/>
          <cell r="K1192"/>
          <cell r="L1192"/>
          <cell r="M1192"/>
        </row>
        <row r="1193">
          <cell r="A1193" t="str">
            <v>3SCA</v>
          </cell>
          <cell r="B1193" t="str">
            <v>MAR-091</v>
          </cell>
          <cell r="C1193" t="str">
            <v>MARITIME</v>
          </cell>
          <cell r="D1193" t="str">
            <v>TOGOVILLE</v>
          </cell>
          <cell r="E1193">
            <v>70997191</v>
          </cell>
          <cell r="F1193" t="str">
            <v>2G</v>
          </cell>
          <cell r="G1193"/>
          <cell r="H1193"/>
          <cell r="I1193"/>
          <cell r="J1193"/>
          <cell r="K1193"/>
          <cell r="L1193"/>
          <cell r="M1193"/>
        </row>
        <row r="1194">
          <cell r="A1194" t="str">
            <v>MRG</v>
          </cell>
          <cell r="B1194" t="str">
            <v>PLA-114</v>
          </cell>
          <cell r="C1194" t="str">
            <v>PLATEAUX</v>
          </cell>
          <cell r="D1194" t="str">
            <v>TOHOUN</v>
          </cell>
          <cell r="E1194">
            <v>70997192</v>
          </cell>
          <cell r="F1194" t="str">
            <v>2G</v>
          </cell>
          <cell r="G1194"/>
          <cell r="H1194"/>
          <cell r="I1194"/>
          <cell r="J1194"/>
          <cell r="K1194"/>
          <cell r="L1194"/>
          <cell r="M1194"/>
        </row>
        <row r="1195">
          <cell r="A1195" t="str">
            <v>MRG</v>
          </cell>
          <cell r="B1195" t="str">
            <v>PLA-142</v>
          </cell>
          <cell r="C1195" t="str">
            <v>PLATEAUX</v>
          </cell>
          <cell r="D1195" t="str">
            <v>TOHOUN DOUANE</v>
          </cell>
          <cell r="E1195">
            <v>70997193</v>
          </cell>
          <cell r="F1195" t="str">
            <v>2G</v>
          </cell>
          <cell r="G1195"/>
          <cell r="H1195"/>
          <cell r="I1195"/>
          <cell r="J1195"/>
          <cell r="K1195"/>
          <cell r="L1195"/>
          <cell r="M1195"/>
        </row>
        <row r="1196">
          <cell r="A1196" t="str">
            <v>MRG</v>
          </cell>
          <cell r="B1196"/>
          <cell r="C1196" t="str">
            <v>MARITIME</v>
          </cell>
          <cell r="D1196" t="str">
            <v>TOKO</v>
          </cell>
          <cell r="E1196" t="str">
            <v>70997194</v>
          </cell>
          <cell r="F1196" t="str">
            <v>Android</v>
          </cell>
          <cell r="G1196"/>
          <cell r="H1196"/>
          <cell r="I1196"/>
          <cell r="J1196"/>
          <cell r="K1196"/>
          <cell r="L1196"/>
          <cell r="M1196"/>
        </row>
        <row r="1197">
          <cell r="A1197" t="str">
            <v>MRG</v>
          </cell>
          <cell r="B1197" t="str">
            <v>KAR-007</v>
          </cell>
          <cell r="C1197" t="str">
            <v>KARA</v>
          </cell>
          <cell r="D1197" t="str">
            <v>TOMDE1</v>
          </cell>
          <cell r="E1197">
            <v>70997196</v>
          </cell>
          <cell r="F1197" t="str">
            <v>2G</v>
          </cell>
          <cell r="G1197"/>
          <cell r="H1197"/>
          <cell r="I1197"/>
          <cell r="J1197"/>
          <cell r="K1197"/>
          <cell r="L1197"/>
          <cell r="M1197"/>
        </row>
        <row r="1198">
          <cell r="A1198" t="str">
            <v>3SCA</v>
          </cell>
          <cell r="B1198" t="str">
            <v>KAR-008</v>
          </cell>
          <cell r="C1198" t="str">
            <v>KARA</v>
          </cell>
          <cell r="D1198" t="str">
            <v>TOMDE2</v>
          </cell>
          <cell r="E1198">
            <v>70997197</v>
          </cell>
          <cell r="F1198" t="str">
            <v>2G</v>
          </cell>
          <cell r="G1198"/>
          <cell r="H1198"/>
          <cell r="I1198"/>
          <cell r="J1198"/>
          <cell r="K1198"/>
          <cell r="L1198"/>
          <cell r="M1198"/>
        </row>
        <row r="1199">
          <cell r="A1199" t="str">
            <v>MRG</v>
          </cell>
          <cell r="B1199" t="str">
            <v>PLA-121</v>
          </cell>
          <cell r="C1199" t="str">
            <v>PLATEAUX</v>
          </cell>
          <cell r="D1199" t="str">
            <v>TOMEGBE</v>
          </cell>
          <cell r="E1199">
            <v>70997198</v>
          </cell>
          <cell r="F1199" t="str">
            <v>Android</v>
          </cell>
          <cell r="G1199"/>
          <cell r="H1199"/>
          <cell r="I1199"/>
          <cell r="J1199"/>
          <cell r="K1199"/>
          <cell r="L1199"/>
          <cell r="M1199"/>
        </row>
        <row r="1200">
          <cell r="A1200" t="str">
            <v>MRG</v>
          </cell>
          <cell r="B1200" t="str">
            <v>MAR-049</v>
          </cell>
          <cell r="C1200" t="str">
            <v>MARITIME</v>
          </cell>
          <cell r="D1200" t="str">
            <v>TOMETI</v>
          </cell>
          <cell r="E1200">
            <v>70997199</v>
          </cell>
          <cell r="F1200" t="str">
            <v>2G</v>
          </cell>
          <cell r="G1200"/>
          <cell r="H1200"/>
          <cell r="I1200"/>
          <cell r="J1200"/>
          <cell r="K1200"/>
          <cell r="L1200"/>
          <cell r="M1200"/>
        </row>
        <row r="1201">
          <cell r="A1201" t="str">
            <v>MRG</v>
          </cell>
          <cell r="B1201" t="str">
            <v>SAV-082</v>
          </cell>
          <cell r="C1201" t="str">
            <v>SAVANES</v>
          </cell>
          <cell r="D1201" t="str">
            <v>TONTONDJI</v>
          </cell>
          <cell r="E1201">
            <v>70997200</v>
          </cell>
          <cell r="F1201" t="str">
            <v>Android</v>
          </cell>
          <cell r="G1201"/>
          <cell r="H1201"/>
          <cell r="I1201"/>
          <cell r="J1201"/>
          <cell r="K1201"/>
          <cell r="L1201"/>
          <cell r="M1201"/>
        </row>
        <row r="1202">
          <cell r="A1202" t="str">
            <v>MRG</v>
          </cell>
          <cell r="B1202" t="str">
            <v>LOM-074</v>
          </cell>
          <cell r="C1202" t="str">
            <v>LOME</v>
          </cell>
          <cell r="D1202" t="str">
            <v>TOTSI</v>
          </cell>
          <cell r="E1202">
            <v>70997201</v>
          </cell>
          <cell r="F1202" t="str">
            <v>2G</v>
          </cell>
          <cell r="G1202"/>
          <cell r="H1202"/>
          <cell r="I1202"/>
          <cell r="J1202"/>
          <cell r="K1202"/>
          <cell r="L1202"/>
          <cell r="M1202"/>
        </row>
        <row r="1203">
          <cell r="A1203" t="str">
            <v>MRG</v>
          </cell>
          <cell r="B1203" t="str">
            <v>LOM-080</v>
          </cell>
          <cell r="C1203" t="str">
            <v>LOME</v>
          </cell>
          <cell r="D1203" t="str">
            <v>TOTSI 2</v>
          </cell>
          <cell r="E1203">
            <v>70997202</v>
          </cell>
          <cell r="F1203" t="str">
            <v>2G</v>
          </cell>
          <cell r="G1203"/>
          <cell r="H1203"/>
          <cell r="I1203"/>
          <cell r="J1203"/>
          <cell r="K1203"/>
          <cell r="L1203"/>
          <cell r="M1203"/>
        </row>
        <row r="1204">
          <cell r="A1204" t="str">
            <v>3SCA</v>
          </cell>
          <cell r="B1204" t="str">
            <v>PLA-023</v>
          </cell>
          <cell r="C1204" t="str">
            <v>PLATEAUX</v>
          </cell>
          <cell r="D1204" t="str">
            <v>TOVE ATI</v>
          </cell>
          <cell r="E1204">
            <v>70997203</v>
          </cell>
          <cell r="F1204" t="str">
            <v>2G</v>
          </cell>
          <cell r="G1204"/>
          <cell r="H1204"/>
          <cell r="I1204"/>
          <cell r="J1204"/>
          <cell r="K1204"/>
          <cell r="L1204"/>
          <cell r="M1204"/>
        </row>
        <row r="1205">
          <cell r="A1205" t="str">
            <v>MRG</v>
          </cell>
          <cell r="B1205" t="str">
            <v>MAR-059</v>
          </cell>
          <cell r="C1205" t="str">
            <v>MARITIME</v>
          </cell>
          <cell r="D1205" t="str">
            <v>TOVEGAN</v>
          </cell>
          <cell r="E1205">
            <v>70997204</v>
          </cell>
          <cell r="F1205" t="str">
            <v>Android</v>
          </cell>
          <cell r="G1205"/>
          <cell r="H1205"/>
          <cell r="I1205"/>
          <cell r="J1205"/>
          <cell r="K1205"/>
          <cell r="L1205"/>
          <cell r="M1205"/>
        </row>
        <row r="1206">
          <cell r="B1206" t="str">
            <v>PLA-148</v>
          </cell>
          <cell r="C1206" t="str">
            <v>PLATEAUX</v>
          </cell>
          <cell r="D1206" t="str">
            <v>TSAVANYA</v>
          </cell>
          <cell r="E1206">
            <v>70997205</v>
          </cell>
          <cell r="F1206" t="str">
            <v>2G</v>
          </cell>
        </row>
        <row r="1207">
          <cell r="B1207" t="str">
            <v>PLA-065</v>
          </cell>
          <cell r="C1207" t="str">
            <v>PLATEAUX</v>
          </cell>
          <cell r="D1207" t="str">
            <v>TSEKO</v>
          </cell>
          <cell r="E1207">
            <v>70997206</v>
          </cell>
          <cell r="F1207" t="str">
            <v>2G</v>
          </cell>
        </row>
        <row r="1208">
          <cell r="B1208" t="str">
            <v>MAR-043</v>
          </cell>
          <cell r="C1208" t="str">
            <v>MARITIME</v>
          </cell>
          <cell r="D1208" t="str">
            <v>TSEKPO</v>
          </cell>
          <cell r="E1208">
            <v>70997207</v>
          </cell>
          <cell r="F1208" t="str">
            <v>2G</v>
          </cell>
        </row>
        <row r="1209">
          <cell r="B1209" t="str">
            <v>MAR-008</v>
          </cell>
          <cell r="C1209" t="str">
            <v>MARITIME</v>
          </cell>
          <cell r="D1209" t="str">
            <v>TSEVIE</v>
          </cell>
          <cell r="E1209">
            <v>70997208</v>
          </cell>
          <cell r="F1209" t="str">
            <v>2G</v>
          </cell>
        </row>
        <row r="1210">
          <cell r="B1210" t="str">
            <v>MAR-149</v>
          </cell>
          <cell r="C1210" t="str">
            <v>MARITIME</v>
          </cell>
          <cell r="D1210" t="str">
            <v>TSEVIE 3</v>
          </cell>
          <cell r="E1210">
            <v>70997335</v>
          </cell>
          <cell r="F1210" t="str">
            <v>2G</v>
          </cell>
        </row>
        <row r="1211">
          <cell r="C1211" t="str">
            <v>MARITIME</v>
          </cell>
          <cell r="D1211" t="str">
            <v>TSEVIE 7</v>
          </cell>
          <cell r="E1211">
            <v>70997209</v>
          </cell>
          <cell r="F1211" t="str">
            <v>2G</v>
          </cell>
        </row>
        <row r="1212">
          <cell r="B1212" t="str">
            <v>MAR-140</v>
          </cell>
          <cell r="C1212" t="str">
            <v>MARITIME</v>
          </cell>
          <cell r="D1212" t="str">
            <v>TSEVIE BOLOUMODJI</v>
          </cell>
          <cell r="E1212">
            <v>70996417</v>
          </cell>
          <cell r="F1212" t="str">
            <v>2G</v>
          </cell>
        </row>
        <row r="1213">
          <cell r="B1213" t="str">
            <v>MAR-088</v>
          </cell>
          <cell r="C1213" t="str">
            <v>MARITIME</v>
          </cell>
          <cell r="D1213" t="str">
            <v>Tsévié Wugba</v>
          </cell>
          <cell r="E1213">
            <v>70996445</v>
          </cell>
          <cell r="F1213" t="str">
            <v>2G</v>
          </cell>
        </row>
        <row r="1214">
          <cell r="B1214" t="str">
            <v>MAR-010</v>
          </cell>
          <cell r="C1214" t="str">
            <v>MARITIME</v>
          </cell>
          <cell r="D1214" t="str">
            <v>TSEVIE-KPALI</v>
          </cell>
          <cell r="E1214">
            <v>70997210</v>
          </cell>
          <cell r="F1214" t="str">
            <v>2G</v>
          </cell>
        </row>
        <row r="1215">
          <cell r="B1215" t="str">
            <v>LOM-160</v>
          </cell>
          <cell r="C1215" t="str">
            <v>LOME</v>
          </cell>
          <cell r="D1215" t="str">
            <v>TVT</v>
          </cell>
          <cell r="E1215">
            <v>70997211</v>
          </cell>
          <cell r="F1215" t="str">
            <v>2G</v>
          </cell>
        </row>
        <row r="1216">
          <cell r="B1216" t="str">
            <v>LOM-117</v>
          </cell>
          <cell r="C1216" t="str">
            <v>LOME</v>
          </cell>
          <cell r="D1216" t="str">
            <v>UNIVERSITE</v>
          </cell>
          <cell r="E1216">
            <v>70996446</v>
          </cell>
          <cell r="F1216" t="str">
            <v>2G</v>
          </cell>
        </row>
        <row r="1217">
          <cell r="C1217" t="str">
            <v>KARA</v>
          </cell>
          <cell r="D1217" t="str">
            <v>UNIVERSITE KARA</v>
          </cell>
          <cell r="E1217">
            <v>70997308</v>
          </cell>
          <cell r="F1217" t="str">
            <v>2G</v>
          </cell>
        </row>
        <row r="1218">
          <cell r="B1218" t="str">
            <v>LOM-061</v>
          </cell>
          <cell r="C1218" t="str">
            <v>LOME</v>
          </cell>
          <cell r="D1218" t="str">
            <v>VAKPOSSITO</v>
          </cell>
          <cell r="E1218">
            <v>70997212</v>
          </cell>
          <cell r="F1218" t="str">
            <v>2G</v>
          </cell>
        </row>
        <row r="1219">
          <cell r="B1219" t="str">
            <v>PLA-161</v>
          </cell>
          <cell r="C1219" t="str">
            <v>PLATEAUX</v>
          </cell>
          <cell r="D1219" t="str">
            <v>VHE</v>
          </cell>
          <cell r="E1219">
            <v>70997213</v>
          </cell>
          <cell r="F1219" t="str">
            <v>2G</v>
          </cell>
        </row>
        <row r="1220">
          <cell r="B1220" t="str">
            <v>MAR-030</v>
          </cell>
          <cell r="C1220" t="str">
            <v>MARITIME</v>
          </cell>
          <cell r="D1220" t="str">
            <v>VOGAN</v>
          </cell>
          <cell r="E1220">
            <v>70997214</v>
          </cell>
          <cell r="F1220" t="str">
            <v>2G</v>
          </cell>
        </row>
        <row r="1221">
          <cell r="B1221" t="str">
            <v>MAR-031</v>
          </cell>
          <cell r="C1221" t="str">
            <v>MARITIME</v>
          </cell>
          <cell r="D1221" t="str">
            <v>VOGAN-AGBOPE</v>
          </cell>
          <cell r="E1221">
            <v>70997215</v>
          </cell>
          <cell r="F1221" t="str">
            <v>2G</v>
          </cell>
        </row>
        <row r="1222">
          <cell r="B1222" t="str">
            <v>PLA-095</v>
          </cell>
          <cell r="C1222" t="str">
            <v>PLATEAUX</v>
          </cell>
          <cell r="D1222" t="str">
            <v>WADANYI</v>
          </cell>
          <cell r="E1222">
            <v>70997217</v>
          </cell>
          <cell r="F1222" t="str">
            <v>2G</v>
          </cell>
        </row>
        <row r="1223">
          <cell r="B1223" t="str">
            <v>PLA-132</v>
          </cell>
          <cell r="C1223" t="str">
            <v>PLATEAUX</v>
          </cell>
          <cell r="D1223" t="str">
            <v>WAHALA1</v>
          </cell>
          <cell r="E1223">
            <v>70997218</v>
          </cell>
          <cell r="F1223" t="str">
            <v>2G</v>
          </cell>
        </row>
        <row r="1224">
          <cell r="B1224" t="str">
            <v>PLA-133</v>
          </cell>
          <cell r="C1224" t="str">
            <v>PLATEAUX</v>
          </cell>
          <cell r="D1224" t="str">
            <v>WAHALA-LAHE</v>
          </cell>
          <cell r="E1224">
            <v>70997219</v>
          </cell>
          <cell r="F1224" t="str">
            <v>2G</v>
          </cell>
        </row>
        <row r="1225">
          <cell r="B1225" t="str">
            <v>CEN-068</v>
          </cell>
          <cell r="C1225" t="str">
            <v>CENTRALE</v>
          </cell>
          <cell r="D1225" t="str">
            <v>WARAGNI</v>
          </cell>
          <cell r="E1225">
            <v>70997220</v>
          </cell>
          <cell r="F1225" t="str">
            <v>2G</v>
          </cell>
        </row>
        <row r="1226">
          <cell r="B1226" t="str">
            <v>SAV-093</v>
          </cell>
          <cell r="C1226" t="str">
            <v>SAVANES</v>
          </cell>
          <cell r="D1226" t="str">
            <v>Warkambou centre</v>
          </cell>
          <cell r="E1226">
            <v>70996497</v>
          </cell>
          <cell r="F1226" t="str">
            <v>2G</v>
          </cell>
        </row>
        <row r="1227">
          <cell r="B1227"/>
          <cell r="C1227" t="str">
            <v>CENTRALE</v>
          </cell>
          <cell r="D1227" t="str">
            <v>WASSARABO</v>
          </cell>
          <cell r="E1227" t="str">
            <v>70997221</v>
          </cell>
          <cell r="F1227" t="str">
            <v>Android</v>
          </cell>
        </row>
        <row r="1228">
          <cell r="B1228" t="str">
            <v>LOM-255</v>
          </cell>
          <cell r="C1228" t="str">
            <v>LOME</v>
          </cell>
          <cell r="D1228" t="str">
            <v>WELL CITY</v>
          </cell>
          <cell r="E1228">
            <v>70997222</v>
          </cell>
          <cell r="F1228" t="str">
            <v>2G</v>
          </cell>
        </row>
        <row r="1229">
          <cell r="B1229"/>
          <cell r="C1229" t="str">
            <v>CENTRALE</v>
          </cell>
          <cell r="D1229" t="str">
            <v>WELLY</v>
          </cell>
          <cell r="E1229" t="str">
            <v>70997223</v>
          </cell>
          <cell r="F1229" t="str">
            <v>Android</v>
          </cell>
        </row>
        <row r="1230">
          <cell r="B1230" t="str">
            <v>LOM-075</v>
          </cell>
          <cell r="C1230" t="str">
            <v>LOME</v>
          </cell>
          <cell r="D1230" t="str">
            <v>WESSOME</v>
          </cell>
          <cell r="E1230">
            <v>70997224</v>
          </cell>
          <cell r="F1230" t="str">
            <v>2G</v>
          </cell>
        </row>
        <row r="1231">
          <cell r="B1231" t="str">
            <v>CEN-120</v>
          </cell>
          <cell r="C1231" t="str">
            <v>CENTRALE</v>
          </cell>
          <cell r="D1231" t="str">
            <v>WISSAN</v>
          </cell>
          <cell r="E1231">
            <v>70997257</v>
          </cell>
          <cell r="F1231" t="str">
            <v>2G</v>
          </cell>
        </row>
        <row r="1232">
          <cell r="B1232"/>
          <cell r="C1232" t="str">
            <v>MARITIME</v>
          </cell>
          <cell r="D1232" t="str">
            <v>WLI</v>
          </cell>
          <cell r="E1232">
            <v>70997337</v>
          </cell>
          <cell r="F1232" t="str">
            <v>Android</v>
          </cell>
        </row>
        <row r="1233">
          <cell r="B1233" t="str">
            <v>SAV-096</v>
          </cell>
          <cell r="C1233" t="str">
            <v>SAVANES</v>
          </cell>
          <cell r="D1233" t="str">
            <v>Wogou</v>
          </cell>
          <cell r="E1233">
            <v>70996498</v>
          </cell>
          <cell r="F1233" t="str">
            <v>2G</v>
          </cell>
        </row>
        <row r="1234">
          <cell r="C1234" t="str">
            <v>CENTRALE</v>
          </cell>
          <cell r="D1234" t="str">
            <v>WOLADE</v>
          </cell>
          <cell r="E1234">
            <v>70997289</v>
          </cell>
          <cell r="F1234" t="str">
            <v>2G</v>
          </cell>
        </row>
        <row r="1235">
          <cell r="B1235" t="str">
            <v>MAR-069</v>
          </cell>
          <cell r="C1235" t="str">
            <v>MARITIME</v>
          </cell>
          <cell r="D1235" t="str">
            <v>WONOUGBA</v>
          </cell>
          <cell r="E1235">
            <v>70997225</v>
          </cell>
          <cell r="F1235" t="str">
            <v>Android</v>
          </cell>
        </row>
        <row r="1236">
          <cell r="B1236" t="str">
            <v>LOM-229</v>
          </cell>
          <cell r="C1236" t="str">
            <v>LOME</v>
          </cell>
          <cell r="D1236" t="str">
            <v>WONYOME</v>
          </cell>
          <cell r="E1236">
            <v>70997226</v>
          </cell>
          <cell r="F1236" t="str">
            <v>2G</v>
          </cell>
        </row>
        <row r="1237">
          <cell r="B1237" t="str">
            <v>SAV-009</v>
          </cell>
          <cell r="C1237" t="str">
            <v>SAVANES</v>
          </cell>
          <cell r="D1237" t="str">
            <v>WORGOU</v>
          </cell>
          <cell r="E1237">
            <v>70997227</v>
          </cell>
          <cell r="F1237" t="str">
            <v>2G</v>
          </cell>
        </row>
        <row r="1238">
          <cell r="B1238" t="str">
            <v>LOM-288</v>
          </cell>
          <cell r="C1238" t="str">
            <v>MARITIME</v>
          </cell>
          <cell r="D1238" t="str">
            <v>Wougomédékpo</v>
          </cell>
          <cell r="E1238">
            <v>70996499</v>
          </cell>
          <cell r="F1238" t="str">
            <v>2G</v>
          </cell>
        </row>
        <row r="1239">
          <cell r="B1239" t="str">
            <v>KAR-137</v>
          </cell>
          <cell r="C1239" t="str">
            <v>KARA</v>
          </cell>
          <cell r="D1239" t="str">
            <v>YAKA</v>
          </cell>
          <cell r="E1239">
            <v>70996500</v>
          </cell>
          <cell r="F1239" t="str">
            <v>2G</v>
          </cell>
        </row>
        <row r="1240">
          <cell r="B1240" t="str">
            <v>KAR-092</v>
          </cell>
          <cell r="C1240" t="str">
            <v>KARA</v>
          </cell>
          <cell r="D1240" t="str">
            <v>YAKEDJI</v>
          </cell>
          <cell r="E1240">
            <v>70997229</v>
          </cell>
          <cell r="F1240" t="str">
            <v>Android</v>
          </cell>
        </row>
        <row r="1241">
          <cell r="B1241" t="str">
            <v>KAR-097</v>
          </cell>
          <cell r="C1241" t="str">
            <v>KARA</v>
          </cell>
          <cell r="D1241" t="str">
            <v>YAKLE</v>
          </cell>
          <cell r="E1241">
            <v>70997230</v>
          </cell>
          <cell r="F1241" t="str">
            <v>Android</v>
          </cell>
        </row>
        <row r="1242">
          <cell r="B1242" t="str">
            <v>CEN-069</v>
          </cell>
          <cell r="C1242" t="str">
            <v>CENTRALE</v>
          </cell>
          <cell r="D1242" t="str">
            <v>YALOUMBE</v>
          </cell>
          <cell r="E1242">
            <v>70997231</v>
          </cell>
          <cell r="F1242" t="str">
            <v>2G</v>
          </cell>
        </row>
        <row r="1243">
          <cell r="B1243" t="str">
            <v>PLA-038</v>
          </cell>
          <cell r="C1243" t="str">
            <v>PLATEAUX</v>
          </cell>
          <cell r="D1243" t="str">
            <v>YANDA</v>
          </cell>
          <cell r="E1243">
            <v>70997232</v>
          </cell>
          <cell r="F1243" t="str">
            <v>Android</v>
          </cell>
        </row>
        <row r="1244">
          <cell r="B1244" t="str">
            <v>CEN-078</v>
          </cell>
          <cell r="C1244" t="str">
            <v>CENTRALE</v>
          </cell>
          <cell r="D1244" t="str">
            <v>YEGUE</v>
          </cell>
          <cell r="E1244">
            <v>70997233</v>
          </cell>
          <cell r="F1244" t="str">
            <v>Android</v>
          </cell>
        </row>
        <row r="1245">
          <cell r="B1245" t="str">
            <v>SAV-020</v>
          </cell>
          <cell r="C1245" t="str">
            <v>SAVANES</v>
          </cell>
          <cell r="D1245" t="str">
            <v>YEMBOUATE</v>
          </cell>
          <cell r="E1245">
            <v>70997234</v>
          </cell>
          <cell r="F1245" t="str">
            <v>Android</v>
          </cell>
        </row>
        <row r="1246">
          <cell r="B1246" t="str">
            <v>MAR-142</v>
          </cell>
          <cell r="C1246" t="str">
            <v>MARITIME</v>
          </cell>
          <cell r="D1246" t="str">
            <v>YOBO</v>
          </cell>
          <cell r="E1246">
            <v>70996424</v>
          </cell>
          <cell r="F1246" t="str">
            <v>Android</v>
          </cell>
        </row>
        <row r="1247">
          <cell r="B1247" t="str">
            <v>LOM-081</v>
          </cell>
          <cell r="C1247" t="str">
            <v>LOME</v>
          </cell>
          <cell r="D1247" t="str">
            <v>YOKOE</v>
          </cell>
          <cell r="E1247">
            <v>70997236</v>
          </cell>
          <cell r="F1247" t="str">
            <v>2G</v>
          </cell>
        </row>
        <row r="1248">
          <cell r="B1248" t="str">
            <v>LOM-315</v>
          </cell>
          <cell r="C1248" t="str">
            <v>LOME</v>
          </cell>
          <cell r="D1248" t="str">
            <v>YOKOE KOPEGAN</v>
          </cell>
          <cell r="E1248">
            <v>70996425</v>
          </cell>
          <cell r="F1248" t="str">
            <v>2G</v>
          </cell>
        </row>
        <row r="1249">
          <cell r="B1249" t="str">
            <v>CEN-064</v>
          </cell>
          <cell r="C1249" t="str">
            <v>CENTRALE</v>
          </cell>
          <cell r="D1249" t="str">
            <v>YOLOUM</v>
          </cell>
          <cell r="E1249">
            <v>70997237</v>
          </cell>
          <cell r="F1249" t="str">
            <v>2G</v>
          </cell>
        </row>
        <row r="1250">
          <cell r="B1250" t="str">
            <v>MAR-001</v>
          </cell>
          <cell r="C1250" t="str">
            <v>MARITIME</v>
          </cell>
          <cell r="D1250" t="str">
            <v>YOTO-KOPE</v>
          </cell>
          <cell r="E1250">
            <v>70997238</v>
          </cell>
          <cell r="F1250" t="str">
            <v>2G</v>
          </cell>
        </row>
        <row r="1251">
          <cell r="B1251" t="str">
            <v>MAR-082</v>
          </cell>
          <cell r="C1251" t="str">
            <v>MARITIME</v>
          </cell>
          <cell r="D1251" t="str">
            <v>ZAFI</v>
          </cell>
          <cell r="E1251">
            <v>70997239</v>
          </cell>
          <cell r="F1251" t="str">
            <v>Android</v>
          </cell>
        </row>
        <row r="1252">
          <cell r="B1252" t="str">
            <v>LOM-062</v>
          </cell>
          <cell r="C1252" t="str">
            <v>LOME</v>
          </cell>
          <cell r="D1252" t="str">
            <v>ZANGUERA 1</v>
          </cell>
          <cell r="E1252">
            <v>70996447</v>
          </cell>
          <cell r="F1252" t="str">
            <v>2G</v>
          </cell>
        </row>
        <row r="1253">
          <cell r="B1253" t="str">
            <v>LOM-053</v>
          </cell>
          <cell r="C1253" t="str">
            <v>LOME</v>
          </cell>
          <cell r="D1253" t="str">
            <v>ZANGUERA 2</v>
          </cell>
          <cell r="E1253">
            <v>70997240</v>
          </cell>
          <cell r="F1253" t="str">
            <v>2G</v>
          </cell>
        </row>
        <row r="1254">
          <cell r="B1254" t="str">
            <v>LOM-280</v>
          </cell>
          <cell r="C1254" t="str">
            <v>LOME</v>
          </cell>
          <cell r="D1254" t="str">
            <v>ZANGUERA 3</v>
          </cell>
          <cell r="E1254">
            <v>70996418</v>
          </cell>
          <cell r="F1254" t="str">
            <v>2G</v>
          </cell>
        </row>
        <row r="1255">
          <cell r="B1255" t="str">
            <v>LOM-055</v>
          </cell>
          <cell r="C1255" t="str">
            <v>LOME</v>
          </cell>
          <cell r="D1255" t="str">
            <v>ZANGUERA PEAGE</v>
          </cell>
          <cell r="E1255">
            <v>70997241</v>
          </cell>
          <cell r="F1255" t="str">
            <v>2G</v>
          </cell>
        </row>
        <row r="1256">
          <cell r="B1256" t="str">
            <v>MAR-084</v>
          </cell>
          <cell r="C1256" t="str">
            <v>MARITIME</v>
          </cell>
          <cell r="D1256" t="str">
            <v>ZEGLE</v>
          </cell>
          <cell r="E1256">
            <v>70997242</v>
          </cell>
          <cell r="F1256" t="str">
            <v>Android</v>
          </cell>
        </row>
        <row r="1257">
          <cell r="B1257" t="str">
            <v>PLA-066</v>
          </cell>
          <cell r="C1257" t="str">
            <v>PLATEAUX</v>
          </cell>
          <cell r="D1257" t="str">
            <v>ZIWONOU</v>
          </cell>
          <cell r="E1257">
            <v>70997243</v>
          </cell>
          <cell r="F1257" t="str">
            <v>2G</v>
          </cell>
        </row>
        <row r="1258">
          <cell r="B1258" t="str">
            <v>LOM-004</v>
          </cell>
          <cell r="C1258" t="str">
            <v>LOME</v>
          </cell>
          <cell r="D1258" t="str">
            <v>ZOGBEDJI</v>
          </cell>
          <cell r="E1258">
            <v>70997244</v>
          </cell>
          <cell r="F1258" t="str">
            <v>Android</v>
          </cell>
        </row>
        <row r="1259">
          <cell r="B1259" t="str">
            <v>PLA-076</v>
          </cell>
          <cell r="C1259" t="str">
            <v>PLATEAUX</v>
          </cell>
          <cell r="D1259" t="str">
            <v>ZOGBEGAN</v>
          </cell>
          <cell r="E1259">
            <v>70997245</v>
          </cell>
          <cell r="F1259" t="str">
            <v>2G</v>
          </cell>
        </row>
        <row r="1260">
          <cell r="B1260" t="str">
            <v>LOM-032</v>
          </cell>
          <cell r="C1260" t="str">
            <v>LOME</v>
          </cell>
          <cell r="D1260" t="str">
            <v>ZONGO 2</v>
          </cell>
          <cell r="E1260">
            <v>70997248</v>
          </cell>
          <cell r="F1260" t="str">
            <v>2G</v>
          </cell>
        </row>
        <row r="1261">
          <cell r="B1261" t="str">
            <v>LOM-031</v>
          </cell>
          <cell r="C1261" t="str">
            <v>LOME</v>
          </cell>
          <cell r="D1261" t="str">
            <v>ZONGO1</v>
          </cell>
          <cell r="E1261">
            <v>70997247</v>
          </cell>
          <cell r="F1261" t="str">
            <v>Android</v>
          </cell>
        </row>
        <row r="1262">
          <cell r="B1262" t="str">
            <v>MAR-071</v>
          </cell>
          <cell r="C1262" t="str">
            <v>MARITIME</v>
          </cell>
          <cell r="D1262" t="str">
            <v>ZOOTI</v>
          </cell>
          <cell r="E1262">
            <v>70997249</v>
          </cell>
          <cell r="F1262" t="str">
            <v>2G</v>
          </cell>
        </row>
        <row r="1263">
          <cell r="B1263" t="str">
            <v>LOM-317</v>
          </cell>
          <cell r="C1263" t="str">
            <v>LOME</v>
          </cell>
          <cell r="D1263" t="str">
            <v>Zopomahé</v>
          </cell>
          <cell r="E1263">
            <v>70996448</v>
          </cell>
          <cell r="F1263" t="str">
            <v>2G</v>
          </cell>
        </row>
        <row r="1264">
          <cell r="B1264" t="str">
            <v>LOM-056</v>
          </cell>
          <cell r="C1264" t="str">
            <v>LOME</v>
          </cell>
          <cell r="D1264" t="str">
            <v>ZOSSIME</v>
          </cell>
          <cell r="E1264">
            <v>70997250</v>
          </cell>
          <cell r="F1264" t="str">
            <v>2G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AH1215" totalsRowShown="0" headerRowDxfId="82" dataDxfId="81" tableBorderDxfId="80">
  <autoFilter ref="A1:AH1215" xr:uid="{00000000-0009-0000-0100-000001000000}">
    <filterColumn colId="0">
      <filters>
        <filter val="SAGBADO-ZANVI"/>
        <filter val="SOUZANETIME"/>
        <filter val="ZANGUERA1"/>
        <filter val="ZANGUERA2"/>
        <filter val="ZANGUERA3"/>
        <filter val="ZANGUERA-MOOV"/>
        <filter val="ZANGUERA-PEAGE"/>
      </filters>
    </filterColumn>
  </autoFilter>
  <tableColumns count="34">
    <tableColumn id="1" xr3:uid="{00000000-0010-0000-0000-000001000000}" name="SITES NAMES" dataDxfId="79"/>
    <tableColumn id="2" xr3:uid="{00000000-0010-0000-0000-000002000000}" name="DATE MES" dataDxfId="78"/>
    <tableColumn id="3" xr3:uid="{00000000-0010-0000-0000-000003000000}" name="SITE ID" dataDxfId="77"/>
    <tableColumn id="4" xr3:uid="{00000000-0010-0000-0000-000004000000}" name="REGION" dataDxfId="76"/>
    <tableColumn id="5" xr3:uid="{00000000-0010-0000-0000-000005000000}" name="BASE" dataDxfId="75"/>
    <tableColumn id="23" xr3:uid="{00000000-0010-0000-0000-000017000000}" name="OLT" dataDxfId="74"/>
    <tableColumn id="6" xr3:uid="{00000000-0010-0000-0000-000006000000}" name="Longitude" dataDxfId="73"/>
    <tableColumn id="7" xr3:uid="{00000000-0010-0000-0000-000007000000}" name="Latitude" dataDxfId="72"/>
    <tableColumn id="8" xr3:uid="{00000000-0010-0000-0000-000008000000}" name="CONFIG" dataDxfId="71"/>
    <tableColumn id="9" xr3:uid="{00000000-0010-0000-0000-000009000000}" name="Techno" dataDxfId="70"/>
    <tableColumn id="10" xr3:uid="{00000000-0010-0000-0000-00000A000000}" name="TYP TRANS" dataDxfId="69"/>
    <tableColumn id="26" xr3:uid="{00000000-0010-0000-0000-00001A000000}" name="Site Parent 1" dataDxfId="68"/>
    <tableColumn id="25" xr3:uid="{00000000-0010-0000-0000-000019000000}" name="Site Parent 2" dataDxfId="67"/>
    <tableColumn id="24" xr3:uid="{00000000-0010-0000-0000-000018000000}" name="TECHNOLOGIE FO" dataDxfId="66"/>
    <tableColumn id="11" xr3:uid="{00000000-0010-0000-0000-00000B000000}" name="TYP ENERGIE" dataDxfId="65"/>
    <tableColumn id="12" xr3:uid="{00000000-0010-0000-0000-00000C000000}" name="GE AUTO" dataDxfId="64">
      <calculatedColumnFormula>VLOOKUP(Tableau1[[#This Row],[SITES NAMES]],[1]Feuil1!$1:$1048576,8,FALSE)</calculatedColumnFormula>
    </tableColumn>
    <tableColumn id="13" xr3:uid="{00000000-0010-0000-0000-00000D000000}" name="SITE LITHIUM" dataDxfId="63">
      <calculatedColumnFormula>VLOOKUP(Tableau1[[#This Row],[SITES NAMES]],[1]Feuil1!$1:$1048576,9,FALSE)</calculatedColumnFormula>
    </tableColumn>
    <tableColumn id="14" xr3:uid="{00000000-0010-0000-0000-00000E000000}" name="SITE ESM" dataDxfId="62">
      <calculatedColumnFormula>VLOOKUP(Tableau1[[#This Row],[SITES NAMES]],[1]Feuil1!$1:$1048576,10,FALSE)</calculatedColumnFormula>
    </tableColumn>
    <tableColumn id="15" xr3:uid="{00000000-0010-0000-0000-00000F000000}" name="CONFIG 2G" dataDxfId="61"/>
    <tableColumn id="16" xr3:uid="{00000000-0010-0000-0000-000010000000}" name="CONFIG 3G" dataDxfId="60"/>
    <tableColumn id="17" xr3:uid="{00000000-0010-0000-0000-000011000000}" name="CONFIG 4G" dataDxfId="59"/>
    <tableColumn id="18" xr3:uid="{00000000-0010-0000-0000-000012000000}" name="CLASSIF TECH" dataDxfId="58"/>
    <tableColumn id="19" xr3:uid="{00000000-0010-0000-0000-000013000000}" name="TYPE SITE" dataDxfId="57"/>
    <tableColumn id="20" xr3:uid="{00000000-0010-0000-0000-000014000000}" name="NUMERO AGENT" dataDxfId="56"/>
    <tableColumn id="21" xr3:uid="{00000000-0010-0000-0000-000015000000}" name="Société GARDIENS " dataDxfId="55"/>
    <tableColumn id="22" xr3:uid="{00000000-0010-0000-0000-000016000000}" name="Contacts des surveillants" dataDxfId="54"/>
    <tableColumn id="28" xr3:uid="{00000000-0010-0000-0000-00001C000000}" name="Chef de Base DFO" dataDxfId="53"/>
    <tableColumn id="29" xr3:uid="{00000000-0010-0000-0000-00001D000000}" name="SRT" dataDxfId="52"/>
    <tableColumn id="30" xr3:uid="{00000000-0010-0000-0000-00001E000000}" name="Techniciens FIELD Rx Mob " dataDxfId="51"/>
    <tableColumn id="31" xr3:uid="{00000000-0010-0000-0000-00001F000000}" name="Techniciens FIELD FTTX" dataDxfId="50"/>
    <tableColumn id="32" xr3:uid="{00000000-0010-0000-0000-000020000000}" name="Responsable FO BACKBONE &amp; FTTH " dataDxfId="49"/>
    <tableColumn id="33" xr3:uid="{00000000-0010-0000-0000-000021000000}" name="Techniciens FO BACKBONE &amp; FTTH" dataDxfId="48"/>
    <tableColumn id="34" xr3:uid="{00000000-0010-0000-0000-000022000000}" name="Chef  de Base Energie" dataDxfId="47"/>
    <tableColumn id="35" xr3:uid="{00000000-0010-0000-0000-000023000000}" name="Techniciens Energie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10.179.4.98:1443/device.htm?id=4989" TargetMode="External"/><Relationship Id="rId3" Type="http://schemas.openxmlformats.org/officeDocument/2006/relationships/hyperlink" Target="https://10.179.4.98:1443/device.htm?id=12301" TargetMode="External"/><Relationship Id="rId7" Type="http://schemas.openxmlformats.org/officeDocument/2006/relationships/hyperlink" Target="https://10.179.4.98:1443/device.htm?id=4989" TargetMode="External"/><Relationship Id="rId2" Type="http://schemas.openxmlformats.org/officeDocument/2006/relationships/hyperlink" Target="https://10.179.4.98:1443/device.htm?id=10298" TargetMode="External"/><Relationship Id="rId1" Type="http://schemas.openxmlformats.org/officeDocument/2006/relationships/hyperlink" Target="https://10.179.4.98:1443/device.htm?id=4801" TargetMode="External"/><Relationship Id="rId6" Type="http://schemas.openxmlformats.org/officeDocument/2006/relationships/hyperlink" Target="https://10.179.4.98:1443/device.htm?id=4989" TargetMode="External"/><Relationship Id="rId5" Type="http://schemas.openxmlformats.org/officeDocument/2006/relationships/hyperlink" Target="https://10.179.4.98:1443/device.htm?id=4989" TargetMode="External"/><Relationship Id="rId10" Type="http://schemas.openxmlformats.org/officeDocument/2006/relationships/hyperlink" Target="https://10.179.4.98:1443/device.htm?id=4993" TargetMode="External"/><Relationship Id="rId4" Type="http://schemas.openxmlformats.org/officeDocument/2006/relationships/hyperlink" Target="https://10.179.4.98:1443/device.htm?id=6610" TargetMode="External"/><Relationship Id="rId9" Type="http://schemas.openxmlformats.org/officeDocument/2006/relationships/hyperlink" Target="https://10.179.4.98:1443/device.htm?id=66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41"/>
  <sheetViews>
    <sheetView tabSelected="1" zoomScaleNormal="100" workbookViewId="0">
      <pane ySplit="1" topLeftCell="A17" activePane="bottomLeft" state="frozen"/>
      <selection activeCell="L1" sqref="L1"/>
      <selection pane="bottomLeft" activeCell="K1224" sqref="K1224"/>
    </sheetView>
  </sheetViews>
  <sheetFormatPr baseColWidth="10" defaultColWidth="11.42578125" defaultRowHeight="15" x14ac:dyDescent="0.25"/>
  <cols>
    <col min="1" max="1" width="25.28515625" bestFit="1" customWidth="1"/>
    <col min="2" max="2" width="16" customWidth="1"/>
    <col min="4" max="4" width="11.85546875" customWidth="1"/>
    <col min="5" max="5" width="12.85546875" bestFit="1" customWidth="1"/>
    <col min="6" max="6" width="12.85546875" customWidth="1"/>
    <col min="7" max="7" width="13.85546875" bestFit="1" customWidth="1"/>
    <col min="8" max="8" width="12.28515625" bestFit="1" customWidth="1"/>
    <col min="9" max="9" width="11.85546875" bestFit="1" customWidth="1"/>
    <col min="10" max="10" width="12.28515625" bestFit="1" customWidth="1"/>
    <col min="11" max="11" width="16.85546875" bestFit="1" customWidth="1"/>
    <col min="12" max="12" width="17.7109375" customWidth="1"/>
    <col min="13" max="14" width="16.85546875" customWidth="1"/>
    <col min="15" max="15" width="19" bestFit="1" customWidth="1"/>
    <col min="16" max="16" width="14.5703125" bestFit="1" customWidth="1"/>
    <col min="17" max="17" width="18.5703125" bestFit="1" customWidth="1"/>
    <col min="18" max="18" width="14.7109375" bestFit="1" customWidth="1"/>
    <col min="19" max="20" width="14.5703125" bestFit="1" customWidth="1"/>
    <col min="21" max="21" width="17.85546875" bestFit="1" customWidth="1"/>
    <col min="22" max="22" width="16.85546875" bestFit="1" customWidth="1"/>
    <col min="23" max="23" width="13.5703125" bestFit="1" customWidth="1"/>
    <col min="24" max="24" width="22" bestFit="1" customWidth="1"/>
    <col min="25" max="25" width="20.7109375" bestFit="1" customWidth="1"/>
    <col min="26" max="26" width="32.28515625" customWidth="1"/>
    <col min="27" max="27" width="21.42578125" customWidth="1"/>
    <col min="28" max="28" width="22.7109375" customWidth="1"/>
    <col min="29" max="29" width="51.28515625" customWidth="1"/>
    <col min="30" max="30" width="16.7109375" bestFit="1" customWidth="1"/>
    <col min="31" max="31" width="17.7109375" bestFit="1" customWidth="1"/>
    <col min="32" max="32" width="26.140625" customWidth="1"/>
    <col min="33" max="33" width="20.7109375" customWidth="1"/>
    <col min="34" max="34" width="62.28515625" bestFit="1" customWidth="1"/>
  </cols>
  <sheetData>
    <row r="1" spans="1:34" ht="30" x14ac:dyDescent="0.25">
      <c r="A1" s="1" t="s">
        <v>3322</v>
      </c>
      <c r="B1" s="2" t="s">
        <v>2439</v>
      </c>
      <c r="C1" s="1" t="s">
        <v>0</v>
      </c>
      <c r="D1" s="1" t="s">
        <v>2</v>
      </c>
      <c r="E1" s="2" t="s">
        <v>2440</v>
      </c>
      <c r="F1" s="2" t="s">
        <v>3228</v>
      </c>
      <c r="G1" s="3" t="s">
        <v>2441</v>
      </c>
      <c r="H1" s="3" t="s">
        <v>2442</v>
      </c>
      <c r="I1" s="1" t="s">
        <v>2443</v>
      </c>
      <c r="J1" s="1" t="s">
        <v>2444</v>
      </c>
      <c r="K1" s="4" t="s">
        <v>2445</v>
      </c>
      <c r="L1" s="4" t="s">
        <v>3324</v>
      </c>
      <c r="M1" s="4" t="s">
        <v>3325</v>
      </c>
      <c r="N1" s="4" t="s">
        <v>3267</v>
      </c>
      <c r="O1" s="4" t="s">
        <v>2446</v>
      </c>
      <c r="P1" s="4" t="s">
        <v>2447</v>
      </c>
      <c r="Q1" s="4" t="s">
        <v>2448</v>
      </c>
      <c r="R1" s="4" t="s">
        <v>2449</v>
      </c>
      <c r="S1" s="1" t="s">
        <v>2450</v>
      </c>
      <c r="T1" s="1" t="s">
        <v>2451</v>
      </c>
      <c r="U1" s="1" t="s">
        <v>2452</v>
      </c>
      <c r="V1" s="5" t="s">
        <v>2453</v>
      </c>
      <c r="W1" s="5" t="s">
        <v>2454</v>
      </c>
      <c r="X1" s="4" t="s">
        <v>2455</v>
      </c>
      <c r="Y1" s="5" t="s">
        <v>2456</v>
      </c>
      <c r="Z1" s="5" t="s">
        <v>2457</v>
      </c>
      <c r="AA1" s="33" t="s">
        <v>3599</v>
      </c>
      <c r="AB1" s="33" t="s">
        <v>3600</v>
      </c>
      <c r="AC1" s="33" t="s">
        <v>3601</v>
      </c>
      <c r="AD1" s="33" t="s">
        <v>3602</v>
      </c>
      <c r="AE1" s="33" t="s">
        <v>3603</v>
      </c>
      <c r="AF1" s="33" t="s">
        <v>3604</v>
      </c>
      <c r="AG1" s="33" t="s">
        <v>3605</v>
      </c>
      <c r="AH1" s="34" t="s">
        <v>3606</v>
      </c>
    </row>
    <row r="2" spans="1:34" ht="14.45" hidden="1" customHeight="1" x14ac:dyDescent="0.25">
      <c r="A2" s="6" t="s">
        <v>1332</v>
      </c>
      <c r="B2" s="7">
        <v>46022</v>
      </c>
      <c r="C2" s="6" t="s">
        <v>1331</v>
      </c>
      <c r="D2" s="6" t="s">
        <v>66</v>
      </c>
      <c r="E2" s="6" t="s">
        <v>3231</v>
      </c>
      <c r="F2" s="6" t="s">
        <v>3229</v>
      </c>
      <c r="G2" s="8"/>
      <c r="H2" s="8"/>
      <c r="I2" s="6" t="e">
        <v>#N/A</v>
      </c>
      <c r="J2" s="6" t="s">
        <v>2459</v>
      </c>
      <c r="K2" s="6" t="s">
        <v>2460</v>
      </c>
      <c r="L2" s="6" t="s">
        <v>1422</v>
      </c>
      <c r="M2" s="6"/>
      <c r="N2" s="6" t="s">
        <v>3268</v>
      </c>
      <c r="O2" s="6" t="s">
        <v>7</v>
      </c>
      <c r="P2" s="6"/>
      <c r="Q2" s="6"/>
      <c r="R2" s="6"/>
      <c r="S2" s="6"/>
      <c r="T2" s="6"/>
      <c r="U2" s="6"/>
      <c r="V2" s="6"/>
      <c r="W2" s="6"/>
      <c r="X2" s="8"/>
      <c r="Y2" s="6" t="s">
        <v>3238</v>
      </c>
      <c r="Z2" s="6"/>
      <c r="AA2" s="35" t="s">
        <v>3621</v>
      </c>
      <c r="AB2" s="35" t="s">
        <v>3608</v>
      </c>
      <c r="AC2" s="35" t="s">
        <v>3622</v>
      </c>
      <c r="AD2" s="35" t="s">
        <v>3610</v>
      </c>
      <c r="AE2" s="35" t="s">
        <v>3610</v>
      </c>
      <c r="AF2" s="35" t="s">
        <v>3611</v>
      </c>
      <c r="AG2" s="35" t="s">
        <v>3612</v>
      </c>
      <c r="AH2" s="35" t="s">
        <v>3623</v>
      </c>
    </row>
    <row r="3" spans="1:34" ht="14.45" hidden="1" customHeight="1" x14ac:dyDescent="0.25">
      <c r="A3" s="6" t="s">
        <v>1851</v>
      </c>
      <c r="B3" s="7">
        <v>38200</v>
      </c>
      <c r="C3" s="6" t="s">
        <v>1850</v>
      </c>
      <c r="D3" s="6" t="s">
        <v>66</v>
      </c>
      <c r="E3" s="6" t="s">
        <v>3232</v>
      </c>
      <c r="F3" s="18" t="s">
        <v>3230</v>
      </c>
      <c r="G3" s="8">
        <v>1.2575419999999999</v>
      </c>
      <c r="H3" s="8">
        <v>6.1371126819999997</v>
      </c>
      <c r="I3" s="6" t="s">
        <v>2497</v>
      </c>
      <c r="J3" s="6" t="s">
        <v>2459</v>
      </c>
      <c r="K3" s="6" t="s">
        <v>2460</v>
      </c>
      <c r="L3" s="6" t="s">
        <v>1422</v>
      </c>
      <c r="M3" s="6" t="s">
        <v>1898</v>
      </c>
      <c r="N3" s="6" t="s">
        <v>3268</v>
      </c>
      <c r="O3" s="6" t="s">
        <v>7</v>
      </c>
      <c r="P3" s="6" t="str">
        <f>VLOOKUP(Tableau1[[#This Row],[SITES NAMES]],[1]Feuil1!$1:$1048576,8,FALSE)</f>
        <v>OK</v>
      </c>
      <c r="Q3" s="6" t="str">
        <f>VLOOKUP(Tableau1[[#This Row],[SITES NAMES]],[1]Feuil1!$1:$1048576,9,FALSE)</f>
        <v>NO</v>
      </c>
      <c r="R3" s="6" t="str">
        <f>VLOOKUP(Tableau1[[#This Row],[SITES NAMES]],[1]Feuil1!$1:$1048576,10,FALSE)</f>
        <v>NO</v>
      </c>
      <c r="S3" s="6" t="s">
        <v>2469</v>
      </c>
      <c r="T3" s="6" t="s">
        <v>2470</v>
      </c>
      <c r="U3" s="6" t="s">
        <v>2480</v>
      </c>
      <c r="V3" s="6" t="s">
        <v>2498</v>
      </c>
      <c r="W3" s="6" t="s">
        <v>2476</v>
      </c>
      <c r="X3" s="8">
        <v>70996518</v>
      </c>
      <c r="Y3" s="6" t="s">
        <v>3238</v>
      </c>
      <c r="Z3" s="6" t="s">
        <v>3262</v>
      </c>
      <c r="AA3" s="35" t="s">
        <v>3621</v>
      </c>
      <c r="AB3" s="35" t="s">
        <v>3608</v>
      </c>
      <c r="AC3" s="35" t="s">
        <v>3624</v>
      </c>
      <c r="AD3" s="35" t="s">
        <v>3610</v>
      </c>
      <c r="AE3" s="35" t="s">
        <v>3610</v>
      </c>
      <c r="AF3" s="35" t="s">
        <v>3611</v>
      </c>
      <c r="AG3" s="35" t="s">
        <v>3612</v>
      </c>
      <c r="AH3" s="35" t="s">
        <v>3625</v>
      </c>
    </row>
    <row r="4" spans="1:34" ht="14.45" hidden="1" customHeight="1" x14ac:dyDescent="0.25">
      <c r="A4" s="6" t="s">
        <v>1853</v>
      </c>
      <c r="B4" s="7">
        <v>42879</v>
      </c>
      <c r="C4" s="6" t="s">
        <v>1852</v>
      </c>
      <c r="D4" s="6" t="s">
        <v>66</v>
      </c>
      <c r="E4" s="6" t="s">
        <v>3232</v>
      </c>
      <c r="F4" s="6" t="s">
        <v>3229</v>
      </c>
      <c r="G4" s="8">
        <v>1.2299599999999999</v>
      </c>
      <c r="H4" s="8">
        <v>6.13504</v>
      </c>
      <c r="I4" s="6" t="s">
        <v>2497</v>
      </c>
      <c r="J4" s="6" t="s">
        <v>2459</v>
      </c>
      <c r="K4" s="6" t="s">
        <v>2460</v>
      </c>
      <c r="L4" s="6" t="s">
        <v>1924</v>
      </c>
      <c r="M4" s="6" t="s">
        <v>1952</v>
      </c>
      <c r="N4" s="6" t="s">
        <v>3268</v>
      </c>
      <c r="O4" s="6" t="s">
        <v>1206</v>
      </c>
      <c r="P4" s="6"/>
      <c r="Q4" s="6" t="str">
        <f>VLOOKUP(Tableau1[[#This Row],[SITES NAMES]],[1]Feuil1!$1:$1048576,9,FALSE)</f>
        <v>YES</v>
      </c>
      <c r="R4" s="6" t="str">
        <f>VLOOKUP(Tableau1[[#This Row],[SITES NAMES]],[1]Feuil1!$1:$1048576,10,FALSE)</f>
        <v>YES</v>
      </c>
      <c r="S4" s="6" t="s">
        <v>2469</v>
      </c>
      <c r="T4" s="6" t="s">
        <v>2470</v>
      </c>
      <c r="U4" s="6" t="s">
        <v>2480</v>
      </c>
      <c r="V4" s="6" t="s">
        <v>2478</v>
      </c>
      <c r="W4" s="6" t="s">
        <v>2476</v>
      </c>
      <c r="X4" s="8"/>
      <c r="Y4" s="6" t="s">
        <v>3238</v>
      </c>
      <c r="Z4" s="6" t="s">
        <v>3262</v>
      </c>
      <c r="AA4" s="35" t="s">
        <v>3621</v>
      </c>
      <c r="AB4" s="35" t="s">
        <v>3608</v>
      </c>
      <c r="AC4" s="35" t="s">
        <v>3624</v>
      </c>
      <c r="AD4" s="35" t="s">
        <v>3610</v>
      </c>
      <c r="AE4" s="35" t="s">
        <v>3610</v>
      </c>
      <c r="AF4" s="35" t="s">
        <v>3611</v>
      </c>
      <c r="AG4" s="35" t="s">
        <v>3612</v>
      </c>
      <c r="AH4" s="35" t="s">
        <v>3625</v>
      </c>
    </row>
    <row r="5" spans="1:34" ht="14.45" hidden="1" customHeight="1" x14ac:dyDescent="0.3">
      <c r="A5" s="6" t="s">
        <v>49</v>
      </c>
      <c r="B5" s="7">
        <v>43557</v>
      </c>
      <c r="C5" s="6" t="s">
        <v>48</v>
      </c>
      <c r="D5" s="6" t="s">
        <v>5</v>
      </c>
      <c r="E5" s="6" t="s">
        <v>6</v>
      </c>
      <c r="F5" s="6" t="s">
        <v>3229</v>
      </c>
      <c r="G5" s="8">
        <v>1.3696900000000001</v>
      </c>
      <c r="H5" s="8">
        <v>6.2416900000000002</v>
      </c>
      <c r="I5" s="6" t="s">
        <v>2467</v>
      </c>
      <c r="J5" s="6" t="s">
        <v>2459</v>
      </c>
      <c r="K5" s="6" t="s">
        <v>2468</v>
      </c>
      <c r="L5" s="6" t="s">
        <v>1240</v>
      </c>
      <c r="M5" s="6"/>
      <c r="N5" s="6" t="s">
        <v>2468</v>
      </c>
      <c r="O5" s="6" t="s">
        <v>7</v>
      </c>
      <c r="P5" s="6" t="str">
        <f>VLOOKUP(Tableau1[[#This Row],[SITES NAMES]],[1]Feuil1!$1:$1048576,8,FALSE)</f>
        <v>OK</v>
      </c>
      <c r="Q5" s="6" t="str">
        <f>VLOOKUP(Tableau1[[#This Row],[SITES NAMES]],[1]Feuil1!$1:$1048576,9,FALSE)</f>
        <v>NO</v>
      </c>
      <c r="R5" s="6" t="str">
        <f>VLOOKUP(Tableau1[[#This Row],[SITES NAMES]],[1]Feuil1!$1:$1048576,10,FALSE)</f>
        <v>YES</v>
      </c>
      <c r="S5" s="6" t="s">
        <v>2461</v>
      </c>
      <c r="T5" s="6" t="s">
        <v>2462</v>
      </c>
      <c r="U5" s="6" t="s">
        <v>2463</v>
      </c>
      <c r="V5" s="6" t="s">
        <v>2472</v>
      </c>
      <c r="W5" s="6" t="s">
        <v>2473</v>
      </c>
      <c r="X5" s="8">
        <v>70996542</v>
      </c>
      <c r="Y5" s="6" t="s">
        <v>3241</v>
      </c>
      <c r="Z5" s="6"/>
      <c r="AA5" s="37" t="s">
        <v>3626</v>
      </c>
      <c r="AB5" s="38" t="s">
        <v>3627</v>
      </c>
      <c r="AC5" s="37" t="s">
        <v>3633</v>
      </c>
      <c r="AD5" s="37" t="s">
        <v>3628</v>
      </c>
      <c r="AE5" s="37" t="s">
        <v>3629</v>
      </c>
      <c r="AF5" s="39" t="s">
        <v>3630</v>
      </c>
      <c r="AG5" s="37" t="s">
        <v>3631</v>
      </c>
      <c r="AH5" s="37" t="s">
        <v>3632</v>
      </c>
    </row>
    <row r="6" spans="1:34" ht="14.45" hidden="1" customHeight="1" x14ac:dyDescent="0.3">
      <c r="A6" s="6" t="s">
        <v>157</v>
      </c>
      <c r="B6" s="7">
        <v>45048</v>
      </c>
      <c r="C6" s="6" t="s">
        <v>156</v>
      </c>
      <c r="D6" s="6" t="s">
        <v>132</v>
      </c>
      <c r="E6" s="6" t="s">
        <v>133</v>
      </c>
      <c r="F6" s="6" t="s">
        <v>3229</v>
      </c>
      <c r="G6" s="8">
        <v>1.37612</v>
      </c>
      <c r="H6" s="8">
        <v>7.7968299999999999</v>
      </c>
      <c r="I6" s="6" t="s">
        <v>2477</v>
      </c>
      <c r="J6" s="6" t="s">
        <v>2459</v>
      </c>
      <c r="K6" s="6" t="s">
        <v>2468</v>
      </c>
      <c r="L6" s="6" t="s">
        <v>3459</v>
      </c>
      <c r="M6" s="6"/>
      <c r="N6" s="6" t="s">
        <v>2468</v>
      </c>
      <c r="O6" s="6" t="s">
        <v>40</v>
      </c>
      <c r="P6" s="6" t="str">
        <f>VLOOKUP(Tableau1[[#This Row],[SITES NAMES]],[1]Feuil1!$1:$1048576,8,FALSE)</f>
        <v>OK</v>
      </c>
      <c r="Q6" s="6" t="str">
        <f>VLOOKUP(Tableau1[[#This Row],[SITES NAMES]],[1]Feuil1!$1:$1048576,9,FALSE)</f>
        <v>NO</v>
      </c>
      <c r="R6" s="6" t="str">
        <f>VLOOKUP(Tableau1[[#This Row],[SITES NAMES]],[1]Feuil1!$1:$1048576,10,FALSE)</f>
        <v>YES</v>
      </c>
      <c r="S6" s="6" t="s">
        <v>2461</v>
      </c>
      <c r="T6" s="6" t="s">
        <v>2470</v>
      </c>
      <c r="U6" s="6" t="s">
        <v>2463</v>
      </c>
      <c r="V6" s="6" t="s">
        <v>2472</v>
      </c>
      <c r="W6" s="6" t="s">
        <v>2473</v>
      </c>
      <c r="X6" s="8">
        <v>70997361</v>
      </c>
      <c r="Y6" s="6" t="s">
        <v>3238</v>
      </c>
      <c r="Z6" s="6" t="s">
        <v>3258</v>
      </c>
      <c r="AA6" s="37" t="s">
        <v>3643</v>
      </c>
      <c r="AB6" s="39" t="s">
        <v>3644</v>
      </c>
      <c r="AC6" s="37" t="s">
        <v>3645</v>
      </c>
      <c r="AD6" s="39" t="s">
        <v>3646</v>
      </c>
      <c r="AE6" s="39" t="s">
        <v>3647</v>
      </c>
      <c r="AF6" s="39" t="s">
        <v>3648</v>
      </c>
      <c r="AG6" s="37" t="s">
        <v>3649</v>
      </c>
      <c r="AH6" s="37" t="s">
        <v>3650</v>
      </c>
    </row>
    <row r="7" spans="1:34" ht="14.45" hidden="1" customHeight="1" x14ac:dyDescent="0.3">
      <c r="A7" s="6" t="s">
        <v>632</v>
      </c>
      <c r="B7" s="7">
        <v>43802</v>
      </c>
      <c r="C7" s="6" t="s">
        <v>631</v>
      </c>
      <c r="D7" s="6" t="s">
        <v>132</v>
      </c>
      <c r="E7" s="6" t="s">
        <v>565</v>
      </c>
      <c r="F7" s="6" t="s">
        <v>3229</v>
      </c>
      <c r="G7" s="8">
        <v>0.93556899999999998</v>
      </c>
      <c r="H7" s="8">
        <v>7.9689170000000003</v>
      </c>
      <c r="I7" s="6" t="s">
        <v>2488</v>
      </c>
      <c r="J7" s="6" t="s">
        <v>2459</v>
      </c>
      <c r="K7" s="6" t="s">
        <v>2468</v>
      </c>
      <c r="L7" s="6" t="s">
        <v>3326</v>
      </c>
      <c r="M7" s="6"/>
      <c r="N7" s="6" t="s">
        <v>2468</v>
      </c>
      <c r="O7" s="6" t="s">
        <v>40</v>
      </c>
      <c r="P7" s="6" t="str">
        <f>VLOOKUP(Tableau1[[#This Row],[SITES NAMES]],[1]Feuil1!$1:$1048576,8,FALSE)</f>
        <v>OK</v>
      </c>
      <c r="Q7" s="6" t="str">
        <f>VLOOKUP(Tableau1[[#This Row],[SITES NAMES]],[1]Feuil1!$1:$1048576,9,FALSE)</f>
        <v>NO</v>
      </c>
      <c r="R7" s="6" t="str">
        <f>VLOOKUP(Tableau1[[#This Row],[SITES NAMES]],[1]Feuil1!$1:$1048576,10,FALSE)</f>
        <v>NO</v>
      </c>
      <c r="S7" s="6" t="s">
        <v>2469</v>
      </c>
      <c r="T7" s="6" t="s">
        <v>2470</v>
      </c>
      <c r="U7" s="6" t="s">
        <v>2480</v>
      </c>
      <c r="V7" s="6" t="s">
        <v>2472</v>
      </c>
      <c r="W7" s="6" t="s">
        <v>2473</v>
      </c>
      <c r="X7" s="8"/>
      <c r="Y7" s="6" t="s">
        <v>3238</v>
      </c>
      <c r="Z7" s="6" t="s">
        <v>3254</v>
      </c>
      <c r="AA7" s="37" t="s">
        <v>3660</v>
      </c>
      <c r="AB7" s="39" t="s">
        <v>3644</v>
      </c>
      <c r="AC7" s="37" t="s">
        <v>3661</v>
      </c>
      <c r="AD7" s="39" t="s">
        <v>3646</v>
      </c>
      <c r="AE7" s="39" t="s">
        <v>3647</v>
      </c>
      <c r="AF7" s="39" t="s">
        <v>3662</v>
      </c>
      <c r="AG7" s="37" t="s">
        <v>3649</v>
      </c>
      <c r="AH7" s="37" t="s">
        <v>3663</v>
      </c>
    </row>
    <row r="8" spans="1:34" ht="14.45" hidden="1" customHeight="1" x14ac:dyDescent="0.25">
      <c r="A8" s="6" t="s">
        <v>1334</v>
      </c>
      <c r="B8" s="7">
        <v>43247</v>
      </c>
      <c r="C8" s="6" t="s">
        <v>1333</v>
      </c>
      <c r="D8" s="6" t="s">
        <v>66</v>
      </c>
      <c r="E8" s="6" t="s">
        <v>3231</v>
      </c>
      <c r="F8" s="18" t="s">
        <v>3230</v>
      </c>
      <c r="G8" s="8">
        <v>1.2952030000000001</v>
      </c>
      <c r="H8" s="8">
        <v>6.1769359599999998</v>
      </c>
      <c r="I8" s="6" t="s">
        <v>2475</v>
      </c>
      <c r="J8" s="6" t="s">
        <v>2459</v>
      </c>
      <c r="K8" s="6" t="s">
        <v>2460</v>
      </c>
      <c r="L8" s="6" t="s">
        <v>1340</v>
      </c>
      <c r="M8" s="6" t="s">
        <v>1418</v>
      </c>
      <c r="N8" s="6" t="s">
        <v>3268</v>
      </c>
      <c r="O8" s="6" t="s">
        <v>7</v>
      </c>
      <c r="P8" s="6" t="str">
        <f>VLOOKUP(Tableau1[[#This Row],[SITES NAMES]],[1]Feuil1!$1:$1048576,8,FALSE)</f>
        <v>OK</v>
      </c>
      <c r="Q8" s="6" t="str">
        <f>VLOOKUP(Tableau1[[#This Row],[SITES NAMES]],[1]Feuil1!$1:$1048576,9,FALSE)</f>
        <v>NO</v>
      </c>
      <c r="R8" s="6" t="str">
        <f>VLOOKUP(Tableau1[[#This Row],[SITES NAMES]],[1]Feuil1!$1:$1048576,10,FALSE)</f>
        <v>NO</v>
      </c>
      <c r="S8" s="6" t="s">
        <v>2469</v>
      </c>
      <c r="T8" s="6" t="s">
        <v>2470</v>
      </c>
      <c r="U8" s="6" t="s">
        <v>2480</v>
      </c>
      <c r="V8" s="6" t="s">
        <v>2464</v>
      </c>
      <c r="W8" s="6" t="s">
        <v>2476</v>
      </c>
      <c r="X8" s="8">
        <v>70996543</v>
      </c>
      <c r="Y8" s="6" t="s">
        <v>3238</v>
      </c>
      <c r="Z8" s="6"/>
      <c r="AA8" s="35" t="s">
        <v>3621</v>
      </c>
      <c r="AB8" s="35" t="s">
        <v>3608</v>
      </c>
      <c r="AC8" s="35" t="s">
        <v>3622</v>
      </c>
      <c r="AD8" s="35" t="s">
        <v>3610</v>
      </c>
      <c r="AE8" s="35" t="s">
        <v>3610</v>
      </c>
      <c r="AF8" s="35" t="s">
        <v>3611</v>
      </c>
      <c r="AG8" s="35" t="s">
        <v>3612</v>
      </c>
      <c r="AH8" s="35" t="s">
        <v>3623</v>
      </c>
    </row>
    <row r="9" spans="1:34" ht="14.45" hidden="1" customHeight="1" x14ac:dyDescent="0.25">
      <c r="A9" s="6" t="s">
        <v>1336</v>
      </c>
      <c r="B9" s="7">
        <v>43187</v>
      </c>
      <c r="C9" s="6" t="s">
        <v>1335</v>
      </c>
      <c r="D9" s="6" t="s">
        <v>66</v>
      </c>
      <c r="E9" s="6" t="s">
        <v>3231</v>
      </c>
      <c r="F9" s="6" t="s">
        <v>3229</v>
      </c>
      <c r="G9" s="8">
        <v>1.2843340000000001</v>
      </c>
      <c r="H9" s="8">
        <v>6.1751593199999997</v>
      </c>
      <c r="I9" s="6" t="s">
        <v>2475</v>
      </c>
      <c r="J9" s="6" t="s">
        <v>2459</v>
      </c>
      <c r="K9" s="6" t="s">
        <v>2460</v>
      </c>
      <c r="L9" s="6" t="s">
        <v>1440</v>
      </c>
      <c r="M9" s="6" t="s">
        <v>1877</v>
      </c>
      <c r="N9" s="6" t="s">
        <v>3268</v>
      </c>
      <c r="O9" s="6" t="s">
        <v>7</v>
      </c>
      <c r="P9" s="6" t="str">
        <f>VLOOKUP(Tableau1[[#This Row],[SITES NAMES]],[1]Feuil1!$1:$1048576,8,FALSE)</f>
        <v>OK</v>
      </c>
      <c r="Q9" s="6" t="str">
        <f>VLOOKUP(Tableau1[[#This Row],[SITES NAMES]],[1]Feuil1!$1:$1048576,9,FALSE)</f>
        <v>NO</v>
      </c>
      <c r="R9" s="6" t="str">
        <f>VLOOKUP(Tableau1[[#This Row],[SITES NAMES]],[1]Feuil1!$1:$1048576,10,FALSE)</f>
        <v>YES</v>
      </c>
      <c r="S9" s="6" t="s">
        <v>2469</v>
      </c>
      <c r="T9" s="6" t="s">
        <v>2470</v>
      </c>
      <c r="U9" s="6" t="s">
        <v>2471</v>
      </c>
      <c r="V9" s="6" t="s">
        <v>2464</v>
      </c>
      <c r="W9" s="6" t="s">
        <v>2465</v>
      </c>
      <c r="X9" s="8">
        <v>70996449</v>
      </c>
      <c r="Y9" s="6" t="s">
        <v>3238</v>
      </c>
      <c r="Z9" s="6"/>
      <c r="AA9" s="35" t="s">
        <v>3621</v>
      </c>
      <c r="AB9" s="35" t="s">
        <v>3608</v>
      </c>
      <c r="AC9" s="35" t="s">
        <v>3622</v>
      </c>
      <c r="AD9" s="35" t="s">
        <v>3610</v>
      </c>
      <c r="AE9" s="35" t="s">
        <v>3610</v>
      </c>
      <c r="AF9" s="35" t="s">
        <v>3611</v>
      </c>
      <c r="AG9" s="35" t="s">
        <v>3612</v>
      </c>
      <c r="AH9" s="35" t="s">
        <v>3623</v>
      </c>
    </row>
    <row r="10" spans="1:34" ht="14.45" hidden="1" customHeight="1" x14ac:dyDescent="0.25">
      <c r="A10" s="6" t="s">
        <v>1338</v>
      </c>
      <c r="B10" s="7">
        <v>43247</v>
      </c>
      <c r="C10" s="6" t="s">
        <v>1337</v>
      </c>
      <c r="D10" s="6" t="s">
        <v>66</v>
      </c>
      <c r="E10" s="6" t="s">
        <v>3231</v>
      </c>
      <c r="F10" s="18" t="s">
        <v>3230</v>
      </c>
      <c r="G10" s="8">
        <v>1.316095</v>
      </c>
      <c r="H10" s="8">
        <v>6.1716683950000002</v>
      </c>
      <c r="I10" s="6" t="s">
        <v>2486</v>
      </c>
      <c r="J10" s="6" t="s">
        <v>2459</v>
      </c>
      <c r="K10" s="6" t="s">
        <v>2460</v>
      </c>
      <c r="L10" s="6" t="s">
        <v>1316</v>
      </c>
      <c r="M10" s="6" t="s">
        <v>1312</v>
      </c>
      <c r="N10" s="6" t="s">
        <v>3268</v>
      </c>
      <c r="O10" s="6" t="s">
        <v>7</v>
      </c>
      <c r="P10" s="6" t="str">
        <f>VLOOKUP(Tableau1[[#This Row],[SITES NAMES]],[1]Feuil1!$1:$1048576,8,FALSE)</f>
        <v>NOK</v>
      </c>
      <c r="Q10" s="6" t="str">
        <f>VLOOKUP(Tableau1[[#This Row],[SITES NAMES]],[1]Feuil1!$1:$1048576,9,FALSE)</f>
        <v>NO</v>
      </c>
      <c r="R10" s="6" t="str">
        <f>VLOOKUP(Tableau1[[#This Row],[SITES NAMES]],[1]Feuil1!$1:$1048576,10,FALSE)</f>
        <v>NO</v>
      </c>
      <c r="S10" s="6" t="s">
        <v>2469</v>
      </c>
      <c r="T10" s="6" t="s">
        <v>2470</v>
      </c>
      <c r="U10" s="6" t="s">
        <v>2480</v>
      </c>
      <c r="V10" s="6" t="s">
        <v>2464</v>
      </c>
      <c r="W10" s="6" t="s">
        <v>2476</v>
      </c>
      <c r="X10" s="8">
        <v>70996519</v>
      </c>
      <c r="Y10" s="6" t="s">
        <v>3238</v>
      </c>
      <c r="Z10" s="6"/>
      <c r="AA10" s="35" t="s">
        <v>3621</v>
      </c>
      <c r="AB10" s="35" t="s">
        <v>3608</v>
      </c>
      <c r="AC10" s="35" t="s">
        <v>3622</v>
      </c>
      <c r="AD10" s="35" t="s">
        <v>3610</v>
      </c>
      <c r="AE10" s="35" t="s">
        <v>3610</v>
      </c>
      <c r="AF10" s="35" t="s">
        <v>3611</v>
      </c>
      <c r="AG10" s="35" t="s">
        <v>3612</v>
      </c>
      <c r="AH10" s="35" t="s">
        <v>3623</v>
      </c>
    </row>
    <row r="11" spans="1:34" ht="14.45" hidden="1" customHeight="1" x14ac:dyDescent="0.25">
      <c r="A11" s="6" t="s">
        <v>1340</v>
      </c>
      <c r="B11" s="7">
        <v>43247</v>
      </c>
      <c r="C11" s="6" t="s">
        <v>1339</v>
      </c>
      <c r="D11" s="6" t="s">
        <v>66</v>
      </c>
      <c r="E11" s="6" t="s">
        <v>3231</v>
      </c>
      <c r="F11" s="6" t="s">
        <v>3229</v>
      </c>
      <c r="G11" s="8">
        <v>1.3031600000000001</v>
      </c>
      <c r="H11" s="8">
        <v>6.1710833320000003</v>
      </c>
      <c r="I11" s="6" t="s">
        <v>2497</v>
      </c>
      <c r="J11" s="6" t="s">
        <v>2459</v>
      </c>
      <c r="K11" s="6" t="s">
        <v>2460</v>
      </c>
      <c r="L11" s="6" t="s">
        <v>1422</v>
      </c>
      <c r="M11" s="6" t="s">
        <v>1334</v>
      </c>
      <c r="N11" s="6" t="s">
        <v>3268</v>
      </c>
      <c r="O11" s="6" t="s">
        <v>7</v>
      </c>
      <c r="P11" s="6" t="str">
        <f>VLOOKUP(Tableau1[[#This Row],[SITES NAMES]],[1]Feuil1!$1:$1048576,8,FALSE)</f>
        <v>OK</v>
      </c>
      <c r="Q11" s="6" t="str">
        <f>VLOOKUP(Tableau1[[#This Row],[SITES NAMES]],[1]Feuil1!$1:$1048576,9,FALSE)</f>
        <v>NO</v>
      </c>
      <c r="R11" s="6" t="str">
        <f>VLOOKUP(Tableau1[[#This Row],[SITES NAMES]],[1]Feuil1!$1:$1048576,10,FALSE)</f>
        <v>NO</v>
      </c>
      <c r="S11" s="6" t="s">
        <v>2469</v>
      </c>
      <c r="T11" s="6" t="s">
        <v>2470</v>
      </c>
      <c r="U11" s="6" t="s">
        <v>2480</v>
      </c>
      <c r="V11" s="6" t="s">
        <v>2478</v>
      </c>
      <c r="W11" s="6" t="s">
        <v>2476</v>
      </c>
      <c r="X11" s="8">
        <v>70996544</v>
      </c>
      <c r="Y11" s="6" t="s">
        <v>3238</v>
      </c>
      <c r="Z11" s="6"/>
      <c r="AA11" s="35" t="s">
        <v>3621</v>
      </c>
      <c r="AB11" s="35" t="s">
        <v>3608</v>
      </c>
      <c r="AC11" s="35" t="s">
        <v>3622</v>
      </c>
      <c r="AD11" s="35" t="s">
        <v>3610</v>
      </c>
      <c r="AE11" s="35" t="s">
        <v>3610</v>
      </c>
      <c r="AF11" s="35" t="s">
        <v>3611</v>
      </c>
      <c r="AG11" s="35" t="s">
        <v>3612</v>
      </c>
      <c r="AH11" s="35" t="s">
        <v>3623</v>
      </c>
    </row>
    <row r="12" spans="1:34" ht="14.45" hidden="1" customHeight="1" x14ac:dyDescent="0.25">
      <c r="A12" s="6" t="s">
        <v>1342</v>
      </c>
      <c r="B12" s="7">
        <v>43238</v>
      </c>
      <c r="C12" s="6" t="s">
        <v>1341</v>
      </c>
      <c r="D12" s="6" t="s">
        <v>66</v>
      </c>
      <c r="E12" s="6" t="s">
        <v>3231</v>
      </c>
      <c r="F12" s="6" t="s">
        <v>3229</v>
      </c>
      <c r="G12" s="8">
        <v>1.312805556</v>
      </c>
      <c r="H12" s="8">
        <v>6.1631111110000001</v>
      </c>
      <c r="I12" s="6" t="s">
        <v>2497</v>
      </c>
      <c r="J12" s="6" t="s">
        <v>2459</v>
      </c>
      <c r="K12" s="6" t="s">
        <v>2460</v>
      </c>
      <c r="L12" s="6" t="s">
        <v>1342</v>
      </c>
      <c r="M12" s="6" t="s">
        <v>1422</v>
      </c>
      <c r="N12" s="6" t="s">
        <v>3268</v>
      </c>
      <c r="O12" s="6" t="s">
        <v>7</v>
      </c>
      <c r="P12" s="6" t="str">
        <f>VLOOKUP(Tableau1[[#This Row],[SITES NAMES]],[1]Feuil1!$1:$1048576,8,FALSE)</f>
        <v>OK</v>
      </c>
      <c r="Q12" s="6" t="str">
        <f>VLOOKUP(Tableau1[[#This Row],[SITES NAMES]],[1]Feuil1!$1:$1048576,9,FALSE)</f>
        <v>NO</v>
      </c>
      <c r="R12" s="6" t="str">
        <f>VLOOKUP(Tableau1[[#This Row],[SITES NAMES]],[1]Feuil1!$1:$1048576,10,FALSE)</f>
        <v>NO</v>
      </c>
      <c r="S12" s="6" t="s">
        <v>2461</v>
      </c>
      <c r="T12" s="6" t="s">
        <v>2462</v>
      </c>
      <c r="U12" s="6" t="s">
        <v>2463</v>
      </c>
      <c r="V12" s="6" t="s">
        <v>2478</v>
      </c>
      <c r="W12" s="6" t="s">
        <v>2476</v>
      </c>
      <c r="X12" s="8">
        <v>70996545</v>
      </c>
      <c r="Y12" s="6" t="s">
        <v>3238</v>
      </c>
      <c r="Z12" s="6"/>
      <c r="AA12" s="35" t="s">
        <v>3621</v>
      </c>
      <c r="AB12" s="35" t="s">
        <v>3608</v>
      </c>
      <c r="AC12" s="35" t="s">
        <v>3622</v>
      </c>
      <c r="AD12" s="35" t="s">
        <v>3610</v>
      </c>
      <c r="AE12" s="35" t="s">
        <v>3610</v>
      </c>
      <c r="AF12" s="35" t="s">
        <v>3611</v>
      </c>
      <c r="AG12" s="35" t="s">
        <v>3612</v>
      </c>
      <c r="AH12" s="35" t="s">
        <v>3623</v>
      </c>
    </row>
    <row r="13" spans="1:34" ht="14.45" hidden="1" customHeight="1" x14ac:dyDescent="0.25">
      <c r="A13" s="6" t="s">
        <v>1344</v>
      </c>
      <c r="B13" s="7">
        <v>44847</v>
      </c>
      <c r="C13" s="6" t="s">
        <v>1343</v>
      </c>
      <c r="D13" s="6" t="s">
        <v>66</v>
      </c>
      <c r="E13" s="6" t="s">
        <v>3231</v>
      </c>
      <c r="F13" s="6" t="s">
        <v>3229</v>
      </c>
      <c r="G13" s="8">
        <v>1.3111679999999999</v>
      </c>
      <c r="H13" s="8">
        <v>6.175109</v>
      </c>
      <c r="I13" s="6" t="s">
        <v>2475</v>
      </c>
      <c r="J13" s="6" t="s">
        <v>2459</v>
      </c>
      <c r="K13" s="6" t="s">
        <v>2460</v>
      </c>
      <c r="L13" s="6"/>
      <c r="M13" s="6"/>
      <c r="N13" s="6" t="s">
        <v>3268</v>
      </c>
      <c r="O13" s="6" t="s">
        <v>7</v>
      </c>
      <c r="P13" s="6" t="str">
        <f>VLOOKUP(Tableau1[[#This Row],[SITES NAMES]],[1]Feuil1!$1:$1048576,8,FALSE)</f>
        <v>OK</v>
      </c>
      <c r="Q13" s="6" t="str">
        <f>VLOOKUP(Tableau1[[#This Row],[SITES NAMES]],[1]Feuil1!$1:$1048576,9,FALSE)</f>
        <v>NO</v>
      </c>
      <c r="R13" s="6" t="str">
        <f>VLOOKUP(Tableau1[[#This Row],[SITES NAMES]],[1]Feuil1!$1:$1048576,10,FALSE)</f>
        <v>YES</v>
      </c>
      <c r="S13" s="6" t="s">
        <v>2461</v>
      </c>
      <c r="T13" s="6" t="s">
        <v>2470</v>
      </c>
      <c r="U13" s="6" t="s">
        <v>2463</v>
      </c>
      <c r="V13" s="6" t="s">
        <v>2464</v>
      </c>
      <c r="W13" s="6" t="s">
        <v>2476</v>
      </c>
      <c r="X13" s="8"/>
      <c r="Y13" s="6" t="s">
        <v>3238</v>
      </c>
      <c r="Z13" s="6"/>
      <c r="AA13" s="35" t="s">
        <v>3621</v>
      </c>
      <c r="AB13" s="35" t="s">
        <v>3608</v>
      </c>
      <c r="AC13" s="35" t="s">
        <v>3622</v>
      </c>
      <c r="AD13" s="35" t="s">
        <v>3610</v>
      </c>
      <c r="AE13" s="35" t="s">
        <v>3610</v>
      </c>
      <c r="AF13" s="35" t="s">
        <v>3611</v>
      </c>
      <c r="AG13" s="35" t="s">
        <v>3612</v>
      </c>
      <c r="AH13" s="35" t="s">
        <v>3623</v>
      </c>
    </row>
    <row r="14" spans="1:34" ht="14.45" hidden="1" customHeight="1" x14ac:dyDescent="0.3">
      <c r="A14" s="6" t="s">
        <v>2071</v>
      </c>
      <c r="B14" s="7">
        <v>43783</v>
      </c>
      <c r="C14" s="6" t="s">
        <v>2070</v>
      </c>
      <c r="D14" s="6" t="s">
        <v>132</v>
      </c>
      <c r="E14" s="6" t="s">
        <v>2049</v>
      </c>
      <c r="F14" s="6" t="s">
        <v>3229</v>
      </c>
      <c r="G14" s="8">
        <v>1.1653480000000001</v>
      </c>
      <c r="H14" s="8">
        <v>7.2553190000000001</v>
      </c>
      <c r="I14" s="6" t="s">
        <v>2467</v>
      </c>
      <c r="J14" s="6" t="s">
        <v>2459</v>
      </c>
      <c r="K14" s="6" t="s">
        <v>2460</v>
      </c>
      <c r="L14" s="6" t="s">
        <v>210</v>
      </c>
      <c r="M14" s="6" t="s">
        <v>2138</v>
      </c>
      <c r="N14" s="6" t="s">
        <v>3268</v>
      </c>
      <c r="O14" s="6" t="s">
        <v>7</v>
      </c>
      <c r="P14" s="6" t="str">
        <f>VLOOKUP(Tableau1[[#This Row],[SITES NAMES]],[1]Feuil1!$1:$1048576,8,FALSE)</f>
        <v>OK</v>
      </c>
      <c r="Q14" s="6" t="str">
        <f>VLOOKUP(Tableau1[[#This Row],[SITES NAMES]],[1]Feuil1!$1:$1048576,9,FALSE)</f>
        <v>NO</v>
      </c>
      <c r="R14" s="6" t="str">
        <f>VLOOKUP(Tableau1[[#This Row],[SITES NAMES]],[1]Feuil1!$1:$1048576,10,FALSE)</f>
        <v>NO</v>
      </c>
      <c r="S14" s="6" t="s">
        <v>2469</v>
      </c>
      <c r="T14" s="6" t="s">
        <v>2470</v>
      </c>
      <c r="U14" s="6" t="s">
        <v>2480</v>
      </c>
      <c r="V14" s="6" t="s">
        <v>2472</v>
      </c>
      <c r="W14" s="6" t="s">
        <v>2473</v>
      </c>
      <c r="X14" s="8">
        <v>70996546</v>
      </c>
      <c r="Y14" s="6" t="s">
        <v>3238</v>
      </c>
      <c r="Z14" s="6" t="s">
        <v>3257</v>
      </c>
      <c r="AA14" s="45" t="s">
        <v>3656</v>
      </c>
      <c r="AB14" s="39" t="s">
        <v>3644</v>
      </c>
      <c r="AC14" s="45" t="s">
        <v>3657</v>
      </c>
      <c r="AD14" s="37" t="s">
        <v>3658</v>
      </c>
      <c r="AE14" s="37" t="s">
        <v>3647</v>
      </c>
      <c r="AF14" s="39" t="s">
        <v>3648</v>
      </c>
      <c r="AG14" s="37" t="s">
        <v>3649</v>
      </c>
      <c r="AH14" s="37" t="s">
        <v>3659</v>
      </c>
    </row>
    <row r="15" spans="1:34" ht="14.45" hidden="1" customHeight="1" x14ac:dyDescent="0.3">
      <c r="A15" s="6" t="s">
        <v>2073</v>
      </c>
      <c r="B15" s="7">
        <v>44561</v>
      </c>
      <c r="C15" s="6" t="s">
        <v>2072</v>
      </c>
      <c r="D15" s="6" t="s">
        <v>132</v>
      </c>
      <c r="E15" s="6" t="s">
        <v>2049</v>
      </c>
      <c r="F15" s="6" t="s">
        <v>3229</v>
      </c>
      <c r="G15" s="8">
        <v>1.6030899999999999</v>
      </c>
      <c r="H15" s="8">
        <v>7.0939199999999998</v>
      </c>
      <c r="I15" s="6" t="s">
        <v>2477</v>
      </c>
      <c r="J15" s="6" t="s">
        <v>2459</v>
      </c>
      <c r="K15" s="6" t="s">
        <v>2468</v>
      </c>
      <c r="L15" s="6" t="s">
        <v>3460</v>
      </c>
      <c r="M15" s="6"/>
      <c r="N15" s="6" t="s">
        <v>2468</v>
      </c>
      <c r="O15" s="6" t="s">
        <v>40</v>
      </c>
      <c r="P15" s="6" t="str">
        <f>VLOOKUP(Tableau1[[#This Row],[SITES NAMES]],[1]Feuil1!$1:$1048576,8,FALSE)</f>
        <v>OK</v>
      </c>
      <c r="Q15" s="6" t="str">
        <f>VLOOKUP(Tableau1[[#This Row],[SITES NAMES]],[1]Feuil1!$1:$1048576,9,FALSE)</f>
        <v>NO</v>
      </c>
      <c r="R15" s="6" t="str">
        <f>VLOOKUP(Tableau1[[#This Row],[SITES NAMES]],[1]Feuil1!$1:$1048576,10,FALSE)</f>
        <v>YES</v>
      </c>
      <c r="S15" s="6" t="s">
        <v>2469</v>
      </c>
      <c r="T15" s="6" t="s">
        <v>2470</v>
      </c>
      <c r="U15" s="6" t="s">
        <v>2480</v>
      </c>
      <c r="V15" s="6" t="s">
        <v>2472</v>
      </c>
      <c r="W15" s="6" t="s">
        <v>2473</v>
      </c>
      <c r="X15" s="8">
        <v>70996404</v>
      </c>
      <c r="Y15" s="6" t="s">
        <v>3238</v>
      </c>
      <c r="Z15" s="6" t="s">
        <v>3257</v>
      </c>
      <c r="AA15" s="45" t="s">
        <v>3656</v>
      </c>
      <c r="AB15" s="39" t="s">
        <v>3644</v>
      </c>
      <c r="AC15" s="45" t="s">
        <v>3657</v>
      </c>
      <c r="AD15" s="37" t="s">
        <v>3658</v>
      </c>
      <c r="AE15" s="37" t="s">
        <v>3647</v>
      </c>
      <c r="AF15" s="39" t="s">
        <v>3648</v>
      </c>
      <c r="AG15" s="37" t="s">
        <v>3649</v>
      </c>
      <c r="AH15" s="37" t="s">
        <v>3659</v>
      </c>
    </row>
    <row r="16" spans="1:34" ht="14.45" hidden="1" customHeight="1" x14ac:dyDescent="0.25">
      <c r="A16" s="6" t="s">
        <v>1855</v>
      </c>
      <c r="B16" s="7">
        <v>39753</v>
      </c>
      <c r="C16" s="6" t="s">
        <v>1854</v>
      </c>
      <c r="D16" s="6" t="s">
        <v>66</v>
      </c>
      <c r="E16" s="6" t="s">
        <v>3232</v>
      </c>
      <c r="F16" s="6" t="s">
        <v>3229</v>
      </c>
      <c r="G16" s="8">
        <v>1.22889</v>
      </c>
      <c r="H16" s="8">
        <v>6.1280190000000001</v>
      </c>
      <c r="I16" s="6" t="s">
        <v>2497</v>
      </c>
      <c r="J16" s="6" t="s">
        <v>2459</v>
      </c>
      <c r="K16" s="6" t="s">
        <v>2460</v>
      </c>
      <c r="L16" s="6" t="s">
        <v>1857</v>
      </c>
      <c r="M16" s="6" t="s">
        <v>1924</v>
      </c>
      <c r="N16" s="6" t="s">
        <v>3268</v>
      </c>
      <c r="O16" s="6" t="s">
        <v>1206</v>
      </c>
      <c r="P16" s="6"/>
      <c r="Q16" s="6" t="str">
        <f>VLOOKUP(Tableau1[[#This Row],[SITES NAMES]],[1]Feuil1!$1:$1048576,9,FALSE)</f>
        <v>YES</v>
      </c>
      <c r="R16" s="6" t="str">
        <f>VLOOKUP(Tableau1[[#This Row],[SITES NAMES]],[1]Feuil1!$1:$1048576,10,FALSE)</f>
        <v>YES</v>
      </c>
      <c r="S16" s="6" t="s">
        <v>2469</v>
      </c>
      <c r="T16" s="6" t="s">
        <v>2470</v>
      </c>
      <c r="U16" s="6" t="s">
        <v>2480</v>
      </c>
      <c r="V16" s="6" t="s">
        <v>2498</v>
      </c>
      <c r="W16" s="6" t="s">
        <v>2476</v>
      </c>
      <c r="X16" s="8"/>
      <c r="Y16" s="6" t="s">
        <v>3238</v>
      </c>
      <c r="Z16" s="6" t="s">
        <v>3262</v>
      </c>
      <c r="AA16" s="35" t="s">
        <v>3621</v>
      </c>
      <c r="AB16" s="35" t="s">
        <v>3608</v>
      </c>
      <c r="AC16" s="35" t="s">
        <v>3624</v>
      </c>
      <c r="AD16" s="35" t="s">
        <v>3610</v>
      </c>
      <c r="AE16" s="35" t="s">
        <v>3610</v>
      </c>
      <c r="AF16" s="35" t="s">
        <v>3611</v>
      </c>
      <c r="AG16" s="35" t="s">
        <v>3612</v>
      </c>
      <c r="AH16" s="35" t="s">
        <v>3625</v>
      </c>
    </row>
    <row r="17" spans="1:34" ht="14.45" hidden="1" customHeight="1" x14ac:dyDescent="0.25">
      <c r="A17" s="6" t="s">
        <v>1857</v>
      </c>
      <c r="B17" s="7">
        <v>0</v>
      </c>
      <c r="C17" s="6" t="s">
        <v>1856</v>
      </c>
      <c r="D17" s="6" t="s">
        <v>66</v>
      </c>
      <c r="E17" s="6" t="s">
        <v>3232</v>
      </c>
      <c r="F17" s="6" t="s">
        <v>3229</v>
      </c>
      <c r="G17" s="8">
        <v>1.225752</v>
      </c>
      <c r="H17" s="8">
        <v>6.1266905630000004</v>
      </c>
      <c r="I17" s="6" t="s">
        <v>2486</v>
      </c>
      <c r="J17" s="6" t="s">
        <v>2459</v>
      </c>
      <c r="K17" s="6" t="s">
        <v>2460</v>
      </c>
      <c r="L17" s="6" t="s">
        <v>1855</v>
      </c>
      <c r="M17" s="6" t="s">
        <v>1861</v>
      </c>
      <c r="N17" s="6" t="s">
        <v>3268</v>
      </c>
      <c r="O17" s="6" t="s">
        <v>1206</v>
      </c>
      <c r="P17" s="6"/>
      <c r="Q17" s="6" t="str">
        <f>VLOOKUP(Tableau1[[#This Row],[SITES NAMES]],[1]Feuil1!$1:$1048576,9,FALSE)</f>
        <v>NO</v>
      </c>
      <c r="R17" s="6"/>
      <c r="S17" s="6"/>
      <c r="T17" s="6"/>
      <c r="U17" s="6"/>
      <c r="V17" s="6" t="s">
        <v>2478</v>
      </c>
      <c r="W17" s="6" t="s">
        <v>2476</v>
      </c>
      <c r="X17" s="8"/>
      <c r="Y17" s="6" t="s">
        <v>3238</v>
      </c>
      <c r="Z17" s="6" t="s">
        <v>3262</v>
      </c>
      <c r="AA17" s="35" t="s">
        <v>3621</v>
      </c>
      <c r="AB17" s="35" t="s">
        <v>3608</v>
      </c>
      <c r="AC17" s="35" t="s">
        <v>3624</v>
      </c>
      <c r="AD17" s="35" t="s">
        <v>3610</v>
      </c>
      <c r="AE17" s="35" t="s">
        <v>3610</v>
      </c>
      <c r="AF17" s="35" t="s">
        <v>3611</v>
      </c>
      <c r="AG17" s="35" t="s">
        <v>3612</v>
      </c>
      <c r="AH17" s="35" t="s">
        <v>3625</v>
      </c>
    </row>
    <row r="18" spans="1:34" ht="14.45" hidden="1" customHeight="1" x14ac:dyDescent="0.25">
      <c r="A18" s="6" t="s">
        <v>1859</v>
      </c>
      <c r="B18" s="7">
        <v>40548</v>
      </c>
      <c r="C18" s="6" t="s">
        <v>1858</v>
      </c>
      <c r="D18" s="6" t="s">
        <v>66</v>
      </c>
      <c r="E18" s="6" t="s">
        <v>3232</v>
      </c>
      <c r="F18" s="6" t="s">
        <v>3229</v>
      </c>
      <c r="G18" s="8">
        <v>1.2269369999999999</v>
      </c>
      <c r="H18" s="8">
        <v>6.1316129999999998</v>
      </c>
      <c r="I18" s="6" t="s">
        <v>2497</v>
      </c>
      <c r="J18" s="6" t="s">
        <v>2459</v>
      </c>
      <c r="K18" s="6" t="s">
        <v>2460</v>
      </c>
      <c r="L18" s="6" t="s">
        <v>1924</v>
      </c>
      <c r="M18" s="6" t="s">
        <v>1861</v>
      </c>
      <c r="N18" s="6" t="s">
        <v>3268</v>
      </c>
      <c r="O18" s="6" t="s">
        <v>1206</v>
      </c>
      <c r="P18" s="6"/>
      <c r="Q18" s="6" t="str">
        <f>VLOOKUP(Tableau1[[#This Row],[SITES NAMES]],[1]Feuil1!$1:$1048576,9,FALSE)</f>
        <v>YES</v>
      </c>
      <c r="R18" s="6" t="str">
        <f>VLOOKUP(Tableau1[[#This Row],[SITES NAMES]],[1]Feuil1!$1:$1048576,10,FALSE)</f>
        <v>YES</v>
      </c>
      <c r="S18" s="6" t="s">
        <v>2469</v>
      </c>
      <c r="T18" s="6" t="s">
        <v>2470</v>
      </c>
      <c r="U18" s="6" t="s">
        <v>2480</v>
      </c>
      <c r="V18" s="6" t="s">
        <v>2498</v>
      </c>
      <c r="W18" s="6" t="s">
        <v>2476</v>
      </c>
      <c r="X18" s="8">
        <v>70996547</v>
      </c>
      <c r="Y18" s="6" t="s">
        <v>3238</v>
      </c>
      <c r="Z18" s="6" t="s">
        <v>3262</v>
      </c>
      <c r="AA18" s="35" t="s">
        <v>3621</v>
      </c>
      <c r="AB18" s="35" t="s">
        <v>3608</v>
      </c>
      <c r="AC18" s="35" t="s">
        <v>3624</v>
      </c>
      <c r="AD18" s="35" t="s">
        <v>3610</v>
      </c>
      <c r="AE18" s="35" t="s">
        <v>3610</v>
      </c>
      <c r="AF18" s="35" t="s">
        <v>3611</v>
      </c>
      <c r="AG18" s="35" t="s">
        <v>3612</v>
      </c>
      <c r="AH18" s="35" t="s">
        <v>3625</v>
      </c>
    </row>
    <row r="19" spans="1:34" ht="14.45" hidden="1" customHeight="1" x14ac:dyDescent="0.3">
      <c r="A19" s="6" t="s">
        <v>769</v>
      </c>
      <c r="B19" s="7">
        <v>43790</v>
      </c>
      <c r="C19" s="6" t="s">
        <v>768</v>
      </c>
      <c r="D19" s="6" t="s">
        <v>657</v>
      </c>
      <c r="E19" s="6" t="s">
        <v>758</v>
      </c>
      <c r="F19" s="6" t="s">
        <v>3229</v>
      </c>
      <c r="G19" s="8">
        <v>0.86687000000000003</v>
      </c>
      <c r="H19" s="8">
        <v>9.9260800000000007</v>
      </c>
      <c r="I19" s="6" t="s">
        <v>2467</v>
      </c>
      <c r="J19" s="6" t="s">
        <v>2459</v>
      </c>
      <c r="K19" s="6" t="s">
        <v>2468</v>
      </c>
      <c r="L19" s="6" t="s">
        <v>3327</v>
      </c>
      <c r="M19" s="6"/>
      <c r="N19" s="6" t="s">
        <v>2468</v>
      </c>
      <c r="O19" s="6" t="s">
        <v>40</v>
      </c>
      <c r="P19" s="6" t="str">
        <f>VLOOKUP(Tableau1[[#This Row],[SITES NAMES]],[1]Feuil1!$1:$1048576,8,FALSE)</f>
        <v>NOK</v>
      </c>
      <c r="Q19" s="6" t="str">
        <f>VLOOKUP(Tableau1[[#This Row],[SITES NAMES]],[1]Feuil1!$1:$1048576,9,FALSE)</f>
        <v>NO</v>
      </c>
      <c r="R19" s="6" t="str">
        <f>VLOOKUP(Tableau1[[#This Row],[SITES NAMES]],[1]Feuil1!$1:$1048576,10,FALSE)</f>
        <v>NO</v>
      </c>
      <c r="S19" s="6" t="s">
        <v>2469</v>
      </c>
      <c r="T19" s="6" t="s">
        <v>2470</v>
      </c>
      <c r="U19" s="6" t="s">
        <v>2480</v>
      </c>
      <c r="V19" s="6" t="s">
        <v>2472</v>
      </c>
      <c r="W19" s="6" t="s">
        <v>2473</v>
      </c>
      <c r="X19" s="8">
        <v>70996548</v>
      </c>
      <c r="Y19" s="6" t="s">
        <v>3239</v>
      </c>
      <c r="Z19" s="6" t="s">
        <v>3253</v>
      </c>
      <c r="AA19" s="37" t="s">
        <v>3687</v>
      </c>
      <c r="AB19" s="38" t="s">
        <v>3683</v>
      </c>
      <c r="AC19" s="37" t="s">
        <v>3688</v>
      </c>
      <c r="AD19" s="37" t="s">
        <v>3687</v>
      </c>
      <c r="AE19" s="37" t="s">
        <v>3689</v>
      </c>
      <c r="AF19" s="39" t="s">
        <v>3690</v>
      </c>
      <c r="AG19" s="40" t="s">
        <v>3685</v>
      </c>
      <c r="AH19" s="37" t="s">
        <v>3691</v>
      </c>
    </row>
    <row r="20" spans="1:34" ht="15.75" hidden="1" x14ac:dyDescent="0.3">
      <c r="A20" s="6" t="s">
        <v>1046</v>
      </c>
      <c r="B20" s="7">
        <v>0</v>
      </c>
      <c r="C20" s="6" t="s">
        <v>1045</v>
      </c>
      <c r="D20" s="6" t="s">
        <v>5</v>
      </c>
      <c r="E20" s="6" t="s">
        <v>1003</v>
      </c>
      <c r="F20" s="18" t="s">
        <v>3230</v>
      </c>
      <c r="G20" s="8">
        <v>0.73383299999999996</v>
      </c>
      <c r="H20" s="8">
        <v>7.1350600000000002</v>
      </c>
      <c r="I20" s="6" t="s">
        <v>2475</v>
      </c>
      <c r="J20" s="6" t="s">
        <v>2459</v>
      </c>
      <c r="K20" s="6" t="s">
        <v>2460</v>
      </c>
      <c r="L20" s="6" t="s">
        <v>1046</v>
      </c>
      <c r="M20" s="6" t="s">
        <v>177</v>
      </c>
      <c r="N20" s="21" t="s">
        <v>3269</v>
      </c>
      <c r="O20" s="6" t="s">
        <v>7</v>
      </c>
      <c r="P20" s="6" t="str">
        <f>VLOOKUP(Tableau1[[#This Row],[SITES NAMES]],[1]Feuil1!$1:$1048576,8,FALSE)</f>
        <v>NOK</v>
      </c>
      <c r="Q20" s="6" t="str">
        <f>VLOOKUP(Tableau1[[#This Row],[SITES NAMES]],[1]Feuil1!$1:$1048576,9,FALSE)</f>
        <v>NO</v>
      </c>
      <c r="R20" s="6" t="str">
        <f>VLOOKUP(Tableau1[[#This Row],[SITES NAMES]],[1]Feuil1!$1:$1048576,10,FALSE)</f>
        <v>YES</v>
      </c>
      <c r="S20" s="6" t="s">
        <v>2469</v>
      </c>
      <c r="T20" s="6" t="s">
        <v>2470</v>
      </c>
      <c r="U20" s="6" t="s">
        <v>2471</v>
      </c>
      <c r="V20" s="6" t="s">
        <v>2478</v>
      </c>
      <c r="W20" s="6" t="s">
        <v>2465</v>
      </c>
      <c r="X20" s="8">
        <v>70996549</v>
      </c>
      <c r="Y20" s="6" t="s">
        <v>3241</v>
      </c>
      <c r="Z20" s="6"/>
      <c r="AA20" s="37" t="s">
        <v>3634</v>
      </c>
      <c r="AB20" s="38" t="s">
        <v>3627</v>
      </c>
      <c r="AC20" s="37" t="s">
        <v>3635</v>
      </c>
      <c r="AD20" s="37" t="s">
        <v>3636</v>
      </c>
      <c r="AE20" s="37" t="s">
        <v>3637</v>
      </c>
      <c r="AF20" s="37" t="s">
        <v>3636</v>
      </c>
      <c r="AG20" s="37" t="s">
        <v>3638</v>
      </c>
      <c r="AH20" s="37" t="s">
        <v>3639</v>
      </c>
    </row>
    <row r="21" spans="1:34" ht="14.45" hidden="1" customHeight="1" x14ac:dyDescent="0.3">
      <c r="A21" s="6" t="s">
        <v>1002</v>
      </c>
      <c r="B21" s="7">
        <v>44826</v>
      </c>
      <c r="C21" s="6" t="s">
        <v>1001</v>
      </c>
      <c r="D21" s="6" t="s">
        <v>5</v>
      </c>
      <c r="E21" s="6" t="s">
        <v>1003</v>
      </c>
      <c r="F21" s="6" t="s">
        <v>3229</v>
      </c>
      <c r="G21" s="8">
        <v>0.73841100000000004</v>
      </c>
      <c r="H21" s="8">
        <v>7.1206709999999998</v>
      </c>
      <c r="I21" s="6" t="s">
        <v>2479</v>
      </c>
      <c r="J21" s="6" t="s">
        <v>2459</v>
      </c>
      <c r="K21" s="6" t="s">
        <v>2460</v>
      </c>
      <c r="L21" s="6"/>
      <c r="M21" s="6"/>
      <c r="N21" s="6" t="s">
        <v>3268</v>
      </c>
      <c r="O21" s="6" t="s">
        <v>7</v>
      </c>
      <c r="P21" s="6" t="str">
        <f>VLOOKUP(Tableau1[[#This Row],[SITES NAMES]],[1]Feuil1!$1:$1048576,8,FALSE)</f>
        <v>OK</v>
      </c>
      <c r="Q21" s="6" t="str">
        <f>VLOOKUP(Tableau1[[#This Row],[SITES NAMES]],[1]Feuil1!$1:$1048576,9,FALSE)</f>
        <v>NO</v>
      </c>
      <c r="R21" s="6" t="str">
        <f>VLOOKUP(Tableau1[[#This Row],[SITES NAMES]],[1]Feuil1!$1:$1048576,10,FALSE)</f>
        <v>YES</v>
      </c>
      <c r="S21" s="6" t="s">
        <v>2469</v>
      </c>
      <c r="T21" s="6" t="s">
        <v>2470</v>
      </c>
      <c r="U21" s="6" t="s">
        <v>2480</v>
      </c>
      <c r="V21" s="6" t="s">
        <v>2464</v>
      </c>
      <c r="W21" s="6" t="s">
        <v>2476</v>
      </c>
      <c r="X21" s="8"/>
      <c r="Y21" s="6" t="s">
        <v>3241</v>
      </c>
      <c r="Z21" s="6"/>
      <c r="AA21" s="37" t="s">
        <v>3634</v>
      </c>
      <c r="AB21" s="38" t="s">
        <v>3627</v>
      </c>
      <c r="AC21" s="37" t="s">
        <v>3635</v>
      </c>
      <c r="AD21" s="37" t="s">
        <v>3636</v>
      </c>
      <c r="AE21" s="37" t="s">
        <v>3637</v>
      </c>
      <c r="AF21" s="37" t="s">
        <v>3636</v>
      </c>
      <c r="AG21" s="37" t="s">
        <v>3638</v>
      </c>
      <c r="AH21" s="37" t="s">
        <v>3639</v>
      </c>
    </row>
    <row r="22" spans="1:34" ht="14.45" hidden="1" customHeight="1" x14ac:dyDescent="0.25">
      <c r="A22" s="6" t="s">
        <v>1462</v>
      </c>
      <c r="B22" s="7">
        <v>43800</v>
      </c>
      <c r="C22" s="6" t="s">
        <v>1461</v>
      </c>
      <c r="D22" s="6" t="s">
        <v>66</v>
      </c>
      <c r="E22" s="6" t="s">
        <v>3233</v>
      </c>
      <c r="F22" s="18" t="s">
        <v>3230</v>
      </c>
      <c r="G22" s="8">
        <v>1.219028</v>
      </c>
      <c r="H22" s="8">
        <v>6.3234716899999999</v>
      </c>
      <c r="I22" s="6" t="s">
        <v>2475</v>
      </c>
      <c r="J22" s="6" t="s">
        <v>2459</v>
      </c>
      <c r="K22" s="6" t="s">
        <v>2460</v>
      </c>
      <c r="L22" s="6" t="s">
        <v>1240</v>
      </c>
      <c r="M22" s="6" t="s">
        <v>2381</v>
      </c>
      <c r="N22" s="6" t="s">
        <v>3268</v>
      </c>
      <c r="O22" s="6" t="s">
        <v>7</v>
      </c>
      <c r="P22" s="6" t="str">
        <f>VLOOKUP(Tableau1[[#This Row],[SITES NAMES]],[1]Feuil1!$1:$1048576,8,FALSE)</f>
        <v>OK</v>
      </c>
      <c r="Q22" s="6" t="str">
        <f>VLOOKUP(Tableau1[[#This Row],[SITES NAMES]],[1]Feuil1!$1:$1048576,9,FALSE)</f>
        <v>NO</v>
      </c>
      <c r="R22" s="6" t="str">
        <f>VLOOKUP(Tableau1[[#This Row],[SITES NAMES]],[1]Feuil1!$1:$1048576,10,FALSE)</f>
        <v>YES</v>
      </c>
      <c r="S22" s="6" t="s">
        <v>2469</v>
      </c>
      <c r="T22" s="6" t="s">
        <v>2470</v>
      </c>
      <c r="U22" s="6" t="s">
        <v>2480</v>
      </c>
      <c r="V22" s="6" t="s">
        <v>2478</v>
      </c>
      <c r="W22" s="6" t="s">
        <v>2476</v>
      </c>
      <c r="X22" s="8">
        <v>70996520</v>
      </c>
      <c r="Y22" s="6" t="s">
        <v>3238</v>
      </c>
      <c r="Z22" s="6"/>
      <c r="AA22" s="35" t="s">
        <v>3616</v>
      </c>
      <c r="AB22" s="35" t="s">
        <v>3608</v>
      </c>
      <c r="AC22" s="35" t="s">
        <v>3617</v>
      </c>
      <c r="AD22" s="35" t="s">
        <v>3610</v>
      </c>
      <c r="AE22" s="35" t="s">
        <v>3610</v>
      </c>
      <c r="AF22" s="35" t="s">
        <v>3611</v>
      </c>
      <c r="AG22" s="35" t="s">
        <v>3612</v>
      </c>
      <c r="AH22" s="35" t="s">
        <v>3618</v>
      </c>
    </row>
    <row r="23" spans="1:34" ht="14.45" hidden="1" customHeight="1" x14ac:dyDescent="0.25">
      <c r="A23" s="6" t="s">
        <v>1464</v>
      </c>
      <c r="B23" s="7">
        <v>41445</v>
      </c>
      <c r="C23" s="6" t="s">
        <v>1463</v>
      </c>
      <c r="D23" s="6" t="s">
        <v>66</v>
      </c>
      <c r="E23" s="6" t="s">
        <v>3233</v>
      </c>
      <c r="F23" s="18" t="s">
        <v>3230</v>
      </c>
      <c r="G23" s="8">
        <v>1.2312777779999999</v>
      </c>
      <c r="H23" s="8">
        <v>6.306743451</v>
      </c>
      <c r="I23" s="6" t="s">
        <v>2486</v>
      </c>
      <c r="J23" s="6" t="s">
        <v>2459</v>
      </c>
      <c r="K23" s="6" t="s">
        <v>2460</v>
      </c>
      <c r="L23" s="6" t="s">
        <v>1272</v>
      </c>
      <c r="M23" s="6" t="s">
        <v>1462</v>
      </c>
      <c r="N23" s="6" t="s">
        <v>3268</v>
      </c>
      <c r="O23" s="6" t="s">
        <v>7</v>
      </c>
      <c r="P23" s="6" t="str">
        <f>VLOOKUP(Tableau1[[#This Row],[SITES NAMES]],[1]Feuil1!$1:$1048576,8,FALSE)</f>
        <v>OK</v>
      </c>
      <c r="Q23" s="6" t="str">
        <f>VLOOKUP(Tableau1[[#This Row],[SITES NAMES]],[1]Feuil1!$1:$1048576,9,FALSE)</f>
        <v>NO</v>
      </c>
      <c r="R23" s="6" t="str">
        <f>VLOOKUP(Tableau1[[#This Row],[SITES NAMES]],[1]Feuil1!$1:$1048576,10,FALSE)</f>
        <v>NO</v>
      </c>
      <c r="S23" s="6" t="s">
        <v>2469</v>
      </c>
      <c r="T23" s="6" t="s">
        <v>2470</v>
      </c>
      <c r="U23" s="6" t="s">
        <v>2480</v>
      </c>
      <c r="V23" s="6" t="s">
        <v>2478</v>
      </c>
      <c r="W23" s="6" t="s">
        <v>2476</v>
      </c>
      <c r="X23" s="8">
        <v>70996550</v>
      </c>
      <c r="Y23" s="6" t="s">
        <v>3238</v>
      </c>
      <c r="Z23" s="6"/>
      <c r="AA23" s="35" t="s">
        <v>3616</v>
      </c>
      <c r="AB23" s="35" t="s">
        <v>3608</v>
      </c>
      <c r="AC23" s="35" t="s">
        <v>3617</v>
      </c>
      <c r="AD23" s="35" t="s">
        <v>3610</v>
      </c>
      <c r="AE23" s="35" t="s">
        <v>3610</v>
      </c>
      <c r="AF23" s="35" t="s">
        <v>3611</v>
      </c>
      <c r="AG23" s="35" t="s">
        <v>3612</v>
      </c>
      <c r="AH23" s="35" t="s">
        <v>3618</v>
      </c>
    </row>
    <row r="24" spans="1:34" ht="14.45" hidden="1" customHeight="1" x14ac:dyDescent="0.25">
      <c r="A24" s="6" t="s">
        <v>1466</v>
      </c>
      <c r="B24" s="7">
        <v>43265</v>
      </c>
      <c r="C24" s="6" t="s">
        <v>1465</v>
      </c>
      <c r="D24" s="6" t="s">
        <v>66</v>
      </c>
      <c r="E24" s="6" t="s">
        <v>3233</v>
      </c>
      <c r="F24" s="6" t="s">
        <v>3229</v>
      </c>
      <c r="G24" s="8">
        <v>1.2074400000000001</v>
      </c>
      <c r="H24" s="8">
        <v>6.3191699999999997</v>
      </c>
      <c r="I24" s="6" t="s">
        <v>2475</v>
      </c>
      <c r="J24" s="6" t="s">
        <v>2459</v>
      </c>
      <c r="K24" s="6" t="s">
        <v>2460</v>
      </c>
      <c r="L24" s="6" t="s">
        <v>1444</v>
      </c>
      <c r="M24" s="6" t="s">
        <v>1474</v>
      </c>
      <c r="N24" s="6" t="s">
        <v>3268</v>
      </c>
      <c r="O24" s="6" t="s">
        <v>7</v>
      </c>
      <c r="P24" s="6" t="str">
        <f>VLOOKUP(Tableau1[[#This Row],[SITES NAMES]],[1]Feuil1!$1:$1048576,8,FALSE)</f>
        <v>OK</v>
      </c>
      <c r="Q24" s="6" t="str">
        <f>VLOOKUP(Tableau1[[#This Row],[SITES NAMES]],[1]Feuil1!$1:$1048576,9,FALSE)</f>
        <v>NO</v>
      </c>
      <c r="R24" s="6" t="str">
        <f>VLOOKUP(Tableau1[[#This Row],[SITES NAMES]],[1]Feuil1!$1:$1048576,10,FALSE)</f>
        <v>NO</v>
      </c>
      <c r="S24" s="6" t="s">
        <v>2469</v>
      </c>
      <c r="T24" s="6" t="s">
        <v>2470</v>
      </c>
      <c r="U24" s="6" t="s">
        <v>2471</v>
      </c>
      <c r="V24" s="6" t="s">
        <v>2464</v>
      </c>
      <c r="W24" s="6" t="s">
        <v>2476</v>
      </c>
      <c r="X24" s="8">
        <v>70996551</v>
      </c>
      <c r="Y24" s="6" t="s">
        <v>3238</v>
      </c>
      <c r="Z24" s="6"/>
      <c r="AA24" s="35" t="s">
        <v>3616</v>
      </c>
      <c r="AB24" s="35" t="s">
        <v>3608</v>
      </c>
      <c r="AC24" s="35" t="s">
        <v>3617</v>
      </c>
      <c r="AD24" s="35" t="s">
        <v>3610</v>
      </c>
      <c r="AE24" s="35" t="s">
        <v>3610</v>
      </c>
      <c r="AF24" s="35" t="s">
        <v>3611</v>
      </c>
      <c r="AG24" s="35" t="s">
        <v>3612</v>
      </c>
      <c r="AH24" s="35" t="s">
        <v>3618</v>
      </c>
    </row>
    <row r="25" spans="1:34" ht="14.45" hidden="1" customHeight="1" x14ac:dyDescent="0.25">
      <c r="A25" s="6" t="s">
        <v>1468</v>
      </c>
      <c r="B25" s="7">
        <v>45262</v>
      </c>
      <c r="C25" s="6" t="s">
        <v>1467</v>
      </c>
      <c r="D25" s="6" t="s">
        <v>66</v>
      </c>
      <c r="E25" s="6" t="s">
        <v>3233</v>
      </c>
      <c r="F25" s="6" t="s">
        <v>3229</v>
      </c>
      <c r="G25" s="8">
        <v>1.2223459999999999</v>
      </c>
      <c r="H25" s="8">
        <v>6.310778</v>
      </c>
      <c r="I25" s="6" t="s">
        <v>2475</v>
      </c>
      <c r="J25" s="6" t="s">
        <v>2459</v>
      </c>
      <c r="K25" s="6" t="s">
        <v>2460</v>
      </c>
      <c r="L25" s="6" t="s">
        <v>3328</v>
      </c>
      <c r="M25" s="6"/>
      <c r="N25" s="6" t="s">
        <v>3268</v>
      </c>
      <c r="O25" s="6" t="s">
        <v>7</v>
      </c>
      <c r="P25" s="6" t="str">
        <f>VLOOKUP(Tableau1[[#This Row],[SITES NAMES]],[1]Feuil1!$1:$1048576,8,FALSE)</f>
        <v>OK</v>
      </c>
      <c r="Q25" s="6" t="str">
        <f>VLOOKUP(Tableau1[[#This Row],[SITES NAMES]],[1]Feuil1!$1:$1048576,9,FALSE)</f>
        <v>NO</v>
      </c>
      <c r="R25" s="6" t="str">
        <f>VLOOKUP(Tableau1[[#This Row],[SITES NAMES]],[1]Feuil1!$1:$1048576,10,FALSE)</f>
        <v>NO</v>
      </c>
      <c r="S25" s="6" t="s">
        <v>2469</v>
      </c>
      <c r="T25" s="6" t="s">
        <v>2470</v>
      </c>
      <c r="U25" s="6" t="s">
        <v>2480</v>
      </c>
      <c r="V25" s="6" t="s">
        <v>2478</v>
      </c>
      <c r="W25" s="6" t="s">
        <v>2531</v>
      </c>
      <c r="X25" s="8"/>
      <c r="Y25" s="6" t="s">
        <v>3238</v>
      </c>
      <c r="Z25" s="6"/>
      <c r="AA25" s="35" t="s">
        <v>3616</v>
      </c>
      <c r="AB25" s="35" t="s">
        <v>3608</v>
      </c>
      <c r="AC25" s="35" t="s">
        <v>3617</v>
      </c>
      <c r="AD25" s="35" t="s">
        <v>3610</v>
      </c>
      <c r="AE25" s="35" t="s">
        <v>3610</v>
      </c>
      <c r="AF25" s="35" t="s">
        <v>3611</v>
      </c>
      <c r="AG25" s="35" t="s">
        <v>3612</v>
      </c>
      <c r="AH25" s="35" t="s">
        <v>3618</v>
      </c>
    </row>
    <row r="26" spans="1:34" ht="14.45" hidden="1" customHeight="1" x14ac:dyDescent="0.25">
      <c r="A26" s="6" t="s">
        <v>1470</v>
      </c>
      <c r="B26" s="7">
        <v>44608</v>
      </c>
      <c r="C26" s="6" t="s">
        <v>1469</v>
      </c>
      <c r="D26" s="6" t="s">
        <v>66</v>
      </c>
      <c r="E26" s="6" t="s">
        <v>3233</v>
      </c>
      <c r="F26" s="6" t="s">
        <v>3229</v>
      </c>
      <c r="G26" s="8">
        <v>1.2270399999999999</v>
      </c>
      <c r="H26" s="8">
        <v>6.3176899999999998</v>
      </c>
      <c r="I26" s="6" t="s">
        <v>2475</v>
      </c>
      <c r="J26" s="6" t="s">
        <v>2459</v>
      </c>
      <c r="K26" s="6" t="s">
        <v>2460</v>
      </c>
      <c r="L26" s="6" t="s">
        <v>1572</v>
      </c>
      <c r="M26" s="6" t="s">
        <v>1438</v>
      </c>
      <c r="N26" s="6" t="s">
        <v>3268</v>
      </c>
      <c r="O26" s="6" t="s">
        <v>7</v>
      </c>
      <c r="P26" s="6" t="str">
        <f>VLOOKUP(Tableau1[[#This Row],[SITES NAMES]],[1]Feuil1!$1:$1048576,8,FALSE)</f>
        <v>OK</v>
      </c>
      <c r="Q26" s="6" t="str">
        <f>VLOOKUP(Tableau1[[#This Row],[SITES NAMES]],[1]Feuil1!$1:$1048576,9,FALSE)</f>
        <v>NO</v>
      </c>
      <c r="R26" s="6" t="str">
        <f>VLOOKUP(Tableau1[[#This Row],[SITES NAMES]],[1]Feuil1!$1:$1048576,10,FALSE)</f>
        <v>YES</v>
      </c>
      <c r="S26" s="6" t="s">
        <v>2469</v>
      </c>
      <c r="T26" s="6" t="s">
        <v>2470</v>
      </c>
      <c r="U26" s="6" t="s">
        <v>2480</v>
      </c>
      <c r="V26" s="6" t="s">
        <v>2464</v>
      </c>
      <c r="W26" s="6" t="s">
        <v>2465</v>
      </c>
      <c r="X26" s="8">
        <v>70996450</v>
      </c>
      <c r="Y26" s="6" t="s">
        <v>3238</v>
      </c>
      <c r="Z26" s="6"/>
      <c r="AA26" s="35" t="s">
        <v>3616</v>
      </c>
      <c r="AB26" s="35" t="s">
        <v>3608</v>
      </c>
      <c r="AC26" s="35" t="s">
        <v>3617</v>
      </c>
      <c r="AD26" s="35" t="s">
        <v>3610</v>
      </c>
      <c r="AE26" s="35" t="s">
        <v>3610</v>
      </c>
      <c r="AF26" s="35" t="s">
        <v>3611</v>
      </c>
      <c r="AG26" s="35" t="s">
        <v>3612</v>
      </c>
      <c r="AH26" s="35" t="s">
        <v>3618</v>
      </c>
    </row>
    <row r="27" spans="1:34" ht="14.45" hidden="1" customHeight="1" x14ac:dyDescent="0.25">
      <c r="A27" s="6" t="s">
        <v>1438</v>
      </c>
      <c r="B27" s="7">
        <v>44608</v>
      </c>
      <c r="C27" s="6" t="s">
        <v>1437</v>
      </c>
      <c r="D27" s="6" t="s">
        <v>66</v>
      </c>
      <c r="E27" s="6" t="s">
        <v>3233</v>
      </c>
      <c r="F27" s="6" t="s">
        <v>3229</v>
      </c>
      <c r="G27" s="8">
        <v>1.2426159999999999</v>
      </c>
      <c r="H27" s="8">
        <v>6.2934669999999997</v>
      </c>
      <c r="I27" s="6" t="s">
        <v>2475</v>
      </c>
      <c r="J27" s="6" t="s">
        <v>2459</v>
      </c>
      <c r="K27" s="6" t="s">
        <v>2460</v>
      </c>
      <c r="L27" s="6" t="s">
        <v>1470</v>
      </c>
      <c r="M27" s="6"/>
      <c r="N27" s="6" t="s">
        <v>3268</v>
      </c>
      <c r="O27" s="6" t="s">
        <v>7</v>
      </c>
      <c r="P27" s="6" t="str">
        <f>VLOOKUP(Tableau1[[#This Row],[SITES NAMES]],[1]Feuil1!$1:$1048576,8,FALSE)</f>
        <v>OK</v>
      </c>
      <c r="Q27" s="6" t="str">
        <f>VLOOKUP(Tableau1[[#This Row],[SITES NAMES]],[1]Feuil1!$1:$1048576,9,FALSE)</f>
        <v>NO</v>
      </c>
      <c r="R27" s="6" t="str">
        <f>VLOOKUP(Tableau1[[#This Row],[SITES NAMES]],[1]Feuil1!$1:$1048576,10,FALSE)</f>
        <v>YES</v>
      </c>
      <c r="S27" s="6" t="s">
        <v>2469</v>
      </c>
      <c r="T27" s="6" t="s">
        <v>2470</v>
      </c>
      <c r="U27" s="6" t="s">
        <v>2480</v>
      </c>
      <c r="V27" s="6" t="s">
        <v>2472</v>
      </c>
      <c r="W27" s="6" t="s">
        <v>2465</v>
      </c>
      <c r="X27" s="8">
        <v>70996451</v>
      </c>
      <c r="Y27" s="6" t="s">
        <v>3238</v>
      </c>
      <c r="Z27" s="6"/>
      <c r="AA27" s="35" t="s">
        <v>3616</v>
      </c>
      <c r="AB27" s="35" t="s">
        <v>3608</v>
      </c>
      <c r="AC27" s="35" t="s">
        <v>3617</v>
      </c>
      <c r="AD27" s="35" t="s">
        <v>3610</v>
      </c>
      <c r="AE27" s="35" t="s">
        <v>3610</v>
      </c>
      <c r="AF27" s="35" t="s">
        <v>3611</v>
      </c>
      <c r="AG27" s="35" t="s">
        <v>3612</v>
      </c>
      <c r="AH27" s="35" t="s">
        <v>3618</v>
      </c>
    </row>
    <row r="28" spans="1:34" s="31" customFormat="1" ht="14.45" hidden="1" customHeight="1" x14ac:dyDescent="0.25">
      <c r="A28" s="6" t="s">
        <v>1472</v>
      </c>
      <c r="B28" s="29">
        <v>44130</v>
      </c>
      <c r="C28" s="29" t="s">
        <v>1471</v>
      </c>
      <c r="D28" s="29" t="s">
        <v>66</v>
      </c>
      <c r="E28" s="29" t="s">
        <v>3233</v>
      </c>
      <c r="F28" s="29" t="s">
        <v>3229</v>
      </c>
      <c r="G28" s="30">
        <v>1.2350912000000001</v>
      </c>
      <c r="H28" s="30">
        <v>6.3250421000000001</v>
      </c>
      <c r="I28" s="29" t="s">
        <v>2497</v>
      </c>
      <c r="J28" s="29" t="s">
        <v>2459</v>
      </c>
      <c r="K28" s="6" t="s">
        <v>2460</v>
      </c>
      <c r="L28" s="29"/>
      <c r="M28" s="29" t="s">
        <v>3329</v>
      </c>
      <c r="N28" s="29" t="s">
        <v>3268</v>
      </c>
      <c r="O28" s="29" t="s">
        <v>7</v>
      </c>
      <c r="P28" s="29"/>
      <c r="Q28" s="29" t="str">
        <f>VLOOKUP(Tableau1[[#This Row],[SITES NAMES]],[1]Feuil1!$1:$1048576,9,FALSE)</f>
        <v>NO</v>
      </c>
      <c r="R28" s="29"/>
      <c r="S28" s="29" t="s">
        <v>2469</v>
      </c>
      <c r="T28" s="29" t="s">
        <v>2470</v>
      </c>
      <c r="U28" s="29" t="s">
        <v>2480</v>
      </c>
      <c r="V28" s="29" t="s">
        <v>2478</v>
      </c>
      <c r="W28" s="29" t="s">
        <v>2465</v>
      </c>
      <c r="X28" s="30"/>
      <c r="Y28" s="29" t="s">
        <v>3238</v>
      </c>
      <c r="Z28" s="29"/>
      <c r="AA28" s="35" t="s">
        <v>3616</v>
      </c>
      <c r="AB28" s="35" t="s">
        <v>3608</v>
      </c>
      <c r="AC28" s="35" t="s">
        <v>3617</v>
      </c>
      <c r="AD28" s="35" t="s">
        <v>3610</v>
      </c>
      <c r="AE28" s="35" t="s">
        <v>3610</v>
      </c>
      <c r="AF28" s="35" t="s">
        <v>3611</v>
      </c>
      <c r="AG28" s="35" t="s">
        <v>3612</v>
      </c>
      <c r="AH28" s="35" t="s">
        <v>3618</v>
      </c>
    </row>
    <row r="29" spans="1:34" ht="14.45" hidden="1" customHeight="1" x14ac:dyDescent="0.25">
      <c r="A29" s="6" t="s">
        <v>1474</v>
      </c>
      <c r="B29" s="7">
        <v>45282</v>
      </c>
      <c r="C29" s="6" t="s">
        <v>1473</v>
      </c>
      <c r="D29" s="6" t="s">
        <v>66</v>
      </c>
      <c r="E29" s="6" t="s">
        <v>3233</v>
      </c>
      <c r="F29" s="18" t="s">
        <v>3230</v>
      </c>
      <c r="G29" s="8">
        <v>1.2151380000000001</v>
      </c>
      <c r="H29" s="8">
        <v>6.326835</v>
      </c>
      <c r="I29" s="6" t="s">
        <v>2475</v>
      </c>
      <c r="J29" s="6" t="s">
        <v>2459</v>
      </c>
      <c r="K29" s="6" t="s">
        <v>2460</v>
      </c>
      <c r="L29" s="6" t="s">
        <v>1466</v>
      </c>
      <c r="M29" s="6" t="s">
        <v>3461</v>
      </c>
      <c r="N29" s="6" t="s">
        <v>3268</v>
      </c>
      <c r="O29" s="6" t="s">
        <v>7</v>
      </c>
      <c r="P29" s="6" t="str">
        <f>VLOOKUP(Tableau1[[#This Row],[SITES NAMES]],[1]Feuil1!$1:$1048576,8,FALSE)</f>
        <v>OK</v>
      </c>
      <c r="Q29" s="6" t="str">
        <f>VLOOKUP(Tableau1[[#This Row],[SITES NAMES]],[1]Feuil1!$1:$1048576,9,FALSE)</f>
        <v>NO</v>
      </c>
      <c r="R29" s="6" t="str">
        <f>VLOOKUP(Tableau1[[#This Row],[SITES NAMES]],[1]Feuil1!$1:$1048576,10,FALSE)</f>
        <v>NO</v>
      </c>
      <c r="S29" s="6" t="s">
        <v>2469</v>
      </c>
      <c r="T29" s="6" t="s">
        <v>2470</v>
      </c>
      <c r="U29" s="6" t="s">
        <v>2480</v>
      </c>
      <c r="V29" s="6" t="s">
        <v>2464</v>
      </c>
      <c r="W29" s="6" t="s">
        <v>2785</v>
      </c>
      <c r="X29" s="8"/>
      <c r="Y29" s="6" t="s">
        <v>3238</v>
      </c>
      <c r="Z29" s="6"/>
      <c r="AA29" s="35" t="s">
        <v>3616</v>
      </c>
      <c r="AB29" s="35" t="s">
        <v>3608</v>
      </c>
      <c r="AC29" s="35" t="s">
        <v>3617</v>
      </c>
      <c r="AD29" s="35" t="s">
        <v>3610</v>
      </c>
      <c r="AE29" s="35" t="s">
        <v>3610</v>
      </c>
      <c r="AF29" s="35" t="s">
        <v>3611</v>
      </c>
      <c r="AG29" s="35" t="s">
        <v>3612</v>
      </c>
      <c r="AH29" s="35" t="s">
        <v>3618</v>
      </c>
    </row>
    <row r="30" spans="1:34" ht="14.45" hidden="1" customHeight="1" x14ac:dyDescent="0.25">
      <c r="A30" s="6" t="s">
        <v>1476</v>
      </c>
      <c r="B30" s="7">
        <v>43876</v>
      </c>
      <c r="C30" s="6" t="s">
        <v>1475</v>
      </c>
      <c r="D30" s="6" t="s">
        <v>66</v>
      </c>
      <c r="E30" s="6" t="s">
        <v>3233</v>
      </c>
      <c r="F30" s="6" t="s">
        <v>3229</v>
      </c>
      <c r="G30" s="8">
        <v>1.2446429999999999</v>
      </c>
      <c r="H30" s="8">
        <v>6.3141860000000003</v>
      </c>
      <c r="I30" s="6" t="s">
        <v>2486</v>
      </c>
      <c r="J30" s="6" t="s">
        <v>2459</v>
      </c>
      <c r="K30" s="6" t="s">
        <v>2460</v>
      </c>
      <c r="L30" s="6" t="s">
        <v>1203</v>
      </c>
      <c r="M30" s="6" t="s">
        <v>3462</v>
      </c>
      <c r="N30" s="6" t="s">
        <v>3268</v>
      </c>
      <c r="O30" s="6" t="s">
        <v>7</v>
      </c>
      <c r="P30" s="6" t="str">
        <f>VLOOKUP(Tableau1[[#This Row],[SITES NAMES]],[1]Feuil1!$1:$1048576,8,FALSE)</f>
        <v>OK</v>
      </c>
      <c r="Q30" s="6" t="str">
        <f>VLOOKUP(Tableau1[[#This Row],[SITES NAMES]],[1]Feuil1!$1:$1048576,9,FALSE)</f>
        <v>NO</v>
      </c>
      <c r="R30" s="6" t="str">
        <f>VLOOKUP(Tableau1[[#This Row],[SITES NAMES]],[1]Feuil1!$1:$1048576,10,FALSE)</f>
        <v>NO</v>
      </c>
      <c r="S30" s="6" t="s">
        <v>2469</v>
      </c>
      <c r="T30" s="6" t="s">
        <v>2470</v>
      </c>
      <c r="U30" s="6" t="s">
        <v>2480</v>
      </c>
      <c r="V30" s="6" t="s">
        <v>2478</v>
      </c>
      <c r="W30" s="6" t="s">
        <v>2476</v>
      </c>
      <c r="X30" s="8">
        <v>70996552</v>
      </c>
      <c r="Y30" s="6" t="s">
        <v>3238</v>
      </c>
      <c r="Z30" s="6"/>
      <c r="AA30" s="35" t="s">
        <v>3616</v>
      </c>
      <c r="AB30" s="35" t="s">
        <v>3608</v>
      </c>
      <c r="AC30" s="35" t="s">
        <v>3617</v>
      </c>
      <c r="AD30" s="35" t="s">
        <v>3610</v>
      </c>
      <c r="AE30" s="35" t="s">
        <v>3610</v>
      </c>
      <c r="AF30" s="35" t="s">
        <v>3611</v>
      </c>
      <c r="AG30" s="35" t="s">
        <v>3612</v>
      </c>
      <c r="AH30" s="35" t="s">
        <v>3618</v>
      </c>
    </row>
    <row r="31" spans="1:34" ht="14.45" hidden="1" customHeight="1" x14ac:dyDescent="0.25">
      <c r="A31" s="6" t="s">
        <v>1201</v>
      </c>
      <c r="B31" s="7">
        <v>37926</v>
      </c>
      <c r="C31" s="6" t="s">
        <v>1200</v>
      </c>
      <c r="D31" s="6" t="s">
        <v>66</v>
      </c>
      <c r="E31" s="6" t="s">
        <v>1924</v>
      </c>
      <c r="F31" s="6" t="s">
        <v>3229</v>
      </c>
      <c r="G31" s="8">
        <v>1.220761</v>
      </c>
      <c r="H31" s="8">
        <v>6.1602571690000003</v>
      </c>
      <c r="I31" s="6" t="s">
        <v>2497</v>
      </c>
      <c r="J31" s="6" t="s">
        <v>2459</v>
      </c>
      <c r="K31" s="6" t="s">
        <v>2460</v>
      </c>
      <c r="L31" s="6" t="s">
        <v>3463</v>
      </c>
      <c r="M31" s="6" t="s">
        <v>1924</v>
      </c>
      <c r="N31" s="6" t="s">
        <v>3268</v>
      </c>
      <c r="O31" s="6" t="s">
        <v>7</v>
      </c>
      <c r="P31" s="6" t="str">
        <f>VLOOKUP(Tableau1[[#This Row],[SITES NAMES]],[1]Feuil1!$1:$1048576,8,FALSE)</f>
        <v>OK</v>
      </c>
      <c r="Q31" s="6" t="str">
        <f>VLOOKUP(Tableau1[[#This Row],[SITES NAMES]],[1]Feuil1!$1:$1048576,9,FALSE)</f>
        <v>NO</v>
      </c>
      <c r="R31" s="6" t="str">
        <f>VLOOKUP(Tableau1[[#This Row],[SITES NAMES]],[1]Feuil1!$1:$1048576,10,FALSE)</f>
        <v>YES</v>
      </c>
      <c r="S31" s="6" t="s">
        <v>2469</v>
      </c>
      <c r="T31" s="6" t="s">
        <v>2470</v>
      </c>
      <c r="U31" s="6" t="s">
        <v>2471</v>
      </c>
      <c r="V31" s="6" t="s">
        <v>2464</v>
      </c>
      <c r="W31" s="6" t="s">
        <v>2476</v>
      </c>
      <c r="X31" s="8">
        <v>70996521</v>
      </c>
      <c r="Y31" s="6" t="s">
        <v>3238</v>
      </c>
      <c r="Z31" s="6" t="s">
        <v>3261</v>
      </c>
      <c r="AA31" s="35" t="s">
        <v>3607</v>
      </c>
      <c r="AB31" s="35" t="s">
        <v>3608</v>
      </c>
      <c r="AC31" s="35" t="s">
        <v>3609</v>
      </c>
      <c r="AD31" s="35" t="s">
        <v>3610</v>
      </c>
      <c r="AE31" s="35" t="s">
        <v>3610</v>
      </c>
      <c r="AF31" s="35" t="s">
        <v>3611</v>
      </c>
      <c r="AG31" s="35" t="s">
        <v>3612</v>
      </c>
      <c r="AH31" s="35" t="s">
        <v>3613</v>
      </c>
    </row>
    <row r="32" spans="1:34" ht="14.45" hidden="1" customHeight="1" x14ac:dyDescent="0.25">
      <c r="A32" s="6" t="s">
        <v>1478</v>
      </c>
      <c r="B32" s="7">
        <v>40455</v>
      </c>
      <c r="C32" s="6" t="s">
        <v>1477</v>
      </c>
      <c r="D32" s="6" t="s">
        <v>66</v>
      </c>
      <c r="E32" s="6" t="s">
        <v>3233</v>
      </c>
      <c r="F32" s="6" t="s">
        <v>3229</v>
      </c>
      <c r="G32" s="8">
        <v>1.186714</v>
      </c>
      <c r="H32" s="8">
        <v>6.2056330419999997</v>
      </c>
      <c r="I32" s="6" t="s">
        <v>2497</v>
      </c>
      <c r="J32" s="6" t="s">
        <v>2459</v>
      </c>
      <c r="K32" s="6" t="s">
        <v>2460</v>
      </c>
      <c r="L32" s="6" t="s">
        <v>1510</v>
      </c>
      <c r="M32" s="6"/>
      <c r="N32" s="6" t="s">
        <v>3268</v>
      </c>
      <c r="O32" s="6" t="s">
        <v>1206</v>
      </c>
      <c r="P32" s="6"/>
      <c r="Q32" s="6" t="str">
        <f>VLOOKUP(Tableau1[[#This Row],[SITES NAMES]],[1]Feuil1!$1:$1048576,9,FALSE)</f>
        <v>YES</v>
      </c>
      <c r="R32" s="6" t="str">
        <f>VLOOKUP(Tableau1[[#This Row],[SITES NAMES]],[1]Feuil1!$1:$1048576,10,FALSE)</f>
        <v>YES</v>
      </c>
      <c r="S32" s="6" t="s">
        <v>2461</v>
      </c>
      <c r="T32" s="6" t="s">
        <v>2462</v>
      </c>
      <c r="U32" s="6" t="s">
        <v>2463</v>
      </c>
      <c r="V32" s="6" t="s">
        <v>2478</v>
      </c>
      <c r="W32" s="6" t="s">
        <v>2476</v>
      </c>
      <c r="X32" s="8"/>
      <c r="Y32" s="6" t="s">
        <v>3238</v>
      </c>
      <c r="Z32" s="6"/>
      <c r="AA32" s="35" t="s">
        <v>3616</v>
      </c>
      <c r="AB32" s="35" t="s">
        <v>3608</v>
      </c>
      <c r="AC32" s="35" t="s">
        <v>3617</v>
      </c>
      <c r="AD32" s="35" t="s">
        <v>3610</v>
      </c>
      <c r="AE32" s="35" t="s">
        <v>3610</v>
      </c>
      <c r="AF32" s="35" t="s">
        <v>3611</v>
      </c>
      <c r="AG32" s="35" t="s">
        <v>3612</v>
      </c>
      <c r="AH32" s="35" t="s">
        <v>3618</v>
      </c>
    </row>
    <row r="33" spans="1:34" ht="14.45" hidden="1" customHeight="1" x14ac:dyDescent="0.25">
      <c r="A33" s="6" t="s">
        <v>1734</v>
      </c>
      <c r="B33" s="7">
        <v>0</v>
      </c>
      <c r="C33" s="6" t="s">
        <v>1733</v>
      </c>
      <c r="D33" s="6" t="s">
        <v>1735</v>
      </c>
      <c r="E33" s="6" t="s">
        <v>3234</v>
      </c>
      <c r="F33" s="18" t="s">
        <v>3230</v>
      </c>
      <c r="G33" s="8">
        <v>1.1739170000000001</v>
      </c>
      <c r="H33" s="8">
        <v>6.1796402510000004</v>
      </c>
      <c r="I33" s="6" t="s">
        <v>2497</v>
      </c>
      <c r="J33" s="6" t="s">
        <v>2459</v>
      </c>
      <c r="K33" s="6" t="s">
        <v>2460</v>
      </c>
      <c r="L33" s="6" t="s">
        <v>1924</v>
      </c>
      <c r="M33" s="6" t="s">
        <v>1797</v>
      </c>
      <c r="N33" s="6" t="s">
        <v>3268</v>
      </c>
      <c r="O33" s="6" t="s">
        <v>7</v>
      </c>
      <c r="P33" s="6" t="str">
        <f>VLOOKUP(Tableau1[[#This Row],[SITES NAMES]],[1]Feuil1!$1:$1048576,8,FALSE)</f>
        <v>OK</v>
      </c>
      <c r="Q33" s="6" t="str">
        <f>VLOOKUP(Tableau1[[#This Row],[SITES NAMES]],[1]Feuil1!$1:$1048576,9,FALSE)</f>
        <v>YES</v>
      </c>
      <c r="R33" s="6" t="str">
        <f>VLOOKUP(Tableau1[[#This Row],[SITES NAMES]],[1]Feuil1!$1:$1048576,10,FALSE)</f>
        <v>NO</v>
      </c>
      <c r="S33" s="6" t="s">
        <v>2469</v>
      </c>
      <c r="T33" s="6" t="s">
        <v>2470</v>
      </c>
      <c r="U33" s="6" t="s">
        <v>2480</v>
      </c>
      <c r="V33" s="6" t="s">
        <v>2478</v>
      </c>
      <c r="W33" s="6" t="s">
        <v>2476</v>
      </c>
      <c r="X33" s="8"/>
      <c r="Y33" s="6" t="s">
        <v>3238</v>
      </c>
      <c r="Z33" s="6"/>
      <c r="AA33" s="35" t="s">
        <v>3607</v>
      </c>
      <c r="AB33" s="35" t="s">
        <v>3608</v>
      </c>
      <c r="AC33" s="35" t="s">
        <v>3614</v>
      </c>
      <c r="AD33" s="35" t="s">
        <v>3610</v>
      </c>
      <c r="AE33" s="35" t="s">
        <v>3610</v>
      </c>
      <c r="AF33" s="35" t="s">
        <v>3611</v>
      </c>
      <c r="AG33" s="35" t="s">
        <v>3612</v>
      </c>
      <c r="AH33" s="35" t="s">
        <v>3615</v>
      </c>
    </row>
    <row r="34" spans="1:34" ht="14.45" hidden="1" customHeight="1" x14ac:dyDescent="0.25">
      <c r="A34" s="6" t="s">
        <v>1737</v>
      </c>
      <c r="B34" s="7">
        <v>38687</v>
      </c>
      <c r="C34" s="6" t="s">
        <v>1736</v>
      </c>
      <c r="D34" s="6" t="s">
        <v>66</v>
      </c>
      <c r="E34" s="6" t="s">
        <v>3234</v>
      </c>
      <c r="F34" s="6" t="s">
        <v>3229</v>
      </c>
      <c r="G34" s="8">
        <v>1.153149</v>
      </c>
      <c r="H34" s="8">
        <v>6.1942678219999996</v>
      </c>
      <c r="I34" s="6" t="s">
        <v>2497</v>
      </c>
      <c r="J34" s="6" t="s">
        <v>2459</v>
      </c>
      <c r="K34" s="6" t="s">
        <v>2460</v>
      </c>
      <c r="L34" s="6" t="s">
        <v>3464</v>
      </c>
      <c r="M34" s="6" t="s">
        <v>1924</v>
      </c>
      <c r="N34" s="6" t="s">
        <v>3268</v>
      </c>
      <c r="O34" s="6" t="s">
        <v>7</v>
      </c>
      <c r="P34" s="6" t="str">
        <f>VLOOKUP(Tableau1[[#This Row],[SITES NAMES]],[1]Feuil1!$1:$1048576,8,FALSE)</f>
        <v>OK</v>
      </c>
      <c r="Q34" s="6" t="str">
        <f>VLOOKUP(Tableau1[[#This Row],[SITES NAMES]],[1]Feuil1!$1:$1048576,9,FALSE)</f>
        <v>NO</v>
      </c>
      <c r="R34" s="6" t="str">
        <f>VLOOKUP(Tableau1[[#This Row],[SITES NAMES]],[1]Feuil1!$1:$1048576,10,FALSE)</f>
        <v>NO</v>
      </c>
      <c r="S34" s="6" t="s">
        <v>2469</v>
      </c>
      <c r="T34" s="6" t="s">
        <v>2470</v>
      </c>
      <c r="U34" s="6" t="s">
        <v>2463</v>
      </c>
      <c r="V34" s="6" t="s">
        <v>2478</v>
      </c>
      <c r="W34" s="6" t="s">
        <v>2476</v>
      </c>
      <c r="X34" s="8">
        <v>70996553</v>
      </c>
      <c r="Y34" s="6" t="s">
        <v>3238</v>
      </c>
      <c r="Z34" s="6"/>
      <c r="AA34" s="35" t="s">
        <v>3607</v>
      </c>
      <c r="AB34" s="35" t="s">
        <v>3608</v>
      </c>
      <c r="AC34" s="35" t="s">
        <v>3614</v>
      </c>
      <c r="AD34" s="35" t="s">
        <v>3610</v>
      </c>
      <c r="AE34" s="35" t="s">
        <v>3610</v>
      </c>
      <c r="AF34" s="35" t="s">
        <v>3611</v>
      </c>
      <c r="AG34" s="35" t="s">
        <v>3612</v>
      </c>
      <c r="AH34" s="35" t="s">
        <v>3615</v>
      </c>
    </row>
    <row r="35" spans="1:34" ht="14.45" hidden="1" customHeight="1" x14ac:dyDescent="0.25">
      <c r="A35" s="6" t="s">
        <v>1739</v>
      </c>
      <c r="B35" s="7">
        <v>40192</v>
      </c>
      <c r="C35" s="6" t="s">
        <v>1738</v>
      </c>
      <c r="D35" s="6" t="s">
        <v>66</v>
      </c>
      <c r="E35" s="6" t="s">
        <v>3234</v>
      </c>
      <c r="F35" s="6" t="s">
        <v>3229</v>
      </c>
      <c r="G35" s="8">
        <v>1.1785129999999999</v>
      </c>
      <c r="H35" s="8">
        <v>6.177367007</v>
      </c>
      <c r="I35" s="6" t="s">
        <v>2475</v>
      </c>
      <c r="J35" s="6" t="s">
        <v>2459</v>
      </c>
      <c r="K35" s="6" t="s">
        <v>2460</v>
      </c>
      <c r="L35" s="6" t="s">
        <v>1781</v>
      </c>
      <c r="M35" s="6"/>
      <c r="N35" s="6" t="s">
        <v>3268</v>
      </c>
      <c r="O35" s="6" t="s">
        <v>7</v>
      </c>
      <c r="P35" s="6" t="str">
        <f>VLOOKUP(Tableau1[[#This Row],[SITES NAMES]],[1]Feuil1!$1:$1048576,8,FALSE)</f>
        <v>NOK</v>
      </c>
      <c r="Q35" s="6" t="str">
        <f>VLOOKUP(Tableau1[[#This Row],[SITES NAMES]],[1]Feuil1!$1:$1048576,9,FALSE)</f>
        <v>NO</v>
      </c>
      <c r="R35" s="6" t="str">
        <f>VLOOKUP(Tableau1[[#This Row],[SITES NAMES]],[1]Feuil1!$1:$1048576,10,FALSE)</f>
        <v>NO</v>
      </c>
      <c r="S35" s="6" t="s">
        <v>2469</v>
      </c>
      <c r="T35" s="6" t="s">
        <v>2470</v>
      </c>
      <c r="U35" s="6" t="s">
        <v>2480</v>
      </c>
      <c r="V35" s="6" t="s">
        <v>2472</v>
      </c>
      <c r="W35" s="6" t="s">
        <v>2476</v>
      </c>
      <c r="X35" s="8"/>
      <c r="Y35" s="6" t="s">
        <v>3238</v>
      </c>
      <c r="Z35" s="6"/>
      <c r="AA35" s="35" t="s">
        <v>3607</v>
      </c>
      <c r="AB35" s="35" t="s">
        <v>3608</v>
      </c>
      <c r="AC35" s="35" t="s">
        <v>3614</v>
      </c>
      <c r="AD35" s="35" t="s">
        <v>3610</v>
      </c>
      <c r="AE35" s="35" t="s">
        <v>3610</v>
      </c>
      <c r="AF35" s="35" t="s">
        <v>3611</v>
      </c>
      <c r="AG35" s="35" t="s">
        <v>3612</v>
      </c>
      <c r="AH35" s="35" t="s">
        <v>3615</v>
      </c>
    </row>
    <row r="36" spans="1:34" ht="14.45" hidden="1" customHeight="1" x14ac:dyDescent="0.25">
      <c r="A36" s="6" t="s">
        <v>1741</v>
      </c>
      <c r="B36" s="7">
        <v>45098</v>
      </c>
      <c r="C36" s="6" t="s">
        <v>1740</v>
      </c>
      <c r="D36" s="6" t="s">
        <v>66</v>
      </c>
      <c r="E36" s="6" t="s">
        <v>3234</v>
      </c>
      <c r="F36" s="6" t="s">
        <v>3229</v>
      </c>
      <c r="G36" s="8">
        <v>1.177044</v>
      </c>
      <c r="H36" s="8">
        <v>6.1820000000000004</v>
      </c>
      <c r="I36" s="6" t="s">
        <v>2475</v>
      </c>
      <c r="J36" s="6" t="s">
        <v>2459</v>
      </c>
      <c r="K36" s="6" t="s">
        <v>2460</v>
      </c>
      <c r="L36" s="6"/>
      <c r="M36" s="6"/>
      <c r="N36" s="6" t="s">
        <v>3268</v>
      </c>
      <c r="O36" s="6" t="s">
        <v>7</v>
      </c>
      <c r="P36" s="6" t="str">
        <f>VLOOKUP(Tableau1[[#This Row],[SITES NAMES]],[1]Feuil1!$1:$1048576,8,FALSE)</f>
        <v>OK</v>
      </c>
      <c r="Q36" s="6" t="str">
        <f>VLOOKUP(Tableau1[[#This Row],[SITES NAMES]],[1]Feuil1!$1:$1048576,9,FALSE)</f>
        <v>NO</v>
      </c>
      <c r="R36" s="6" t="str">
        <f>VLOOKUP(Tableau1[[#This Row],[SITES NAMES]],[1]Feuil1!$1:$1048576,10,FALSE)</f>
        <v>NO</v>
      </c>
      <c r="S36" s="6" t="s">
        <v>2469</v>
      </c>
      <c r="T36" s="6" t="s">
        <v>2470</v>
      </c>
      <c r="U36" s="6" t="s">
        <v>2480</v>
      </c>
      <c r="V36" s="6" t="s">
        <v>2472</v>
      </c>
      <c r="W36" s="6" t="s">
        <v>2476</v>
      </c>
      <c r="X36" s="8">
        <v>70997311</v>
      </c>
      <c r="Y36" s="6" t="s">
        <v>3238</v>
      </c>
      <c r="Z36" s="6"/>
      <c r="AA36" s="35" t="s">
        <v>3607</v>
      </c>
      <c r="AB36" s="35" t="s">
        <v>3608</v>
      </c>
      <c r="AC36" s="35" t="s">
        <v>3614</v>
      </c>
      <c r="AD36" s="35" t="s">
        <v>3610</v>
      </c>
      <c r="AE36" s="35" t="s">
        <v>3610</v>
      </c>
      <c r="AF36" s="35" t="s">
        <v>3611</v>
      </c>
      <c r="AG36" s="35" t="s">
        <v>3612</v>
      </c>
      <c r="AH36" s="35" t="s">
        <v>3615</v>
      </c>
    </row>
    <row r="37" spans="1:34" ht="14.45" hidden="1" customHeight="1" x14ac:dyDescent="0.25">
      <c r="A37" s="6" t="s">
        <v>1743</v>
      </c>
      <c r="B37" s="7">
        <v>45237</v>
      </c>
      <c r="C37" s="6" t="s">
        <v>1742</v>
      </c>
      <c r="D37" s="6" t="s">
        <v>66</v>
      </c>
      <c r="E37" s="6" t="s">
        <v>3234</v>
      </c>
      <c r="F37" s="6" t="s">
        <v>3229</v>
      </c>
      <c r="G37" s="8">
        <v>1.1482000000000001</v>
      </c>
      <c r="H37" s="8">
        <v>6.1985000000000001</v>
      </c>
      <c r="I37" s="6" t="s">
        <v>2475</v>
      </c>
      <c r="J37" s="6" t="s">
        <v>2459</v>
      </c>
      <c r="K37" s="6" t="s">
        <v>2460</v>
      </c>
      <c r="L37" s="6" t="s">
        <v>1755</v>
      </c>
      <c r="M37" s="6" t="s">
        <v>1488</v>
      </c>
      <c r="N37" s="6" t="s">
        <v>3268</v>
      </c>
      <c r="O37" s="6" t="s">
        <v>7</v>
      </c>
      <c r="P37" s="6" t="str">
        <f>VLOOKUP(Tableau1[[#This Row],[SITES NAMES]],[1]Feuil1!$1:$1048576,8,FALSE)</f>
        <v>OK</v>
      </c>
      <c r="Q37" s="6" t="str">
        <f>VLOOKUP(Tableau1[[#This Row],[SITES NAMES]],[1]Feuil1!$1:$1048576,9,FALSE)</f>
        <v>NO</v>
      </c>
      <c r="R37" s="6" t="str">
        <f>VLOOKUP(Tableau1[[#This Row],[SITES NAMES]],[1]Feuil1!$1:$1048576,10,FALSE)</f>
        <v>NO</v>
      </c>
      <c r="S37" s="6" t="s">
        <v>2469</v>
      </c>
      <c r="T37" s="6" t="s">
        <v>2470</v>
      </c>
      <c r="U37" s="6" t="s">
        <v>2463</v>
      </c>
      <c r="V37" s="6" t="s">
        <v>2464</v>
      </c>
      <c r="W37" s="6" t="s">
        <v>2531</v>
      </c>
      <c r="X37" s="8"/>
      <c r="Y37" s="6" t="s">
        <v>3238</v>
      </c>
      <c r="Z37" s="36"/>
      <c r="AA37" s="35" t="s">
        <v>3607</v>
      </c>
      <c r="AB37" s="35" t="s">
        <v>3608</v>
      </c>
      <c r="AC37" s="35" t="s">
        <v>3614</v>
      </c>
      <c r="AD37" s="35" t="s">
        <v>3610</v>
      </c>
      <c r="AE37" s="35" t="s">
        <v>3610</v>
      </c>
      <c r="AF37" s="35" t="s">
        <v>3611</v>
      </c>
      <c r="AG37" s="35" t="s">
        <v>3612</v>
      </c>
      <c r="AH37" s="35" t="s">
        <v>3615</v>
      </c>
    </row>
    <row r="38" spans="1:34" ht="14.45" hidden="1" customHeight="1" x14ac:dyDescent="0.3">
      <c r="A38" s="6" t="s">
        <v>147</v>
      </c>
      <c r="B38" s="7">
        <v>46022</v>
      </c>
      <c r="C38" s="6" t="s">
        <v>146</v>
      </c>
      <c r="D38" s="6" t="s">
        <v>132</v>
      </c>
      <c r="E38" s="6" t="s">
        <v>133</v>
      </c>
      <c r="F38" s="6" t="s">
        <v>3229</v>
      </c>
      <c r="G38" s="8">
        <v>1.02372</v>
      </c>
      <c r="H38" s="8">
        <v>7.5133200000000002</v>
      </c>
      <c r="I38" s="6" t="e">
        <v>#N/A</v>
      </c>
      <c r="J38" s="6" t="s">
        <v>2459</v>
      </c>
      <c r="K38" s="6" t="s">
        <v>2468</v>
      </c>
      <c r="L38" s="6"/>
      <c r="M38" s="6"/>
      <c r="N38" s="6" t="s">
        <v>2468</v>
      </c>
      <c r="O38" s="6" t="s">
        <v>47</v>
      </c>
      <c r="P38" s="6"/>
      <c r="Q38" s="6"/>
      <c r="R38" s="6"/>
      <c r="S38" s="6"/>
      <c r="T38" s="6"/>
      <c r="U38" s="6"/>
      <c r="V38" s="6"/>
      <c r="W38" s="6"/>
      <c r="X38" s="8" t="s">
        <v>3259</v>
      </c>
      <c r="Y38" s="6" t="s">
        <v>3238</v>
      </c>
      <c r="Z38" s="6" t="s">
        <v>3258</v>
      </c>
      <c r="AA38" s="37" t="s">
        <v>3643</v>
      </c>
      <c r="AB38" s="39" t="s">
        <v>3644</v>
      </c>
      <c r="AC38" s="37" t="s">
        <v>3645</v>
      </c>
      <c r="AD38" s="39" t="s">
        <v>3646</v>
      </c>
      <c r="AE38" s="39" t="s">
        <v>3647</v>
      </c>
      <c r="AF38" s="39" t="s">
        <v>3648</v>
      </c>
      <c r="AG38" s="37" t="s">
        <v>3649</v>
      </c>
      <c r="AH38" s="37" t="s">
        <v>3650</v>
      </c>
    </row>
    <row r="39" spans="1:34" ht="14.45" hidden="1" customHeight="1" x14ac:dyDescent="0.3">
      <c r="A39" s="6" t="s">
        <v>644</v>
      </c>
      <c r="B39" s="7">
        <v>45015</v>
      </c>
      <c r="C39" s="6" t="s">
        <v>643</v>
      </c>
      <c r="D39" s="6" t="s">
        <v>132</v>
      </c>
      <c r="E39" s="6" t="s">
        <v>565</v>
      </c>
      <c r="F39" s="6" t="s">
        <v>3229</v>
      </c>
      <c r="G39" s="8">
        <v>1.2746170000000001</v>
      </c>
      <c r="H39" s="8">
        <v>8.3483330000000002</v>
      </c>
      <c r="I39" s="6" t="s">
        <v>2477</v>
      </c>
      <c r="J39" s="6" t="s">
        <v>2459</v>
      </c>
      <c r="K39" s="6" t="s">
        <v>2468</v>
      </c>
      <c r="L39" s="6" t="s">
        <v>319</v>
      </c>
      <c r="M39" s="6"/>
      <c r="N39" s="6" t="s">
        <v>2468</v>
      </c>
      <c r="O39" s="6" t="s">
        <v>40</v>
      </c>
      <c r="P39" s="6" t="str">
        <f>VLOOKUP(Tableau1[[#This Row],[SITES NAMES]],[1]Feuil1!$1:$1048576,8,FALSE)</f>
        <v>OK</v>
      </c>
      <c r="Q39" s="6" t="str">
        <f>VLOOKUP(Tableau1[[#This Row],[SITES NAMES]],[1]Feuil1!$1:$1048576,9,FALSE)</f>
        <v>NO</v>
      </c>
      <c r="R39" s="6" t="str">
        <f>VLOOKUP(Tableau1[[#This Row],[SITES NAMES]],[1]Feuil1!$1:$1048576,10,FALSE)</f>
        <v>YES</v>
      </c>
      <c r="S39" s="6" t="s">
        <v>2469</v>
      </c>
      <c r="T39" s="6" t="s">
        <v>2470</v>
      </c>
      <c r="U39" s="6" t="s">
        <v>2480</v>
      </c>
      <c r="V39" s="6" t="s">
        <v>2472</v>
      </c>
      <c r="W39" s="6" t="s">
        <v>2473</v>
      </c>
      <c r="X39" s="8"/>
      <c r="Y39" s="6" t="s">
        <v>3238</v>
      </c>
      <c r="Z39" s="6" t="s">
        <v>3254</v>
      </c>
      <c r="AA39" s="37" t="s">
        <v>3660</v>
      </c>
      <c r="AB39" s="39" t="s">
        <v>3644</v>
      </c>
      <c r="AC39" s="37" t="s">
        <v>3661</v>
      </c>
      <c r="AD39" s="39" t="s">
        <v>3646</v>
      </c>
      <c r="AE39" s="39" t="s">
        <v>3647</v>
      </c>
      <c r="AF39" s="39" t="s">
        <v>3662</v>
      </c>
      <c r="AG39" s="37" t="s">
        <v>3649</v>
      </c>
      <c r="AH39" s="37" t="s">
        <v>3663</v>
      </c>
    </row>
    <row r="40" spans="1:34" ht="14.45" hidden="1" customHeight="1" x14ac:dyDescent="0.3">
      <c r="A40" s="6" t="s">
        <v>931</v>
      </c>
      <c r="B40" s="7">
        <v>38626</v>
      </c>
      <c r="C40" s="6" t="s">
        <v>930</v>
      </c>
      <c r="D40" s="6" t="s">
        <v>657</v>
      </c>
      <c r="E40" s="6" t="s">
        <v>3235</v>
      </c>
      <c r="F40" s="6" t="s">
        <v>3229</v>
      </c>
      <c r="G40" s="8">
        <v>1.110781</v>
      </c>
      <c r="H40" s="8">
        <v>9.4755040000000008</v>
      </c>
      <c r="I40" s="6" t="s">
        <v>2467</v>
      </c>
      <c r="J40" s="6" t="s">
        <v>2459</v>
      </c>
      <c r="K40" s="6" t="s">
        <v>2460</v>
      </c>
      <c r="L40" s="6" t="s">
        <v>849</v>
      </c>
      <c r="M40" s="6" t="s">
        <v>953</v>
      </c>
      <c r="N40" s="6" t="s">
        <v>3268</v>
      </c>
      <c r="O40" s="6" t="s">
        <v>7</v>
      </c>
      <c r="P40" s="6" t="str">
        <f>VLOOKUP(Tableau1[[#This Row],[SITES NAMES]],[1]Feuil1!$1:$1048576,8,FALSE)</f>
        <v>OK</v>
      </c>
      <c r="Q40" s="6" t="str">
        <f>VLOOKUP(Tableau1[[#This Row],[SITES NAMES]],[1]Feuil1!$1:$1048576,9,FALSE)</f>
        <v>NO</v>
      </c>
      <c r="R40" s="6" t="str">
        <f>VLOOKUP(Tableau1[[#This Row],[SITES NAMES]],[1]Feuil1!$1:$1048576,10,FALSE)</f>
        <v>NO</v>
      </c>
      <c r="S40" s="6" t="s">
        <v>2469</v>
      </c>
      <c r="T40" s="6" t="s">
        <v>2470</v>
      </c>
      <c r="U40" s="6" t="s">
        <v>2480</v>
      </c>
      <c r="V40" s="6" t="s">
        <v>2472</v>
      </c>
      <c r="W40" s="6" t="s">
        <v>2465</v>
      </c>
      <c r="X40" s="8"/>
      <c r="Y40" s="6" t="s">
        <v>3239</v>
      </c>
      <c r="Z40" s="6" t="s">
        <v>3253</v>
      </c>
      <c r="AA40" s="37" t="s">
        <v>3698</v>
      </c>
      <c r="AB40" s="38" t="s">
        <v>3683</v>
      </c>
      <c r="AC40" s="39" t="s">
        <v>3699</v>
      </c>
      <c r="AD40" s="39" t="s">
        <v>3700</v>
      </c>
      <c r="AE40" s="37" t="s">
        <v>3701</v>
      </c>
      <c r="AF40" s="39" t="s">
        <v>3702</v>
      </c>
      <c r="AG40" s="40" t="s">
        <v>3685</v>
      </c>
      <c r="AH40" s="37" t="s">
        <v>3703</v>
      </c>
    </row>
    <row r="41" spans="1:34" ht="14.45" hidden="1" customHeight="1" x14ac:dyDescent="0.3">
      <c r="A41" s="6" t="s">
        <v>2171</v>
      </c>
      <c r="B41" s="7">
        <v>0</v>
      </c>
      <c r="C41" s="6" t="s">
        <v>2170</v>
      </c>
      <c r="D41" s="6" t="s">
        <v>320</v>
      </c>
      <c r="E41" s="6" t="s">
        <v>2141</v>
      </c>
      <c r="F41" s="6" t="s">
        <v>3229</v>
      </c>
      <c r="G41" s="8">
        <v>1.02183</v>
      </c>
      <c r="H41" s="8">
        <v>8.6691800000000008</v>
      </c>
      <c r="I41" s="6" t="s">
        <v>2497</v>
      </c>
      <c r="J41" s="6" t="s">
        <v>2459</v>
      </c>
      <c r="K41" s="6" t="s">
        <v>2460</v>
      </c>
      <c r="L41" s="6" t="s">
        <v>3465</v>
      </c>
      <c r="M41" s="6" t="s">
        <v>2185</v>
      </c>
      <c r="N41" s="6" t="s">
        <v>3268</v>
      </c>
      <c r="O41" s="6" t="s">
        <v>7</v>
      </c>
      <c r="P41" s="6" t="str">
        <f>VLOOKUP(Tableau1[[#This Row],[SITES NAMES]],[1]Feuil1!$1:$1048576,8,FALSE)</f>
        <v>OK</v>
      </c>
      <c r="Q41" s="6" t="str">
        <f>VLOOKUP(Tableau1[[#This Row],[SITES NAMES]],[1]Feuil1!$1:$1048576,9,FALSE)</f>
        <v>NO</v>
      </c>
      <c r="R41" s="6" t="str">
        <f>VLOOKUP(Tableau1[[#This Row],[SITES NAMES]],[1]Feuil1!$1:$1048576,10,FALSE)</f>
        <v>NO</v>
      </c>
      <c r="S41" s="6" t="s">
        <v>2469</v>
      </c>
      <c r="T41" s="6" t="s">
        <v>2470</v>
      </c>
      <c r="U41" s="6" t="s">
        <v>2480</v>
      </c>
      <c r="V41" s="6" t="s">
        <v>2464</v>
      </c>
      <c r="W41" s="6" t="s">
        <v>2465</v>
      </c>
      <c r="X41" s="8" t="s">
        <v>3144</v>
      </c>
      <c r="Y41" s="6" t="s">
        <v>3238</v>
      </c>
      <c r="Z41" s="6" t="s">
        <v>3254</v>
      </c>
      <c r="AA41" s="37" t="s">
        <v>3672</v>
      </c>
      <c r="AB41" s="39" t="s">
        <v>3665</v>
      </c>
      <c r="AC41" s="37" t="s">
        <v>3673</v>
      </c>
      <c r="AD41" s="37" t="s">
        <v>3674</v>
      </c>
      <c r="AE41" s="37" t="s">
        <v>3675</v>
      </c>
      <c r="AF41" s="39" t="s">
        <v>3676</v>
      </c>
      <c r="AG41" s="37" t="s">
        <v>3670</v>
      </c>
      <c r="AH41" s="37" t="s">
        <v>3677</v>
      </c>
    </row>
    <row r="42" spans="1:34" ht="14.45" hidden="1" customHeight="1" x14ac:dyDescent="0.3">
      <c r="A42" s="6" t="s">
        <v>2173</v>
      </c>
      <c r="B42" s="7">
        <v>45251</v>
      </c>
      <c r="C42" s="6" t="s">
        <v>2172</v>
      </c>
      <c r="D42" s="6" t="s">
        <v>320</v>
      </c>
      <c r="E42" s="6" t="s">
        <v>2141</v>
      </c>
      <c r="F42" s="6" t="s">
        <v>3229</v>
      </c>
      <c r="G42" s="8">
        <v>1.0167459999999999</v>
      </c>
      <c r="H42" s="8">
        <v>8.661016</v>
      </c>
      <c r="I42" s="6" t="s">
        <v>2479</v>
      </c>
      <c r="J42" s="6" t="s">
        <v>2459</v>
      </c>
      <c r="K42" s="6" t="s">
        <v>2468</v>
      </c>
      <c r="L42" s="6" t="s">
        <v>2171</v>
      </c>
      <c r="M42" s="6"/>
      <c r="N42" s="6" t="s">
        <v>2468</v>
      </c>
      <c r="O42" s="6" t="s">
        <v>7</v>
      </c>
      <c r="P42" s="6" t="str">
        <f>VLOOKUP(Tableau1[[#This Row],[SITES NAMES]],[1]Feuil1!$1:$1048576,8,FALSE)</f>
        <v>OK</v>
      </c>
      <c r="Q42" s="6" t="str">
        <f>VLOOKUP(Tableau1[[#This Row],[SITES NAMES]],[1]Feuil1!$1:$1048576,9,FALSE)</f>
        <v>NO</v>
      </c>
      <c r="R42" s="6" t="str">
        <f>VLOOKUP(Tableau1[[#This Row],[SITES NAMES]],[1]Feuil1!$1:$1048576,10,FALSE)</f>
        <v>NO</v>
      </c>
      <c r="S42" s="6" t="s">
        <v>2469</v>
      </c>
      <c r="T42" s="6" t="s">
        <v>2470</v>
      </c>
      <c r="U42" s="6" t="s">
        <v>2480</v>
      </c>
      <c r="V42" s="6" t="s">
        <v>2464</v>
      </c>
      <c r="W42" s="6" t="s">
        <v>2531</v>
      </c>
      <c r="X42" s="8"/>
      <c r="Y42" s="6" t="s">
        <v>3238</v>
      </c>
      <c r="Z42" s="6" t="s">
        <v>3254</v>
      </c>
      <c r="AA42" s="37" t="s">
        <v>3672</v>
      </c>
      <c r="AB42" s="39" t="s">
        <v>3665</v>
      </c>
      <c r="AC42" s="37" t="s">
        <v>3673</v>
      </c>
      <c r="AD42" s="37" t="s">
        <v>3674</v>
      </c>
      <c r="AE42" s="37" t="s">
        <v>3675</v>
      </c>
      <c r="AF42" s="39" t="s">
        <v>3676</v>
      </c>
      <c r="AG42" s="37" t="s">
        <v>3670</v>
      </c>
      <c r="AH42" s="37" t="s">
        <v>3677</v>
      </c>
    </row>
    <row r="43" spans="1:34" ht="14.45" hidden="1" customHeight="1" x14ac:dyDescent="0.25">
      <c r="A43" s="6" t="s">
        <v>1203</v>
      </c>
      <c r="B43" s="7">
        <v>44540</v>
      </c>
      <c r="C43" s="6" t="s">
        <v>1202</v>
      </c>
      <c r="D43" s="6" t="s">
        <v>66</v>
      </c>
      <c r="E43" s="6" t="s">
        <v>1924</v>
      </c>
      <c r="F43" s="6" t="s">
        <v>3229</v>
      </c>
      <c r="G43" s="8">
        <v>1.2659199999999999</v>
      </c>
      <c r="H43" s="8">
        <v>6.30009</v>
      </c>
      <c r="I43" s="6" t="s">
        <v>2479</v>
      </c>
      <c r="J43" s="6" t="s">
        <v>2459</v>
      </c>
      <c r="K43" s="6" t="s">
        <v>2460</v>
      </c>
      <c r="L43" s="6" t="s">
        <v>1462</v>
      </c>
      <c r="M43" s="6" t="s">
        <v>1476</v>
      </c>
      <c r="N43" s="6" t="s">
        <v>3268</v>
      </c>
      <c r="O43" s="6" t="s">
        <v>40</v>
      </c>
      <c r="P43" s="6" t="str">
        <f>VLOOKUP(Tableau1[[#This Row],[SITES NAMES]],[1]Feuil1!$1:$1048576,8,FALSE)</f>
        <v>OK</v>
      </c>
      <c r="Q43" s="6" t="str">
        <f>VLOOKUP(Tableau1[[#This Row],[SITES NAMES]],[1]Feuil1!$1:$1048576,9,FALSE)</f>
        <v>NO</v>
      </c>
      <c r="R43" s="6" t="str">
        <f>VLOOKUP(Tableau1[[#This Row],[SITES NAMES]],[1]Feuil1!$1:$1048576,10,FALSE)</f>
        <v>YES</v>
      </c>
      <c r="S43" s="6" t="s">
        <v>2469</v>
      </c>
      <c r="T43" s="6" t="s">
        <v>2470</v>
      </c>
      <c r="U43" s="6" t="s">
        <v>2471</v>
      </c>
      <c r="V43" s="6" t="s">
        <v>2472</v>
      </c>
      <c r="W43" s="6" t="s">
        <v>2465</v>
      </c>
      <c r="X43" s="8" t="s">
        <v>2902</v>
      </c>
      <c r="Y43" s="6" t="s">
        <v>3238</v>
      </c>
      <c r="Z43" s="6" t="s">
        <v>3261</v>
      </c>
      <c r="AA43" s="35" t="s">
        <v>3607</v>
      </c>
      <c r="AB43" s="35" t="s">
        <v>3608</v>
      </c>
      <c r="AC43" s="35" t="s">
        <v>3609</v>
      </c>
      <c r="AD43" s="35" t="s">
        <v>3610</v>
      </c>
      <c r="AE43" s="35" t="s">
        <v>3610</v>
      </c>
      <c r="AF43" s="35" t="s">
        <v>3611</v>
      </c>
      <c r="AG43" s="35" t="s">
        <v>3612</v>
      </c>
      <c r="AH43" s="35" t="s">
        <v>3613</v>
      </c>
    </row>
    <row r="44" spans="1:34" ht="14.45" hidden="1" customHeight="1" x14ac:dyDescent="0.25">
      <c r="A44" s="6" t="s">
        <v>1480</v>
      </c>
      <c r="B44" s="7">
        <v>37926</v>
      </c>
      <c r="C44" s="6" t="s">
        <v>1479</v>
      </c>
      <c r="D44" s="6" t="s">
        <v>66</v>
      </c>
      <c r="E44" s="6" t="s">
        <v>3233</v>
      </c>
      <c r="F44" s="18" t="s">
        <v>3230</v>
      </c>
      <c r="G44" s="8">
        <v>1.219117</v>
      </c>
      <c r="H44" s="8">
        <v>6.2260552349999996</v>
      </c>
      <c r="I44" s="6" t="s">
        <v>2497</v>
      </c>
      <c r="J44" s="6" t="s">
        <v>2459</v>
      </c>
      <c r="K44" s="6" t="s">
        <v>2460</v>
      </c>
      <c r="L44" s="6" t="s">
        <v>1450</v>
      </c>
      <c r="M44" s="6" t="s">
        <v>1272</v>
      </c>
      <c r="N44" s="6" t="s">
        <v>3268</v>
      </c>
      <c r="O44" s="6" t="s">
        <v>7</v>
      </c>
      <c r="P44" s="6" t="str">
        <f>VLOOKUP(Tableau1[[#This Row],[SITES NAMES]],[1]Feuil1!$1:$1048576,8,FALSE)</f>
        <v>NOK</v>
      </c>
      <c r="Q44" s="6" t="str">
        <f>VLOOKUP(Tableau1[[#This Row],[SITES NAMES]],[1]Feuil1!$1:$1048576,9,FALSE)</f>
        <v>NO</v>
      </c>
      <c r="R44" s="6" t="str">
        <f>VLOOKUP(Tableau1[[#This Row],[SITES NAMES]],[1]Feuil1!$1:$1048576,10,FALSE)</f>
        <v>YES</v>
      </c>
      <c r="S44" s="6" t="s">
        <v>2469</v>
      </c>
      <c r="T44" s="6" t="s">
        <v>2470</v>
      </c>
      <c r="U44" s="6" t="s">
        <v>2480</v>
      </c>
      <c r="V44" s="6" t="s">
        <v>2464</v>
      </c>
      <c r="W44" s="6" t="s">
        <v>2476</v>
      </c>
      <c r="X44" s="8" t="s">
        <v>2954</v>
      </c>
      <c r="Y44" s="6" t="s">
        <v>3238</v>
      </c>
      <c r="Z44" s="6"/>
      <c r="AA44" s="35" t="s">
        <v>3616</v>
      </c>
      <c r="AB44" s="35" t="s">
        <v>3608</v>
      </c>
      <c r="AC44" s="35" t="s">
        <v>3617</v>
      </c>
      <c r="AD44" s="35" t="s">
        <v>3610</v>
      </c>
      <c r="AE44" s="35" t="s">
        <v>3610</v>
      </c>
      <c r="AF44" s="35" t="s">
        <v>3611</v>
      </c>
      <c r="AG44" s="35" t="s">
        <v>3612</v>
      </c>
      <c r="AH44" s="35" t="s">
        <v>3618</v>
      </c>
    </row>
    <row r="45" spans="1:34" ht="14.45" hidden="1" customHeight="1" x14ac:dyDescent="0.25">
      <c r="A45" s="6" t="s">
        <v>1205</v>
      </c>
      <c r="B45" s="7">
        <v>43124</v>
      </c>
      <c r="C45" s="6" t="s">
        <v>1204</v>
      </c>
      <c r="D45" s="6" t="s">
        <v>66</v>
      </c>
      <c r="E45" s="6" t="s">
        <v>1924</v>
      </c>
      <c r="F45" s="6" t="s">
        <v>3229</v>
      </c>
      <c r="G45" s="8">
        <v>1.2281299999999999</v>
      </c>
      <c r="H45" s="8">
        <v>6.2232200000000004</v>
      </c>
      <c r="I45" s="6" t="s">
        <v>2497</v>
      </c>
      <c r="J45" s="6" t="s">
        <v>2459</v>
      </c>
      <c r="K45" s="6" t="s">
        <v>2460</v>
      </c>
      <c r="L45" s="6" t="s">
        <v>3283</v>
      </c>
      <c r="M45" s="6" t="s">
        <v>1530</v>
      </c>
      <c r="N45" s="6" t="s">
        <v>3268</v>
      </c>
      <c r="O45" s="6" t="s">
        <v>1206</v>
      </c>
      <c r="P45" s="6"/>
      <c r="Q45" s="6" t="str">
        <f>VLOOKUP(Tableau1[[#This Row],[SITES NAMES]],[1]Feuil1!$1:$1048576,9,FALSE)</f>
        <v>YES</v>
      </c>
      <c r="R45" s="6" t="str">
        <f>VLOOKUP(Tableau1[[#This Row],[SITES NAMES]],[1]Feuil1!$1:$1048576,10,FALSE)</f>
        <v>NO</v>
      </c>
      <c r="S45" s="6" t="s">
        <v>2461</v>
      </c>
      <c r="T45" s="6" t="s">
        <v>2462</v>
      </c>
      <c r="U45" s="6" t="s">
        <v>2463</v>
      </c>
      <c r="V45" s="6" t="s">
        <v>2472</v>
      </c>
      <c r="W45" s="6" t="s">
        <v>2476</v>
      </c>
      <c r="X45" s="8"/>
      <c r="Y45" s="6" t="s">
        <v>3238</v>
      </c>
      <c r="Z45" s="6" t="s">
        <v>3261</v>
      </c>
      <c r="AA45" s="35" t="s">
        <v>3607</v>
      </c>
      <c r="AB45" s="35" t="s">
        <v>3608</v>
      </c>
      <c r="AC45" s="35" t="s">
        <v>3609</v>
      </c>
      <c r="AD45" s="35" t="s">
        <v>3610</v>
      </c>
      <c r="AE45" s="35" t="s">
        <v>3610</v>
      </c>
      <c r="AF45" s="35" t="s">
        <v>3611</v>
      </c>
      <c r="AG45" s="35" t="s">
        <v>3612</v>
      </c>
      <c r="AH45" s="35" t="s">
        <v>3613</v>
      </c>
    </row>
    <row r="46" spans="1:34" ht="14.45" hidden="1" customHeight="1" x14ac:dyDescent="0.25">
      <c r="A46" s="6" t="s">
        <v>1482</v>
      </c>
      <c r="B46" s="7">
        <v>44848</v>
      </c>
      <c r="C46" s="6" t="s">
        <v>1481</v>
      </c>
      <c r="D46" s="6" t="s">
        <v>66</v>
      </c>
      <c r="E46" s="6" t="s">
        <v>3233</v>
      </c>
      <c r="F46" s="6" t="s">
        <v>3229</v>
      </c>
      <c r="G46" s="8">
        <v>1.2138850000000001</v>
      </c>
      <c r="H46" s="8">
        <v>6.2272080000000001</v>
      </c>
      <c r="I46" s="6" t="s">
        <v>2475</v>
      </c>
      <c r="J46" s="6" t="s">
        <v>2459</v>
      </c>
      <c r="K46" s="6" t="s">
        <v>2460</v>
      </c>
      <c r="L46" s="6" t="s">
        <v>1274</v>
      </c>
      <c r="M46" s="6"/>
      <c r="N46" s="6" t="s">
        <v>3268</v>
      </c>
      <c r="O46" s="6" t="s">
        <v>7</v>
      </c>
      <c r="P46" s="6" t="str">
        <f>VLOOKUP(Tableau1[[#This Row],[SITES NAMES]],[1]Feuil1!$1:$1048576,8,FALSE)</f>
        <v>OK</v>
      </c>
      <c r="Q46" s="6" t="str">
        <f>VLOOKUP(Tableau1[[#This Row],[SITES NAMES]],[1]Feuil1!$1:$1048576,9,FALSE)</f>
        <v>NO</v>
      </c>
      <c r="R46" s="6" t="str">
        <f>VLOOKUP(Tableau1[[#This Row],[SITES NAMES]],[1]Feuil1!$1:$1048576,10,FALSE)</f>
        <v>YES</v>
      </c>
      <c r="S46" s="6" t="s">
        <v>2461</v>
      </c>
      <c r="T46" s="6" t="s">
        <v>2462</v>
      </c>
      <c r="U46" s="6" t="s">
        <v>2463</v>
      </c>
      <c r="V46" s="6" t="s">
        <v>2464</v>
      </c>
      <c r="W46" s="6" t="s">
        <v>2476</v>
      </c>
      <c r="X46" s="8"/>
      <c r="Y46" s="6" t="s">
        <v>3238</v>
      </c>
      <c r="Z46" s="6"/>
      <c r="AA46" s="35" t="s">
        <v>3616</v>
      </c>
      <c r="AB46" s="35" t="s">
        <v>3608</v>
      </c>
      <c r="AC46" s="35" t="s">
        <v>3617</v>
      </c>
      <c r="AD46" s="35" t="s">
        <v>3610</v>
      </c>
      <c r="AE46" s="35" t="s">
        <v>3610</v>
      </c>
      <c r="AF46" s="35" t="s">
        <v>3611</v>
      </c>
      <c r="AG46" s="35" t="s">
        <v>3612</v>
      </c>
      <c r="AH46" s="35" t="s">
        <v>3618</v>
      </c>
    </row>
    <row r="47" spans="1:34" ht="14.45" hidden="1" customHeight="1" x14ac:dyDescent="0.3">
      <c r="A47" s="6" t="s">
        <v>283</v>
      </c>
      <c r="B47" s="7">
        <v>45147</v>
      </c>
      <c r="C47" s="6" t="s">
        <v>282</v>
      </c>
      <c r="D47" s="6" t="s">
        <v>132</v>
      </c>
      <c r="E47" s="6" t="s">
        <v>251</v>
      </c>
      <c r="F47" s="6" t="s">
        <v>3229</v>
      </c>
      <c r="G47" s="8">
        <v>0.76317400000000002</v>
      </c>
      <c r="H47" s="8">
        <v>7.4156599999999999</v>
      </c>
      <c r="I47" s="6" t="s">
        <v>2477</v>
      </c>
      <c r="J47" s="6" t="s">
        <v>2459</v>
      </c>
      <c r="K47" s="6" t="s">
        <v>2468</v>
      </c>
      <c r="L47" s="6" t="s">
        <v>1127</v>
      </c>
      <c r="M47" s="6"/>
      <c r="N47" s="6" t="s">
        <v>2468</v>
      </c>
      <c r="O47" s="6" t="s">
        <v>40</v>
      </c>
      <c r="P47" s="6" t="str">
        <f>VLOOKUP(Tableau1[[#This Row],[SITES NAMES]],[1]Feuil1!$1:$1048576,8,FALSE)</f>
        <v>OK</v>
      </c>
      <c r="Q47" s="6" t="str">
        <f>VLOOKUP(Tableau1[[#This Row],[SITES NAMES]],[1]Feuil1!$1:$1048576,9,FALSE)</f>
        <v>NO</v>
      </c>
      <c r="R47" s="6" t="str">
        <f>VLOOKUP(Tableau1[[#This Row],[SITES NAMES]],[1]Feuil1!$1:$1048576,10,FALSE)</f>
        <v>NO</v>
      </c>
      <c r="S47" s="6" t="s">
        <v>2469</v>
      </c>
      <c r="T47" s="6" t="s">
        <v>2470</v>
      </c>
      <c r="U47" s="6" t="s">
        <v>2471</v>
      </c>
      <c r="V47" s="6" t="s">
        <v>2472</v>
      </c>
      <c r="W47" s="6" t="s">
        <v>2473</v>
      </c>
      <c r="X47" s="8"/>
      <c r="Y47" s="6" t="s">
        <v>3238</v>
      </c>
      <c r="Z47" s="6"/>
      <c r="AA47" s="37" t="s">
        <v>3651</v>
      </c>
      <c r="AB47" s="39" t="s">
        <v>3644</v>
      </c>
      <c r="AC47" s="45" t="s">
        <v>3652</v>
      </c>
      <c r="AD47" s="39" t="s">
        <v>3646</v>
      </c>
      <c r="AE47" s="37" t="s">
        <v>3653</v>
      </c>
      <c r="AF47" s="37" t="s">
        <v>3654</v>
      </c>
      <c r="AG47" s="37" t="s">
        <v>3649</v>
      </c>
      <c r="AH47" s="37" t="s">
        <v>3655</v>
      </c>
    </row>
    <row r="48" spans="1:34" ht="14.45" hidden="1" customHeight="1" x14ac:dyDescent="0.3">
      <c r="A48" s="6" t="s">
        <v>131</v>
      </c>
      <c r="B48" s="7">
        <v>43888</v>
      </c>
      <c r="C48" s="6" t="s">
        <v>130</v>
      </c>
      <c r="D48" s="6" t="s">
        <v>132</v>
      </c>
      <c r="E48" s="6" t="s">
        <v>133</v>
      </c>
      <c r="F48" s="6" t="s">
        <v>3229</v>
      </c>
      <c r="G48" s="8">
        <v>1.268858</v>
      </c>
      <c r="H48" s="8">
        <v>7.644101</v>
      </c>
      <c r="I48" s="6" t="s">
        <v>2482</v>
      </c>
      <c r="J48" s="6" t="s">
        <v>2459</v>
      </c>
      <c r="K48" s="6" t="s">
        <v>2468</v>
      </c>
      <c r="L48" s="6" t="s">
        <v>131</v>
      </c>
      <c r="M48" s="6"/>
      <c r="N48" s="6" t="s">
        <v>2468</v>
      </c>
      <c r="O48" s="6" t="s">
        <v>37</v>
      </c>
      <c r="P48" s="6" t="str">
        <f>VLOOKUP(Tableau1[[#This Row],[SITES NAMES]],[1]Feuil1!$1:$1048576,8,FALSE)</f>
        <v>NOK</v>
      </c>
      <c r="Q48" s="6" t="str">
        <f>VLOOKUP(Tableau1[[#This Row],[SITES NAMES]],[1]Feuil1!$1:$1048576,9,FALSE)</f>
        <v>YES</v>
      </c>
      <c r="R48" s="6" t="str">
        <f>VLOOKUP(Tableau1[[#This Row],[SITES NAMES]],[1]Feuil1!$1:$1048576,10,FALSE)</f>
        <v>YES</v>
      </c>
      <c r="S48" s="6" t="s">
        <v>2461</v>
      </c>
      <c r="T48" s="6" t="s">
        <v>2462</v>
      </c>
      <c r="U48" s="6" t="s">
        <v>2463</v>
      </c>
      <c r="V48" s="6" t="s">
        <v>2472</v>
      </c>
      <c r="W48" s="6" t="s">
        <v>2473</v>
      </c>
      <c r="X48" s="8" t="s">
        <v>2521</v>
      </c>
      <c r="Y48" s="6" t="s">
        <v>3238</v>
      </c>
      <c r="Z48" s="6" t="s">
        <v>3258</v>
      </c>
      <c r="AA48" s="37" t="s">
        <v>3643</v>
      </c>
      <c r="AB48" s="39" t="s">
        <v>3644</v>
      </c>
      <c r="AC48" s="37" t="s">
        <v>3645</v>
      </c>
      <c r="AD48" s="39" t="s">
        <v>3646</v>
      </c>
      <c r="AE48" s="39" t="s">
        <v>3647</v>
      </c>
      <c r="AF48" s="39" t="s">
        <v>3648</v>
      </c>
      <c r="AG48" s="37" t="s">
        <v>3649</v>
      </c>
      <c r="AH48" s="37" t="s">
        <v>3650</v>
      </c>
    </row>
    <row r="49" spans="1:35" ht="14.45" hidden="1" customHeight="1" x14ac:dyDescent="0.25">
      <c r="A49" s="6" t="s">
        <v>1484</v>
      </c>
      <c r="B49" s="7">
        <v>44548</v>
      </c>
      <c r="C49" s="6" t="s">
        <v>1483</v>
      </c>
      <c r="D49" s="6" t="s">
        <v>66</v>
      </c>
      <c r="E49" s="6" t="s">
        <v>3233</v>
      </c>
      <c r="F49" s="6" t="s">
        <v>3229</v>
      </c>
      <c r="G49" s="8">
        <v>1.22712</v>
      </c>
      <c r="H49" s="8">
        <v>6.3547399999999996</v>
      </c>
      <c r="I49" s="6" t="s">
        <v>2475</v>
      </c>
      <c r="J49" s="6" t="s">
        <v>2459</v>
      </c>
      <c r="K49" s="6" t="s">
        <v>2460</v>
      </c>
      <c r="L49" s="6" t="s">
        <v>1462</v>
      </c>
      <c r="M49" s="6" t="s">
        <v>3466</v>
      </c>
      <c r="N49" s="6" t="s">
        <v>3268</v>
      </c>
      <c r="O49" s="6" t="s">
        <v>7</v>
      </c>
      <c r="P49" s="6" t="str">
        <f>VLOOKUP(Tableau1[[#This Row],[SITES NAMES]],[1]Feuil1!$1:$1048576,8,FALSE)</f>
        <v>OK</v>
      </c>
      <c r="Q49" s="6" t="str">
        <f>VLOOKUP(Tableau1[[#This Row],[SITES NAMES]],[1]Feuil1!$1:$1048576,9,FALSE)</f>
        <v>NO</v>
      </c>
      <c r="R49" s="6" t="str">
        <f>VLOOKUP(Tableau1[[#This Row],[SITES NAMES]],[1]Feuil1!$1:$1048576,10,FALSE)</f>
        <v>YES</v>
      </c>
      <c r="S49" s="6" t="s">
        <v>2461</v>
      </c>
      <c r="T49" s="6" t="s">
        <v>2462</v>
      </c>
      <c r="U49" s="6" t="s">
        <v>2463</v>
      </c>
      <c r="V49" s="6" t="s">
        <v>2464</v>
      </c>
      <c r="W49" s="6" t="s">
        <v>2476</v>
      </c>
      <c r="X49" s="8" t="s">
        <v>2955</v>
      </c>
      <c r="Y49" s="6" t="s">
        <v>3238</v>
      </c>
      <c r="Z49" s="6"/>
      <c r="AA49" s="35" t="s">
        <v>3616</v>
      </c>
      <c r="AB49" s="35" t="s">
        <v>3608</v>
      </c>
      <c r="AC49" s="35" t="s">
        <v>3617</v>
      </c>
      <c r="AD49" s="35" t="s">
        <v>3610</v>
      </c>
      <c r="AE49" s="35" t="s">
        <v>3610</v>
      </c>
      <c r="AF49" s="35" t="s">
        <v>3611</v>
      </c>
      <c r="AG49" s="35" t="s">
        <v>3612</v>
      </c>
      <c r="AH49" s="35" t="s">
        <v>3618</v>
      </c>
    </row>
    <row r="50" spans="1:35" ht="14.45" hidden="1" customHeight="1" x14ac:dyDescent="0.3">
      <c r="A50" s="6" t="s">
        <v>2359</v>
      </c>
      <c r="B50" s="7">
        <v>46022</v>
      </c>
      <c r="C50" s="6" t="s">
        <v>2358</v>
      </c>
      <c r="D50" s="6" t="s">
        <v>5</v>
      </c>
      <c r="E50" s="6" t="s">
        <v>2333</v>
      </c>
      <c r="F50" s="6" t="s">
        <v>3229</v>
      </c>
      <c r="G50" s="8">
        <v>1.3532999999999999</v>
      </c>
      <c r="H50" s="8">
        <v>6.7939999999999996</v>
      </c>
      <c r="I50" s="6" t="e">
        <v>#N/A</v>
      </c>
      <c r="J50" s="6" t="s">
        <v>2459</v>
      </c>
      <c r="K50" s="6" t="s">
        <v>2468</v>
      </c>
      <c r="L50" s="6" t="s">
        <v>3467</v>
      </c>
      <c r="M50" s="6"/>
      <c r="N50" s="6" t="s">
        <v>2468</v>
      </c>
      <c r="O50" s="6" t="s">
        <v>40</v>
      </c>
      <c r="P50" s="6"/>
      <c r="Q50" s="6"/>
      <c r="R50" s="6"/>
      <c r="S50" s="6"/>
      <c r="T50" s="6"/>
      <c r="U50" s="6"/>
      <c r="V50" s="6"/>
      <c r="W50" s="6"/>
      <c r="X50" s="8"/>
      <c r="Y50" s="6" t="s">
        <v>3241</v>
      </c>
      <c r="Z50" s="6"/>
      <c r="AA50" s="37"/>
      <c r="AB50" s="38" t="s">
        <v>3627</v>
      </c>
      <c r="AC50" s="37" t="s">
        <v>3640</v>
      </c>
      <c r="AD50" s="39" t="s">
        <v>3641</v>
      </c>
      <c r="AE50" s="37"/>
      <c r="AF50" s="39" t="s">
        <v>3641</v>
      </c>
      <c r="AG50" s="37"/>
      <c r="AH50" s="37" t="s">
        <v>3642</v>
      </c>
    </row>
    <row r="51" spans="1:35" ht="14.45" hidden="1" customHeight="1" x14ac:dyDescent="0.25">
      <c r="A51" s="6" t="s">
        <v>1208</v>
      </c>
      <c r="B51" s="7">
        <v>43020</v>
      </c>
      <c r="C51" s="6" t="s">
        <v>1207</v>
      </c>
      <c r="D51" s="6" t="s">
        <v>66</v>
      </c>
      <c r="E51" s="6" t="s">
        <v>1924</v>
      </c>
      <c r="F51" s="6" t="s">
        <v>3229</v>
      </c>
      <c r="G51" s="8">
        <v>1.25208056</v>
      </c>
      <c r="H51" s="8">
        <v>6.1704010360000003</v>
      </c>
      <c r="I51" s="6" t="s">
        <v>2497</v>
      </c>
      <c r="J51" s="6" t="s">
        <v>2459</v>
      </c>
      <c r="K51" s="6" t="s">
        <v>2460</v>
      </c>
      <c r="L51" s="6" t="s">
        <v>3468</v>
      </c>
      <c r="M51" s="6"/>
      <c r="N51" s="6" t="s">
        <v>3268</v>
      </c>
      <c r="O51" s="6" t="s">
        <v>1206</v>
      </c>
      <c r="P51" s="6"/>
      <c r="Q51" s="6" t="str">
        <f>VLOOKUP(Tableau1[[#This Row],[SITES NAMES]],[1]Feuil1!$1:$1048576,9,FALSE)</f>
        <v>NO</v>
      </c>
      <c r="R51" s="6" t="str">
        <f>VLOOKUP(Tableau1[[#This Row],[SITES NAMES]],[1]Feuil1!$1:$1048576,10,FALSE)</f>
        <v>NO</v>
      </c>
      <c r="S51" s="6" t="s">
        <v>2469</v>
      </c>
      <c r="T51" s="6" t="s">
        <v>2470</v>
      </c>
      <c r="U51" s="6" t="s">
        <v>2480</v>
      </c>
      <c r="V51" s="6" t="s">
        <v>2498</v>
      </c>
      <c r="W51" s="6" t="s">
        <v>2476</v>
      </c>
      <c r="X51" s="8"/>
      <c r="Y51" s="6" t="s">
        <v>3238</v>
      </c>
      <c r="Z51" s="6" t="s">
        <v>3261</v>
      </c>
      <c r="AA51" s="35" t="s">
        <v>3607</v>
      </c>
      <c r="AB51" s="35" t="s">
        <v>3608</v>
      </c>
      <c r="AC51" s="35" t="s">
        <v>3609</v>
      </c>
      <c r="AD51" s="35" t="s">
        <v>3610</v>
      </c>
      <c r="AE51" s="35" t="s">
        <v>3610</v>
      </c>
      <c r="AF51" s="35" t="s">
        <v>3611</v>
      </c>
      <c r="AG51" s="35" t="s">
        <v>3612</v>
      </c>
      <c r="AH51" s="35" t="s">
        <v>3613</v>
      </c>
    </row>
    <row r="52" spans="1:35" ht="14.45" hidden="1" customHeight="1" x14ac:dyDescent="0.25">
      <c r="A52" s="6" t="s">
        <v>1210</v>
      </c>
      <c r="B52" s="7">
        <v>0</v>
      </c>
      <c r="C52" s="6" t="s">
        <v>1209</v>
      </c>
      <c r="D52" s="6" t="s">
        <v>66</v>
      </c>
      <c r="E52" s="6" t="s">
        <v>1924</v>
      </c>
      <c r="F52" s="6" t="s">
        <v>3229</v>
      </c>
      <c r="G52" s="8">
        <v>1.2531600000000001</v>
      </c>
      <c r="H52" s="8">
        <v>6.1704299999999996</v>
      </c>
      <c r="I52" s="6" t="s">
        <v>2497</v>
      </c>
      <c r="J52" s="6" t="s">
        <v>2459</v>
      </c>
      <c r="K52" s="6" t="s">
        <v>2460</v>
      </c>
      <c r="L52" s="6" t="s">
        <v>1208</v>
      </c>
      <c r="M52" s="6"/>
      <c r="N52" s="6" t="s">
        <v>3268</v>
      </c>
      <c r="O52" s="6" t="s">
        <v>1206</v>
      </c>
      <c r="P52" s="6"/>
      <c r="Q52" s="6" t="str">
        <f>VLOOKUP(Tableau1[[#This Row],[SITES NAMES]],[1]Feuil1!$1:$1048576,9,FALSE)</f>
        <v>NO</v>
      </c>
      <c r="R52" s="6" t="str">
        <f>VLOOKUP(Tableau1[[#This Row],[SITES NAMES]],[1]Feuil1!$1:$1048576,10,FALSE)</f>
        <v>NO</v>
      </c>
      <c r="S52" s="6" t="s">
        <v>2469</v>
      </c>
      <c r="T52" s="6" t="s">
        <v>2470</v>
      </c>
      <c r="U52" s="6" t="s">
        <v>2480</v>
      </c>
      <c r="V52" s="6" t="s">
        <v>2498</v>
      </c>
      <c r="W52" s="6" t="s">
        <v>2476</v>
      </c>
      <c r="X52" s="8"/>
      <c r="Y52" s="6" t="s">
        <v>3238</v>
      </c>
      <c r="Z52" s="6" t="s">
        <v>3261</v>
      </c>
      <c r="AA52" s="35" t="s">
        <v>3607</v>
      </c>
      <c r="AB52" s="35" t="s">
        <v>3608</v>
      </c>
      <c r="AC52" s="35" t="s">
        <v>3609</v>
      </c>
      <c r="AD52" s="35" t="s">
        <v>3610</v>
      </c>
      <c r="AE52" s="35" t="s">
        <v>3610</v>
      </c>
      <c r="AF52" s="35" t="s">
        <v>3611</v>
      </c>
      <c r="AG52" s="35" t="s">
        <v>3612</v>
      </c>
      <c r="AH52" s="35" t="s">
        <v>3613</v>
      </c>
    </row>
    <row r="53" spans="1:35" ht="14.45" hidden="1" customHeight="1" x14ac:dyDescent="0.25">
      <c r="A53" s="6" t="s">
        <v>1212</v>
      </c>
      <c r="B53" s="7">
        <v>39417</v>
      </c>
      <c r="C53" s="6" t="s">
        <v>1211</v>
      </c>
      <c r="D53" s="6" t="s">
        <v>66</v>
      </c>
      <c r="E53" s="6" t="s">
        <v>1924</v>
      </c>
      <c r="F53" s="6" t="s">
        <v>3229</v>
      </c>
      <c r="G53" s="8">
        <v>1.2681750000000001</v>
      </c>
      <c r="H53" s="8">
        <v>6.1779270000000004</v>
      </c>
      <c r="I53" s="6" t="s">
        <v>2497</v>
      </c>
      <c r="J53" s="6" t="s">
        <v>2459</v>
      </c>
      <c r="K53" s="6" t="s">
        <v>2460</v>
      </c>
      <c r="L53" s="6" t="s">
        <v>1214</v>
      </c>
      <c r="M53" s="6" t="s">
        <v>1388</v>
      </c>
      <c r="N53" s="6" t="s">
        <v>3268</v>
      </c>
      <c r="O53" s="6" t="s">
        <v>7</v>
      </c>
      <c r="P53" s="6" t="str">
        <f>VLOOKUP(Tableau1[[#This Row],[SITES NAMES]],[1]Feuil1!$1:$1048576,8,FALSE)</f>
        <v>OK</v>
      </c>
      <c r="Q53" s="6" t="str">
        <f>VLOOKUP(Tableau1[[#This Row],[SITES NAMES]],[1]Feuil1!$1:$1048576,9,FALSE)</f>
        <v>YES</v>
      </c>
      <c r="R53" s="6" t="str">
        <f>VLOOKUP(Tableau1[[#This Row],[SITES NAMES]],[1]Feuil1!$1:$1048576,10,FALSE)</f>
        <v>NO</v>
      </c>
      <c r="S53" s="6" t="s">
        <v>2469</v>
      </c>
      <c r="T53" s="6" t="s">
        <v>2470</v>
      </c>
      <c r="U53" s="6" t="s">
        <v>2480</v>
      </c>
      <c r="V53" s="6" t="s">
        <v>2498</v>
      </c>
      <c r="W53" s="6" t="s">
        <v>2476</v>
      </c>
      <c r="X53" s="8" t="s">
        <v>2903</v>
      </c>
      <c r="Y53" s="6" t="s">
        <v>3238</v>
      </c>
      <c r="Z53" s="6" t="s">
        <v>3261</v>
      </c>
      <c r="AA53" s="35" t="s">
        <v>3607</v>
      </c>
      <c r="AB53" s="35" t="s">
        <v>3608</v>
      </c>
      <c r="AC53" s="35" t="s">
        <v>3609</v>
      </c>
      <c r="AD53" s="35" t="s">
        <v>3610</v>
      </c>
      <c r="AE53" s="35" t="s">
        <v>3610</v>
      </c>
      <c r="AF53" s="35" t="s">
        <v>3611</v>
      </c>
      <c r="AG53" s="35" t="s">
        <v>3612</v>
      </c>
      <c r="AH53" s="35" t="s">
        <v>3613</v>
      </c>
      <c r="AI53" s="6"/>
    </row>
    <row r="54" spans="1:35" ht="14.45" hidden="1" customHeight="1" x14ac:dyDescent="0.25">
      <c r="A54" s="6" t="s">
        <v>1214</v>
      </c>
      <c r="B54" s="7">
        <v>41815</v>
      </c>
      <c r="C54" s="6" t="s">
        <v>1213</v>
      </c>
      <c r="D54" s="6" t="s">
        <v>66</v>
      </c>
      <c r="E54" s="6" t="s">
        <v>1924</v>
      </c>
      <c r="F54" s="18" t="s">
        <v>3230</v>
      </c>
      <c r="G54" s="8">
        <v>1.2769900000000001</v>
      </c>
      <c r="H54" s="8">
        <v>6.1806749999999999</v>
      </c>
      <c r="I54" s="6" t="s">
        <v>2497</v>
      </c>
      <c r="J54" s="6" t="s">
        <v>2459</v>
      </c>
      <c r="K54" s="6" t="s">
        <v>2460</v>
      </c>
      <c r="L54" s="6" t="s">
        <v>1212</v>
      </c>
      <c r="M54" s="6" t="s">
        <v>1408</v>
      </c>
      <c r="N54" s="6" t="s">
        <v>3268</v>
      </c>
      <c r="O54" s="6" t="s">
        <v>7</v>
      </c>
      <c r="P54" s="6" t="str">
        <f>VLOOKUP(Tableau1[[#This Row],[SITES NAMES]],[1]Feuil1!$1:$1048576,8,FALSE)</f>
        <v>OK</v>
      </c>
      <c r="Q54" s="6" t="str">
        <f>VLOOKUP(Tableau1[[#This Row],[SITES NAMES]],[1]Feuil1!$1:$1048576,9,FALSE)</f>
        <v>NO</v>
      </c>
      <c r="R54" s="6" t="str">
        <f>VLOOKUP(Tableau1[[#This Row],[SITES NAMES]],[1]Feuil1!$1:$1048576,10,FALSE)</f>
        <v>NO</v>
      </c>
      <c r="S54" s="6" t="s">
        <v>2469</v>
      </c>
      <c r="T54" s="6" t="s">
        <v>2470</v>
      </c>
      <c r="U54" s="6" t="s">
        <v>2480</v>
      </c>
      <c r="V54" s="6" t="s">
        <v>2498</v>
      </c>
      <c r="W54" s="6" t="s">
        <v>2476</v>
      </c>
      <c r="X54" s="8" t="s">
        <v>2904</v>
      </c>
      <c r="Y54" s="6" t="s">
        <v>3238</v>
      </c>
      <c r="Z54" s="6" t="s">
        <v>3261</v>
      </c>
      <c r="AA54" s="35" t="s">
        <v>3607</v>
      </c>
      <c r="AB54" s="35" t="s">
        <v>3608</v>
      </c>
      <c r="AC54" s="35" t="s">
        <v>3609</v>
      </c>
      <c r="AD54" s="35" t="s">
        <v>3610</v>
      </c>
      <c r="AE54" s="35" t="s">
        <v>3610</v>
      </c>
      <c r="AF54" s="35" t="s">
        <v>3611</v>
      </c>
      <c r="AG54" s="35" t="s">
        <v>3612</v>
      </c>
      <c r="AH54" s="35" t="s">
        <v>3613</v>
      </c>
    </row>
    <row r="55" spans="1:35" ht="14.45" hidden="1" customHeight="1" x14ac:dyDescent="0.25">
      <c r="A55" s="6" t="s">
        <v>1216</v>
      </c>
      <c r="B55" s="7">
        <v>44851</v>
      </c>
      <c r="C55" s="6" t="s">
        <v>1215</v>
      </c>
      <c r="D55" s="6" t="s">
        <v>66</v>
      </c>
      <c r="E55" s="6" t="s">
        <v>1924</v>
      </c>
      <c r="F55" s="6" t="s">
        <v>3229</v>
      </c>
      <c r="G55" s="8">
        <v>1.273282</v>
      </c>
      <c r="H55" s="8">
        <v>6.1753539999999996</v>
      </c>
      <c r="I55" s="6" t="s">
        <v>2475</v>
      </c>
      <c r="J55" s="6" t="s">
        <v>2459</v>
      </c>
      <c r="K55" s="6" t="s">
        <v>2529</v>
      </c>
      <c r="L55" s="6" t="s">
        <v>1212</v>
      </c>
      <c r="M55" s="6" t="s">
        <v>1408</v>
      </c>
      <c r="N55" s="6" t="s">
        <v>2468</v>
      </c>
      <c r="O55" s="6" t="s">
        <v>7</v>
      </c>
      <c r="P55" s="6" t="str">
        <f>VLOOKUP(Tableau1[[#This Row],[SITES NAMES]],[1]Feuil1!$1:$1048576,8,FALSE)</f>
        <v>OK</v>
      </c>
      <c r="Q55" s="6" t="str">
        <f>VLOOKUP(Tableau1[[#This Row],[SITES NAMES]],[1]Feuil1!$1:$1048576,9,FALSE)</f>
        <v>NO</v>
      </c>
      <c r="R55" s="6" t="str">
        <f>VLOOKUP(Tableau1[[#This Row],[SITES NAMES]],[1]Feuil1!$1:$1048576,10,FALSE)</f>
        <v>YES</v>
      </c>
      <c r="S55" s="6" t="s">
        <v>2469</v>
      </c>
      <c r="T55" s="6" t="s">
        <v>2470</v>
      </c>
      <c r="U55" s="6" t="s">
        <v>2480</v>
      </c>
      <c r="V55" s="6" t="s">
        <v>2464</v>
      </c>
      <c r="W55" s="6" t="s">
        <v>2476</v>
      </c>
      <c r="X55" s="8"/>
      <c r="Y55" s="6" t="s">
        <v>3238</v>
      </c>
      <c r="Z55" s="6" t="s">
        <v>3261</v>
      </c>
      <c r="AA55" s="35" t="s">
        <v>3607</v>
      </c>
      <c r="AB55" s="35" t="s">
        <v>3608</v>
      </c>
      <c r="AC55" s="35" t="s">
        <v>3609</v>
      </c>
      <c r="AD55" s="35" t="s">
        <v>3610</v>
      </c>
      <c r="AE55" s="35" t="s">
        <v>3610</v>
      </c>
      <c r="AF55" s="35" t="s">
        <v>3611</v>
      </c>
      <c r="AG55" s="35" t="s">
        <v>3612</v>
      </c>
      <c r="AH55" s="35" t="s">
        <v>3613</v>
      </c>
    </row>
    <row r="56" spans="1:35" ht="14.45" hidden="1" customHeight="1" x14ac:dyDescent="0.3">
      <c r="A56" s="6" t="s">
        <v>51</v>
      </c>
      <c r="B56" s="7">
        <v>0</v>
      </c>
      <c r="C56" s="6" t="s">
        <v>50</v>
      </c>
      <c r="D56" s="6" t="s">
        <v>5</v>
      </c>
      <c r="E56" s="6" t="s">
        <v>6</v>
      </c>
      <c r="F56" s="6" t="s">
        <v>3229</v>
      </c>
      <c r="G56" s="8">
        <v>1.6159167000000001</v>
      </c>
      <c r="H56" s="8">
        <v>6.4907500000000002</v>
      </c>
      <c r="I56" s="6" t="s">
        <v>2479</v>
      </c>
      <c r="J56" s="6" t="s">
        <v>2459</v>
      </c>
      <c r="K56" s="6" t="s">
        <v>2460</v>
      </c>
      <c r="L56" s="6" t="s">
        <v>129</v>
      </c>
      <c r="M56" s="6" t="s">
        <v>3469</v>
      </c>
      <c r="N56" s="6" t="s">
        <v>3268</v>
      </c>
      <c r="O56" s="6" t="s">
        <v>7</v>
      </c>
      <c r="P56" s="6" t="str">
        <f>VLOOKUP(Tableau1[[#This Row],[SITES NAMES]],[1]Feuil1!$1:$1048576,8,FALSE)</f>
        <v>OK</v>
      </c>
      <c r="Q56" s="6" t="str">
        <f>VLOOKUP(Tableau1[[#This Row],[SITES NAMES]],[1]Feuil1!$1:$1048576,9,FALSE)</f>
        <v>NO</v>
      </c>
      <c r="R56" s="6" t="str">
        <f>VLOOKUP(Tableau1[[#This Row],[SITES NAMES]],[1]Feuil1!$1:$1048576,10,FALSE)</f>
        <v>NO</v>
      </c>
      <c r="S56" s="6" t="s">
        <v>2461</v>
      </c>
      <c r="T56" s="6" t="s">
        <v>2462</v>
      </c>
      <c r="U56" s="6" t="s">
        <v>2463</v>
      </c>
      <c r="V56" s="6" t="s">
        <v>2472</v>
      </c>
      <c r="W56" s="6" t="s">
        <v>2465</v>
      </c>
      <c r="X56" s="8" t="s">
        <v>2490</v>
      </c>
      <c r="Y56" s="6" t="s">
        <v>3241</v>
      </c>
      <c r="Z56" s="6"/>
      <c r="AA56" s="37" t="s">
        <v>3626</v>
      </c>
      <c r="AB56" s="38" t="s">
        <v>3627</v>
      </c>
      <c r="AC56" s="37" t="s">
        <v>3633</v>
      </c>
      <c r="AD56" s="37" t="s">
        <v>3628</v>
      </c>
      <c r="AE56" s="37" t="s">
        <v>3629</v>
      </c>
      <c r="AF56" s="39" t="s">
        <v>3630</v>
      </c>
      <c r="AG56" s="37" t="s">
        <v>3631</v>
      </c>
      <c r="AH56" s="37" t="s">
        <v>3632</v>
      </c>
    </row>
    <row r="57" spans="1:35" ht="14.45" hidden="1" customHeight="1" x14ac:dyDescent="0.3">
      <c r="A57" s="6" t="s">
        <v>53</v>
      </c>
      <c r="B57" s="7">
        <v>44853</v>
      </c>
      <c r="C57" s="6" t="s">
        <v>52</v>
      </c>
      <c r="D57" s="6" t="s">
        <v>5</v>
      </c>
      <c r="E57" s="6" t="s">
        <v>6</v>
      </c>
      <c r="F57" s="6" t="s">
        <v>3229</v>
      </c>
      <c r="G57" s="8">
        <v>1.6275500000000001</v>
      </c>
      <c r="H57" s="8">
        <v>6.4983599999999999</v>
      </c>
      <c r="I57" s="6" t="s">
        <v>2475</v>
      </c>
      <c r="J57" s="6" t="s">
        <v>2459</v>
      </c>
      <c r="K57" s="6" t="s">
        <v>2468</v>
      </c>
      <c r="L57" s="6" t="s">
        <v>3470</v>
      </c>
      <c r="M57" s="6"/>
      <c r="N57" s="6" t="s">
        <v>2468</v>
      </c>
      <c r="O57" s="6" t="s">
        <v>7</v>
      </c>
      <c r="P57" s="6" t="str">
        <f>VLOOKUP(Tableau1[[#This Row],[SITES NAMES]],[1]Feuil1!$1:$1048576,8,FALSE)</f>
        <v>OK</v>
      </c>
      <c r="Q57" s="6" t="str">
        <f>VLOOKUP(Tableau1[[#This Row],[SITES NAMES]],[1]Feuil1!$1:$1048576,9,FALSE)</f>
        <v>NO</v>
      </c>
      <c r="R57" s="6" t="str">
        <f>VLOOKUP(Tableau1[[#This Row],[SITES NAMES]],[1]Feuil1!$1:$1048576,10,FALSE)</f>
        <v>YES</v>
      </c>
      <c r="S57" s="6" t="s">
        <v>2461</v>
      </c>
      <c r="T57" s="6" t="s">
        <v>2462</v>
      </c>
      <c r="U57" s="6" t="s">
        <v>2463</v>
      </c>
      <c r="V57" s="6" t="s">
        <v>2478</v>
      </c>
      <c r="W57" s="6" t="s">
        <v>2476</v>
      </c>
      <c r="X57" s="8"/>
      <c r="Y57" s="6" t="s">
        <v>3241</v>
      </c>
      <c r="Z57" s="6"/>
      <c r="AA57" s="37" t="s">
        <v>3626</v>
      </c>
      <c r="AB57" s="38" t="s">
        <v>3627</v>
      </c>
      <c r="AC57" s="37" t="s">
        <v>3633</v>
      </c>
      <c r="AD57" s="37" t="s">
        <v>3628</v>
      </c>
      <c r="AE57" s="37" t="s">
        <v>3629</v>
      </c>
      <c r="AF57" s="39" t="s">
        <v>3630</v>
      </c>
      <c r="AG57" s="37" t="s">
        <v>3631</v>
      </c>
      <c r="AH57" s="37" t="s">
        <v>3632</v>
      </c>
    </row>
    <row r="58" spans="1:35" ht="14.45" hidden="1" customHeight="1" x14ac:dyDescent="0.25">
      <c r="A58" s="6" t="s">
        <v>1318</v>
      </c>
      <c r="B58" s="7">
        <v>46022</v>
      </c>
      <c r="C58" s="6" t="s">
        <v>1317</v>
      </c>
      <c r="D58" s="6" t="s">
        <v>66</v>
      </c>
      <c r="E58" s="6" t="s">
        <v>3231</v>
      </c>
      <c r="F58" s="6" t="s">
        <v>3229</v>
      </c>
      <c r="G58" s="8">
        <v>1.3282499999999999</v>
      </c>
      <c r="H58" s="8">
        <v>6.1864299999999997</v>
      </c>
      <c r="I58" s="15" t="s">
        <v>2479</v>
      </c>
      <c r="J58" s="6" t="s">
        <v>2459</v>
      </c>
      <c r="K58" s="6" t="s">
        <v>2468</v>
      </c>
      <c r="L58" s="6"/>
      <c r="M58" s="6"/>
      <c r="N58" s="6" t="s">
        <v>2468</v>
      </c>
      <c r="O58" s="6" t="s">
        <v>7</v>
      </c>
      <c r="P58" s="6"/>
      <c r="Q58" s="6"/>
      <c r="R58" s="6"/>
      <c r="S58" s="6"/>
      <c r="T58" s="6"/>
      <c r="U58" s="6"/>
      <c r="V58" s="6"/>
      <c r="W58" s="6"/>
      <c r="X58" s="8"/>
      <c r="Y58" s="6" t="s">
        <v>3238</v>
      </c>
      <c r="Z58" s="6"/>
      <c r="AA58" s="35" t="s">
        <v>3621</v>
      </c>
      <c r="AB58" s="35" t="s">
        <v>3608</v>
      </c>
      <c r="AC58" s="35" t="s">
        <v>3622</v>
      </c>
      <c r="AD58" s="35" t="s">
        <v>3610</v>
      </c>
      <c r="AE58" s="35" t="s">
        <v>3610</v>
      </c>
      <c r="AF58" s="35" t="s">
        <v>3611</v>
      </c>
      <c r="AG58" s="35" t="s">
        <v>3612</v>
      </c>
      <c r="AH58" s="35" t="s">
        <v>3623</v>
      </c>
    </row>
    <row r="59" spans="1:35" ht="14.45" hidden="1" customHeight="1" x14ac:dyDescent="0.3">
      <c r="A59" s="6" t="s">
        <v>2282</v>
      </c>
      <c r="B59" s="7">
        <v>41244</v>
      </c>
      <c r="C59" s="6" t="s">
        <v>2281</v>
      </c>
      <c r="D59" s="6" t="s">
        <v>320</v>
      </c>
      <c r="E59" s="6" t="s">
        <v>2274</v>
      </c>
      <c r="F59" s="6" t="s">
        <v>3229</v>
      </c>
      <c r="G59" s="8">
        <v>1.2996399999999999</v>
      </c>
      <c r="H59" s="8">
        <v>8.4546919999999997</v>
      </c>
      <c r="I59" s="6" t="s">
        <v>2467</v>
      </c>
      <c r="J59" s="6" t="s">
        <v>2459</v>
      </c>
      <c r="K59" s="6" t="s">
        <v>2468</v>
      </c>
      <c r="L59" s="6" t="s">
        <v>2276</v>
      </c>
      <c r="M59" s="6"/>
      <c r="N59" s="6" t="s">
        <v>2468</v>
      </c>
      <c r="O59" s="6" t="s">
        <v>40</v>
      </c>
      <c r="P59" s="6" t="str">
        <f>VLOOKUP(Tableau1[[#This Row],[SITES NAMES]],[1]Feuil1!$1:$1048576,8,FALSE)</f>
        <v>OK</v>
      </c>
      <c r="Q59" s="6" t="str">
        <f>VLOOKUP(Tableau1[[#This Row],[SITES NAMES]],[1]Feuil1!$1:$1048576,9,FALSE)</f>
        <v>NO</v>
      </c>
      <c r="R59" s="6" t="str">
        <f>VLOOKUP(Tableau1[[#This Row],[SITES NAMES]],[1]Feuil1!$1:$1048576,10,FALSE)</f>
        <v>NO</v>
      </c>
      <c r="S59" s="6" t="s">
        <v>2469</v>
      </c>
      <c r="T59" s="6" t="s">
        <v>2470</v>
      </c>
      <c r="U59" s="6" t="s">
        <v>2471</v>
      </c>
      <c r="V59" s="6" t="s">
        <v>2472</v>
      </c>
      <c r="W59" s="6" t="s">
        <v>2473</v>
      </c>
      <c r="X59" s="8" t="s">
        <v>3180</v>
      </c>
      <c r="Y59" s="6" t="s">
        <v>3238</v>
      </c>
      <c r="Z59" s="6" t="s">
        <v>3254</v>
      </c>
      <c r="AA59" s="37" t="s">
        <v>3678</v>
      </c>
      <c r="AB59" s="39" t="s">
        <v>3665</v>
      </c>
      <c r="AC59" s="37" t="s">
        <v>3679</v>
      </c>
      <c r="AD59" s="37" t="s">
        <v>3678</v>
      </c>
      <c r="AE59" s="37" t="s">
        <v>3680</v>
      </c>
      <c r="AF59" s="39" t="s">
        <v>3676</v>
      </c>
      <c r="AG59" s="37" t="s">
        <v>3670</v>
      </c>
      <c r="AH59" s="37" t="s">
        <v>3681</v>
      </c>
    </row>
    <row r="60" spans="1:35" ht="14.45" hidden="1" customHeight="1" x14ac:dyDescent="0.3">
      <c r="A60" s="6" t="s">
        <v>2296</v>
      </c>
      <c r="B60" s="7" t="s">
        <v>3185</v>
      </c>
      <c r="C60" s="6" t="s">
        <v>2295</v>
      </c>
      <c r="D60" s="6" t="s">
        <v>320</v>
      </c>
      <c r="E60" s="6" t="s">
        <v>2274</v>
      </c>
      <c r="F60" s="6" t="s">
        <v>3229</v>
      </c>
      <c r="G60" s="8">
        <v>1.5182800000000001</v>
      </c>
      <c r="H60" s="8">
        <v>9.1364900000000002</v>
      </c>
      <c r="I60" s="16" t="s">
        <v>2497</v>
      </c>
      <c r="J60" s="6" t="s">
        <v>2459</v>
      </c>
      <c r="K60" s="6" t="s">
        <v>2468</v>
      </c>
      <c r="L60" s="6" t="s">
        <v>2318</v>
      </c>
      <c r="M60" s="6"/>
      <c r="N60" s="6" t="s">
        <v>2468</v>
      </c>
      <c r="O60" s="6" t="s">
        <v>18</v>
      </c>
      <c r="P60" s="6" t="str">
        <f>VLOOKUP(Tableau1[[#This Row],[SITES NAMES]],[1]Feuil1!$1:$1048576,8,FALSE)</f>
        <v>OK</v>
      </c>
      <c r="Q60" s="6" t="str">
        <f>VLOOKUP(Tableau1[[#This Row],[SITES NAMES]],[1]Feuil1!$1:$1048576,9,FALSE)</f>
        <v>NO</v>
      </c>
      <c r="R60" s="6" t="str">
        <f>VLOOKUP(Tableau1[[#This Row],[SITES NAMES]],[1]Feuil1!$1:$1048576,10,FALSE)</f>
        <v>YES</v>
      </c>
      <c r="S60" s="6"/>
      <c r="T60" s="6"/>
      <c r="U60" s="6"/>
      <c r="V60" s="6" t="s">
        <v>2472</v>
      </c>
      <c r="W60" s="6" t="s">
        <v>2473</v>
      </c>
      <c r="X60" s="8" t="s">
        <v>3186</v>
      </c>
      <c r="Y60" s="6" t="s">
        <v>3238</v>
      </c>
      <c r="Z60" s="6" t="s">
        <v>3254</v>
      </c>
      <c r="AA60" s="37" t="s">
        <v>3678</v>
      </c>
      <c r="AB60" s="39" t="s">
        <v>3665</v>
      </c>
      <c r="AC60" s="37" t="s">
        <v>3679</v>
      </c>
      <c r="AD60" s="37" t="s">
        <v>3678</v>
      </c>
      <c r="AE60" s="37" t="s">
        <v>3680</v>
      </c>
      <c r="AF60" s="39" t="s">
        <v>3676</v>
      </c>
      <c r="AG60" s="37" t="s">
        <v>3670</v>
      </c>
      <c r="AH60" s="37" t="s">
        <v>3681</v>
      </c>
    </row>
    <row r="61" spans="1:35" ht="14.45" hidden="1" customHeight="1" x14ac:dyDescent="0.25">
      <c r="A61" s="6" t="s">
        <v>3456</v>
      </c>
      <c r="B61" s="7">
        <v>44847</v>
      </c>
      <c r="C61" s="6" t="s">
        <v>1345</v>
      </c>
      <c r="D61" s="6" t="s">
        <v>66</v>
      </c>
      <c r="E61" s="6" t="s">
        <v>3231</v>
      </c>
      <c r="F61" s="6" t="s">
        <v>3229</v>
      </c>
      <c r="G61" s="8">
        <v>1.3838060000000001</v>
      </c>
      <c r="H61" s="8">
        <v>6.1827160000000001</v>
      </c>
      <c r="I61" s="6" t="s">
        <v>2479</v>
      </c>
      <c r="J61" s="6" t="s">
        <v>2459</v>
      </c>
      <c r="K61" s="6" t="s">
        <v>2460</v>
      </c>
      <c r="L61" s="6" t="s">
        <v>3280</v>
      </c>
      <c r="M61" s="6"/>
      <c r="N61" s="6" t="s">
        <v>3268</v>
      </c>
      <c r="O61" s="6" t="s">
        <v>7</v>
      </c>
      <c r="P61" s="6" t="e">
        <f>VLOOKUP(Tableau1[[#This Row],[SITES NAMES]],[1]Feuil1!$1:$1048576,8,FALSE)</f>
        <v>#N/A</v>
      </c>
      <c r="Q61" s="6" t="e">
        <f>VLOOKUP(Tableau1[[#This Row],[SITES NAMES]],[1]Feuil1!$1:$1048576,9,FALSE)</f>
        <v>#N/A</v>
      </c>
      <c r="R61" s="6" t="e">
        <f>VLOOKUP(Tableau1[[#This Row],[SITES NAMES]],[1]Feuil1!$1:$1048576,10,FALSE)</f>
        <v>#N/A</v>
      </c>
      <c r="S61" s="6" t="s">
        <v>2469</v>
      </c>
      <c r="T61" s="6" t="s">
        <v>2470</v>
      </c>
      <c r="U61" s="6" t="s">
        <v>2480</v>
      </c>
      <c r="V61" s="6" t="s">
        <v>2472</v>
      </c>
      <c r="W61" s="6" t="s">
        <v>2465</v>
      </c>
      <c r="X61" s="8"/>
      <c r="Y61" s="6" t="s">
        <v>3238</v>
      </c>
      <c r="Z61" s="6"/>
      <c r="AA61" s="35" t="s">
        <v>3621</v>
      </c>
      <c r="AB61" s="35" t="s">
        <v>3608</v>
      </c>
      <c r="AC61" s="35" t="s">
        <v>3622</v>
      </c>
      <c r="AD61" s="35" t="s">
        <v>3610</v>
      </c>
      <c r="AE61" s="35" t="s">
        <v>3610</v>
      </c>
      <c r="AF61" s="35" t="s">
        <v>3611</v>
      </c>
      <c r="AG61" s="35" t="s">
        <v>3612</v>
      </c>
      <c r="AH61" s="35" t="s">
        <v>3623</v>
      </c>
    </row>
    <row r="62" spans="1:35" hidden="1" x14ac:dyDescent="0.25">
      <c r="A62" s="6" t="s">
        <v>1347</v>
      </c>
      <c r="B62" s="7">
        <v>41609</v>
      </c>
      <c r="C62" s="6" t="s">
        <v>1346</v>
      </c>
      <c r="D62" s="6" t="s">
        <v>66</v>
      </c>
      <c r="E62" s="6" t="s">
        <v>3231</v>
      </c>
      <c r="F62" s="18" t="s">
        <v>3230</v>
      </c>
      <c r="G62" s="8">
        <v>1.390325</v>
      </c>
      <c r="H62" s="8">
        <v>6.1856849</v>
      </c>
      <c r="I62" s="6" t="s">
        <v>2486</v>
      </c>
      <c r="J62" s="6" t="s">
        <v>2459</v>
      </c>
      <c r="K62" s="6" t="s">
        <v>2460</v>
      </c>
      <c r="L62" s="6" t="s">
        <v>1312</v>
      </c>
      <c r="M62" s="6" t="s">
        <v>1432</v>
      </c>
      <c r="N62" s="21" t="s">
        <v>3269</v>
      </c>
      <c r="O62" s="6" t="s">
        <v>7</v>
      </c>
      <c r="P62" s="6" t="str">
        <f>VLOOKUP(Tableau1[[#This Row],[SITES NAMES]],[1]Feuil1!$1:$1048576,8,FALSE)</f>
        <v>OK</v>
      </c>
      <c r="Q62" s="6" t="str">
        <f>VLOOKUP(Tableau1[[#This Row],[SITES NAMES]],[1]Feuil1!$1:$1048576,9,FALSE)</f>
        <v>NO</v>
      </c>
      <c r="R62" s="6" t="str">
        <f>VLOOKUP(Tableau1[[#This Row],[SITES NAMES]],[1]Feuil1!$1:$1048576,10,FALSE)</f>
        <v>YES</v>
      </c>
      <c r="S62" s="6" t="s">
        <v>2469</v>
      </c>
      <c r="T62" s="6" t="s">
        <v>2470</v>
      </c>
      <c r="U62" s="6" t="s">
        <v>2471</v>
      </c>
      <c r="V62" s="6" t="s">
        <v>2478</v>
      </c>
      <c r="W62" s="6" t="s">
        <v>2476</v>
      </c>
      <c r="X62" s="8" t="s">
        <v>2928</v>
      </c>
      <c r="Y62" s="6" t="s">
        <v>3238</v>
      </c>
      <c r="Z62" s="6"/>
      <c r="AA62" s="35" t="s">
        <v>3621</v>
      </c>
      <c r="AB62" s="35" t="s">
        <v>3608</v>
      </c>
      <c r="AC62" s="35" t="s">
        <v>3622</v>
      </c>
      <c r="AD62" s="35" t="s">
        <v>3610</v>
      </c>
      <c r="AE62" s="35" t="s">
        <v>3610</v>
      </c>
      <c r="AF62" s="35" t="s">
        <v>3611</v>
      </c>
      <c r="AG62" s="35" t="s">
        <v>3612</v>
      </c>
      <c r="AH62" s="35" t="s">
        <v>3623</v>
      </c>
    </row>
    <row r="63" spans="1:35" ht="14.45" hidden="1" customHeight="1" x14ac:dyDescent="0.3">
      <c r="A63" s="6" t="s">
        <v>584</v>
      </c>
      <c r="B63" s="7">
        <v>42156</v>
      </c>
      <c r="C63" s="6" t="s">
        <v>583</v>
      </c>
      <c r="D63" s="6" t="s">
        <v>132</v>
      </c>
      <c r="E63" s="6" t="s">
        <v>565</v>
      </c>
      <c r="F63" s="6" t="s">
        <v>3229</v>
      </c>
      <c r="G63" s="8">
        <v>1.5902000000000001</v>
      </c>
      <c r="H63" s="8">
        <v>7.9483333329999999</v>
      </c>
      <c r="I63" s="6" t="s">
        <v>2467</v>
      </c>
      <c r="J63" s="6" t="s">
        <v>2459</v>
      </c>
      <c r="K63" s="6" t="s">
        <v>2468</v>
      </c>
      <c r="L63" s="6" t="s">
        <v>578</v>
      </c>
      <c r="M63" s="6"/>
      <c r="N63" s="6" t="s">
        <v>2468</v>
      </c>
      <c r="O63" s="6" t="s">
        <v>40</v>
      </c>
      <c r="P63" s="6" t="str">
        <f>VLOOKUP(Tableau1[[#This Row],[SITES NAMES]],[1]Feuil1!$1:$1048576,8,FALSE)</f>
        <v>OK</v>
      </c>
      <c r="Q63" s="6" t="str">
        <f>VLOOKUP(Tableau1[[#This Row],[SITES NAMES]],[1]Feuil1!$1:$1048576,9,FALSE)</f>
        <v>NO</v>
      </c>
      <c r="R63" s="6" t="str">
        <f>VLOOKUP(Tableau1[[#This Row],[SITES NAMES]],[1]Feuil1!$1:$1048576,10,FALSE)</f>
        <v>NO</v>
      </c>
      <c r="S63" s="6" t="s">
        <v>2461</v>
      </c>
      <c r="T63" s="6" t="s">
        <v>2470</v>
      </c>
      <c r="U63" s="6" t="s">
        <v>2463</v>
      </c>
      <c r="V63" s="6" t="s">
        <v>2472</v>
      </c>
      <c r="W63" s="6" t="s">
        <v>2473</v>
      </c>
      <c r="X63" s="8" t="s">
        <v>2687</v>
      </c>
      <c r="Y63" s="6" t="s">
        <v>3238</v>
      </c>
      <c r="Z63" s="6"/>
      <c r="AA63" s="37" t="s">
        <v>3660</v>
      </c>
      <c r="AB63" s="39" t="s">
        <v>3644</v>
      </c>
      <c r="AC63" s="37" t="s">
        <v>3661</v>
      </c>
      <c r="AD63" s="39" t="s">
        <v>3646</v>
      </c>
      <c r="AE63" s="39" t="s">
        <v>3647</v>
      </c>
      <c r="AF63" s="39" t="s">
        <v>3662</v>
      </c>
      <c r="AG63" s="37" t="s">
        <v>3649</v>
      </c>
      <c r="AH63" s="37" t="s">
        <v>3663</v>
      </c>
    </row>
    <row r="64" spans="1:35" ht="14.45" hidden="1" customHeight="1" x14ac:dyDescent="0.3">
      <c r="A64" s="6" t="s">
        <v>586</v>
      </c>
      <c r="B64" s="7">
        <v>41244</v>
      </c>
      <c r="C64" s="6" t="s">
        <v>585</v>
      </c>
      <c r="D64" s="6" t="s">
        <v>132</v>
      </c>
      <c r="E64" s="6" t="s">
        <v>565</v>
      </c>
      <c r="F64" s="6" t="s">
        <v>3229</v>
      </c>
      <c r="G64" s="8">
        <v>1.6017999999999999</v>
      </c>
      <c r="H64" s="8">
        <v>7.8123899999999997</v>
      </c>
      <c r="I64" s="6" t="s">
        <v>2467</v>
      </c>
      <c r="J64" s="6" t="s">
        <v>2459</v>
      </c>
      <c r="K64" s="6" t="s">
        <v>2468</v>
      </c>
      <c r="L64" s="6" t="s">
        <v>618</v>
      </c>
      <c r="M64" s="6"/>
      <c r="N64" s="6" t="s">
        <v>2468</v>
      </c>
      <c r="O64" s="6" t="s">
        <v>40</v>
      </c>
      <c r="P64" s="6" t="str">
        <f>VLOOKUP(Tableau1[[#This Row],[SITES NAMES]],[1]Feuil1!$1:$1048576,8,FALSE)</f>
        <v>OK</v>
      </c>
      <c r="Q64" s="6" t="str">
        <f>VLOOKUP(Tableau1[[#This Row],[SITES NAMES]],[1]Feuil1!$1:$1048576,9,FALSE)</f>
        <v>NO</v>
      </c>
      <c r="R64" s="6" t="str">
        <f>VLOOKUP(Tableau1[[#This Row],[SITES NAMES]],[1]Feuil1!$1:$1048576,10,FALSE)</f>
        <v>NO</v>
      </c>
      <c r="S64" s="6" t="s">
        <v>2461</v>
      </c>
      <c r="T64" s="6" t="s">
        <v>2470</v>
      </c>
      <c r="U64" s="6" t="s">
        <v>2463</v>
      </c>
      <c r="V64" s="6" t="s">
        <v>2472</v>
      </c>
      <c r="W64" s="6" t="s">
        <v>2473</v>
      </c>
      <c r="X64" s="8" t="s">
        <v>2688</v>
      </c>
      <c r="Y64" s="6" t="s">
        <v>3238</v>
      </c>
      <c r="Z64" s="6"/>
      <c r="AA64" s="37" t="s">
        <v>3660</v>
      </c>
      <c r="AB64" s="39" t="s">
        <v>3644</v>
      </c>
      <c r="AC64" s="37" t="s">
        <v>3661</v>
      </c>
      <c r="AD64" s="39" t="s">
        <v>3646</v>
      </c>
      <c r="AE64" s="39" t="s">
        <v>3647</v>
      </c>
      <c r="AF64" s="39" t="s">
        <v>3662</v>
      </c>
      <c r="AG64" s="37" t="s">
        <v>3649</v>
      </c>
      <c r="AH64" s="37" t="s">
        <v>3663</v>
      </c>
    </row>
    <row r="65" spans="1:34" ht="14.45" hidden="1" customHeight="1" x14ac:dyDescent="0.3">
      <c r="A65" s="6" t="s">
        <v>285</v>
      </c>
      <c r="B65" s="7">
        <v>41746</v>
      </c>
      <c r="C65" s="6" t="s">
        <v>284</v>
      </c>
      <c r="D65" s="6" t="s">
        <v>132</v>
      </c>
      <c r="E65" s="6" t="s">
        <v>251</v>
      </c>
      <c r="F65" s="6" t="s">
        <v>3229</v>
      </c>
      <c r="G65" s="8">
        <v>0.78551199999999999</v>
      </c>
      <c r="H65" s="8">
        <v>7.5015590000000003</v>
      </c>
      <c r="I65" s="6" t="s">
        <v>2467</v>
      </c>
      <c r="J65" s="6" t="s">
        <v>2459</v>
      </c>
      <c r="K65" s="6" t="s">
        <v>2468</v>
      </c>
      <c r="L65" s="6" t="s">
        <v>275</v>
      </c>
      <c r="M65" s="6"/>
      <c r="N65" s="6" t="s">
        <v>2468</v>
      </c>
      <c r="O65" s="6" t="s">
        <v>40</v>
      </c>
      <c r="P65" s="6" t="str">
        <f>VLOOKUP(Tableau1[[#This Row],[SITES NAMES]],[1]Feuil1!$1:$1048576,8,FALSE)</f>
        <v>NOK</v>
      </c>
      <c r="Q65" s="6" t="str">
        <f>VLOOKUP(Tableau1[[#This Row],[SITES NAMES]],[1]Feuil1!$1:$1048576,9,FALSE)</f>
        <v>NO</v>
      </c>
      <c r="R65" s="6" t="str">
        <f>VLOOKUP(Tableau1[[#This Row],[SITES NAMES]],[1]Feuil1!$1:$1048576,10,FALSE)</f>
        <v>NO</v>
      </c>
      <c r="S65" s="6" t="s">
        <v>2469</v>
      </c>
      <c r="T65" s="6" t="s">
        <v>2470</v>
      </c>
      <c r="U65" s="6" t="s">
        <v>2471</v>
      </c>
      <c r="V65" s="6" t="s">
        <v>2472</v>
      </c>
      <c r="W65" s="6" t="s">
        <v>2473</v>
      </c>
      <c r="X65" s="8" t="s">
        <v>2576</v>
      </c>
      <c r="Y65" s="6" t="s">
        <v>3238</v>
      </c>
      <c r="Z65" s="6"/>
      <c r="AA65" s="37" t="s">
        <v>3651</v>
      </c>
      <c r="AB65" s="39" t="s">
        <v>3644</v>
      </c>
      <c r="AC65" s="45" t="s">
        <v>3652</v>
      </c>
      <c r="AD65" s="39" t="s">
        <v>3646</v>
      </c>
      <c r="AE65" s="37" t="s">
        <v>3653</v>
      </c>
      <c r="AF65" s="37" t="s">
        <v>3654</v>
      </c>
      <c r="AG65" s="37" t="s">
        <v>3649</v>
      </c>
      <c r="AH65" s="37" t="s">
        <v>3655</v>
      </c>
    </row>
    <row r="66" spans="1:34" ht="14.45" hidden="1" customHeight="1" x14ac:dyDescent="0.25">
      <c r="A66" s="6" t="s">
        <v>1861</v>
      </c>
      <c r="B66" s="7">
        <v>41703</v>
      </c>
      <c r="C66" s="6" t="s">
        <v>1860</v>
      </c>
      <c r="D66" s="6" t="s">
        <v>66</v>
      </c>
      <c r="E66" s="6" t="s">
        <v>3232</v>
      </c>
      <c r="F66" s="6" t="s">
        <v>3229</v>
      </c>
      <c r="G66" s="8">
        <v>1.2220200000000001</v>
      </c>
      <c r="H66" s="8">
        <v>6.1273786369999996</v>
      </c>
      <c r="I66" s="6" t="s">
        <v>2497</v>
      </c>
      <c r="J66" s="6" t="s">
        <v>2459</v>
      </c>
      <c r="K66" s="6" t="s">
        <v>2460</v>
      </c>
      <c r="L66" s="6" t="s">
        <v>1857</v>
      </c>
      <c r="M66" s="6" t="s">
        <v>1859</v>
      </c>
      <c r="N66" s="6" t="s">
        <v>3268</v>
      </c>
      <c r="O66" s="6" t="s">
        <v>1206</v>
      </c>
      <c r="P66" s="6"/>
      <c r="Q66" s="6" t="str">
        <f>VLOOKUP(Tableau1[[#This Row],[SITES NAMES]],[1]Feuil1!$1:$1048576,9,FALSE)</f>
        <v>YES</v>
      </c>
      <c r="R66" s="6" t="str">
        <f>VLOOKUP(Tableau1[[#This Row],[SITES NAMES]],[1]Feuil1!$1:$1048576,10,FALSE)</f>
        <v>YES</v>
      </c>
      <c r="S66" s="6" t="s">
        <v>2469</v>
      </c>
      <c r="T66" s="6" t="s">
        <v>2470</v>
      </c>
      <c r="U66" s="6" t="s">
        <v>2471</v>
      </c>
      <c r="V66" s="6" t="s">
        <v>2498</v>
      </c>
      <c r="W66" s="6" t="s">
        <v>2476</v>
      </c>
      <c r="X66" s="8"/>
      <c r="Y66" s="6" t="s">
        <v>3238</v>
      </c>
      <c r="Z66" s="6" t="s">
        <v>3262</v>
      </c>
      <c r="AA66" s="35" t="s">
        <v>3621</v>
      </c>
      <c r="AB66" s="35" t="s">
        <v>3608</v>
      </c>
      <c r="AC66" s="35" t="s">
        <v>3624</v>
      </c>
      <c r="AD66" s="35" t="s">
        <v>3610</v>
      </c>
      <c r="AE66" s="35" t="s">
        <v>3610</v>
      </c>
      <c r="AF66" s="35" t="s">
        <v>3611</v>
      </c>
      <c r="AG66" s="35" t="s">
        <v>3612</v>
      </c>
      <c r="AH66" s="35" t="s">
        <v>3625</v>
      </c>
    </row>
    <row r="67" spans="1:34" ht="14.45" hidden="1" customHeight="1" x14ac:dyDescent="0.25">
      <c r="A67" s="6" t="s">
        <v>1486</v>
      </c>
      <c r="B67" s="7">
        <v>38931</v>
      </c>
      <c r="C67" s="6" t="s">
        <v>1485</v>
      </c>
      <c r="D67" s="6" t="s">
        <v>66</v>
      </c>
      <c r="E67" s="6" t="s">
        <v>3233</v>
      </c>
      <c r="F67" s="18" t="s">
        <v>3230</v>
      </c>
      <c r="G67" s="8">
        <v>1.1950689999999999</v>
      </c>
      <c r="H67" s="8">
        <v>6.1940157950000003</v>
      </c>
      <c r="I67" s="14" t="s">
        <v>2497</v>
      </c>
      <c r="J67" s="6" t="s">
        <v>2459</v>
      </c>
      <c r="K67" s="6" t="s">
        <v>2460</v>
      </c>
      <c r="L67" s="6" t="s">
        <v>1734</v>
      </c>
      <c r="M67" s="6"/>
      <c r="N67" s="6" t="s">
        <v>3268</v>
      </c>
      <c r="O67" s="6" t="s">
        <v>7</v>
      </c>
      <c r="P67" s="6" t="str">
        <f>VLOOKUP(Tableau1[[#This Row],[SITES NAMES]],[1]Feuil1!$1:$1048576,8,FALSE)</f>
        <v>OK</v>
      </c>
      <c r="Q67" s="6" t="str">
        <f>VLOOKUP(Tableau1[[#This Row],[SITES NAMES]],[1]Feuil1!$1:$1048576,9,FALSE)</f>
        <v>NO</v>
      </c>
      <c r="R67" s="6" t="str">
        <f>VLOOKUP(Tableau1[[#This Row],[SITES NAMES]],[1]Feuil1!$1:$1048576,10,FALSE)</f>
        <v>NO</v>
      </c>
      <c r="S67" s="6" t="s">
        <v>2461</v>
      </c>
      <c r="T67" s="6" t="s">
        <v>2462</v>
      </c>
      <c r="U67" s="6" t="s">
        <v>2463</v>
      </c>
      <c r="V67" s="6" t="s">
        <v>2478</v>
      </c>
      <c r="W67" s="6" t="s">
        <v>2476</v>
      </c>
      <c r="X67" s="8" t="s">
        <v>2956</v>
      </c>
      <c r="Y67" s="6" t="s">
        <v>3238</v>
      </c>
      <c r="Z67" s="6"/>
      <c r="AA67" s="35" t="s">
        <v>3616</v>
      </c>
      <c r="AB67" s="35" t="s">
        <v>3608</v>
      </c>
      <c r="AC67" s="35" t="s">
        <v>3617</v>
      </c>
      <c r="AD67" s="35" t="s">
        <v>3610</v>
      </c>
      <c r="AE67" s="35" t="s">
        <v>3610</v>
      </c>
      <c r="AF67" s="35" t="s">
        <v>3611</v>
      </c>
      <c r="AG67" s="35" t="s">
        <v>3612</v>
      </c>
      <c r="AH67" s="35" t="s">
        <v>3618</v>
      </c>
    </row>
    <row r="68" spans="1:34" ht="14.45" hidden="1" customHeight="1" x14ac:dyDescent="0.25">
      <c r="A68" s="6" t="s">
        <v>1488</v>
      </c>
      <c r="B68" s="7">
        <v>41759</v>
      </c>
      <c r="C68" s="6" t="s">
        <v>1487</v>
      </c>
      <c r="D68" s="6" t="s">
        <v>66</v>
      </c>
      <c r="E68" s="6" t="s">
        <v>3233</v>
      </c>
      <c r="F68" s="6" t="s">
        <v>3229</v>
      </c>
      <c r="G68" s="8">
        <v>1.1935560000000001</v>
      </c>
      <c r="H68" s="8">
        <v>6.2010655520000002</v>
      </c>
      <c r="I68" s="14" t="s">
        <v>2497</v>
      </c>
      <c r="J68" s="6" t="s">
        <v>2459</v>
      </c>
      <c r="K68" s="6" t="s">
        <v>2460</v>
      </c>
      <c r="L68" s="6" t="s">
        <v>1743</v>
      </c>
      <c r="M68" s="6" t="s">
        <v>1904</v>
      </c>
      <c r="N68" s="6" t="s">
        <v>3268</v>
      </c>
      <c r="O68" s="6" t="s">
        <v>7</v>
      </c>
      <c r="P68" s="6" t="str">
        <f>VLOOKUP(Tableau1[[#This Row],[SITES NAMES]],[1]Feuil1!$1:$1048576,8,FALSE)</f>
        <v>OK</v>
      </c>
      <c r="Q68" s="6" t="str">
        <f>VLOOKUP(Tableau1[[#This Row],[SITES NAMES]],[1]Feuil1!$1:$1048576,9,FALSE)</f>
        <v>NO</v>
      </c>
      <c r="R68" s="6" t="str">
        <f>VLOOKUP(Tableau1[[#This Row],[SITES NAMES]],[1]Feuil1!$1:$1048576,10,FALSE)</f>
        <v>NO</v>
      </c>
      <c r="S68" s="6" t="s">
        <v>2469</v>
      </c>
      <c r="T68" s="6" t="s">
        <v>2470</v>
      </c>
      <c r="U68" s="6" t="s">
        <v>2463</v>
      </c>
      <c r="V68" s="6" t="s">
        <v>2478</v>
      </c>
      <c r="W68" s="6" t="s">
        <v>2476</v>
      </c>
      <c r="X68" s="8" t="s">
        <v>2957</v>
      </c>
      <c r="Y68" s="6" t="s">
        <v>3238</v>
      </c>
      <c r="Z68" s="6"/>
      <c r="AA68" s="35" t="s">
        <v>3616</v>
      </c>
      <c r="AB68" s="35" t="s">
        <v>3608</v>
      </c>
      <c r="AC68" s="35" t="s">
        <v>3617</v>
      </c>
      <c r="AD68" s="35" t="s">
        <v>3610</v>
      </c>
      <c r="AE68" s="35" t="s">
        <v>3610</v>
      </c>
      <c r="AF68" s="35" t="s">
        <v>3611</v>
      </c>
      <c r="AG68" s="35" t="s">
        <v>3612</v>
      </c>
      <c r="AH68" s="35" t="s">
        <v>3618</v>
      </c>
    </row>
    <row r="69" spans="1:34" ht="14.45" hidden="1" customHeight="1" x14ac:dyDescent="0.25">
      <c r="A69" s="6" t="s">
        <v>1456</v>
      </c>
      <c r="B69" s="7">
        <v>46022</v>
      </c>
      <c r="C69" s="6" t="s">
        <v>1455</v>
      </c>
      <c r="D69" s="6" t="s">
        <v>66</v>
      </c>
      <c r="E69" s="6" t="s">
        <v>3233</v>
      </c>
      <c r="F69" s="6" t="s">
        <v>3229</v>
      </c>
      <c r="G69" s="8">
        <v>1.204664</v>
      </c>
      <c r="H69" s="8">
        <v>6.1921039999999996</v>
      </c>
      <c r="I69" s="12" t="s">
        <v>2475</v>
      </c>
      <c r="J69" s="6" t="s">
        <v>2459</v>
      </c>
      <c r="K69" s="6" t="s">
        <v>2468</v>
      </c>
      <c r="L69" s="6"/>
      <c r="M69" s="6"/>
      <c r="N69" s="6" t="s">
        <v>2468</v>
      </c>
      <c r="O69" s="6" t="s">
        <v>7</v>
      </c>
      <c r="P69" s="6"/>
      <c r="Q69" s="6"/>
      <c r="R69" s="6"/>
      <c r="S69" s="6"/>
      <c r="T69" s="6"/>
      <c r="U69" s="6"/>
      <c r="V69" s="6"/>
      <c r="W69" s="6"/>
      <c r="X69" s="8"/>
      <c r="Y69" s="6" t="s">
        <v>3238</v>
      </c>
      <c r="Z69" s="6"/>
      <c r="AA69" s="35" t="s">
        <v>3616</v>
      </c>
      <c r="AB69" s="35" t="s">
        <v>3608</v>
      </c>
      <c r="AC69" s="35" t="s">
        <v>3617</v>
      </c>
      <c r="AD69" s="35" t="s">
        <v>3610</v>
      </c>
      <c r="AE69" s="35" t="s">
        <v>3610</v>
      </c>
      <c r="AF69" s="35" t="s">
        <v>3611</v>
      </c>
      <c r="AG69" s="35" t="s">
        <v>3612</v>
      </c>
      <c r="AH69" s="35" t="s">
        <v>3618</v>
      </c>
    </row>
    <row r="70" spans="1:34" ht="14.45" hidden="1" customHeight="1" x14ac:dyDescent="0.25">
      <c r="A70" s="6" t="s">
        <v>1490</v>
      </c>
      <c r="B70" s="7">
        <v>0</v>
      </c>
      <c r="C70" s="6" t="s">
        <v>1489</v>
      </c>
      <c r="D70" s="6" t="s">
        <v>66</v>
      </c>
      <c r="E70" s="6" t="s">
        <v>3233</v>
      </c>
      <c r="F70" s="6" t="s">
        <v>3229</v>
      </c>
      <c r="G70" s="8">
        <v>1.199819</v>
      </c>
      <c r="H70" s="8">
        <v>6.1895189999999998</v>
      </c>
      <c r="I70" s="6" t="s">
        <v>2497</v>
      </c>
      <c r="J70" s="6" t="s">
        <v>2459</v>
      </c>
      <c r="K70" s="6" t="s">
        <v>2460</v>
      </c>
      <c r="L70" s="6" t="s">
        <v>1558</v>
      </c>
      <c r="M70" s="6" t="s">
        <v>1278</v>
      </c>
      <c r="N70" s="6" t="s">
        <v>3268</v>
      </c>
      <c r="O70" s="6" t="s">
        <v>7</v>
      </c>
      <c r="P70" s="6" t="str">
        <f>VLOOKUP(Tableau1[[#This Row],[SITES NAMES]],[1]Feuil1!$1:$1048576,8,FALSE)</f>
        <v>OK</v>
      </c>
      <c r="Q70" s="6" t="str">
        <f>VLOOKUP(Tableau1[[#This Row],[SITES NAMES]],[1]Feuil1!$1:$1048576,9,FALSE)</f>
        <v>NO</v>
      </c>
      <c r="R70" s="6" t="str">
        <f>VLOOKUP(Tableau1[[#This Row],[SITES NAMES]],[1]Feuil1!$1:$1048576,10,FALSE)</f>
        <v>NO</v>
      </c>
      <c r="S70" s="6" t="s">
        <v>2469</v>
      </c>
      <c r="T70" s="6" t="s">
        <v>2470</v>
      </c>
      <c r="U70" s="6" t="s">
        <v>2480</v>
      </c>
      <c r="V70" s="6" t="s">
        <v>2464</v>
      </c>
      <c r="W70" s="6" t="s">
        <v>2476</v>
      </c>
      <c r="X70" s="8"/>
      <c r="Y70" s="6" t="s">
        <v>3238</v>
      </c>
      <c r="Z70" s="6"/>
      <c r="AA70" s="35" t="s">
        <v>3616</v>
      </c>
      <c r="AB70" s="35" t="s">
        <v>3608</v>
      </c>
      <c r="AC70" s="35" t="s">
        <v>3617</v>
      </c>
      <c r="AD70" s="35" t="s">
        <v>3610</v>
      </c>
      <c r="AE70" s="35" t="s">
        <v>3610</v>
      </c>
      <c r="AF70" s="35" t="s">
        <v>3611</v>
      </c>
      <c r="AG70" s="35" t="s">
        <v>3612</v>
      </c>
      <c r="AH70" s="35" t="s">
        <v>3618</v>
      </c>
    </row>
    <row r="71" spans="1:34" ht="14.45" hidden="1" customHeight="1" x14ac:dyDescent="0.3">
      <c r="A71" s="6" t="s">
        <v>676</v>
      </c>
      <c r="B71" s="7">
        <v>41609</v>
      </c>
      <c r="C71" s="6" t="s">
        <v>675</v>
      </c>
      <c r="D71" s="6" t="s">
        <v>657</v>
      </c>
      <c r="E71" s="6" t="s">
        <v>658</v>
      </c>
      <c r="F71" s="6" t="s">
        <v>3229</v>
      </c>
      <c r="G71" s="8">
        <v>0.61431000000000002</v>
      </c>
      <c r="H71" s="8">
        <v>8.6274700000000006</v>
      </c>
      <c r="I71" s="6" t="s">
        <v>2467</v>
      </c>
      <c r="J71" s="6" t="s">
        <v>2459</v>
      </c>
      <c r="K71" s="6" t="s">
        <v>2468</v>
      </c>
      <c r="L71" s="6" t="s">
        <v>664</v>
      </c>
      <c r="M71" s="6"/>
      <c r="N71" s="6" t="s">
        <v>2468</v>
      </c>
      <c r="O71" s="6" t="s">
        <v>40</v>
      </c>
      <c r="P71" s="6" t="str">
        <f>VLOOKUP(Tableau1[[#This Row],[SITES NAMES]],[1]Feuil1!$1:$1048576,8,FALSE)</f>
        <v>OK</v>
      </c>
      <c r="Q71" s="6" t="str">
        <f>VLOOKUP(Tableau1[[#This Row],[SITES NAMES]],[1]Feuil1!$1:$1048576,9,FALSE)</f>
        <v>NO</v>
      </c>
      <c r="R71" s="6" t="str">
        <f>VLOOKUP(Tableau1[[#This Row],[SITES NAMES]],[1]Feuil1!$1:$1048576,10,FALSE)</f>
        <v>NO</v>
      </c>
      <c r="S71" s="6" t="s">
        <v>2469</v>
      </c>
      <c r="T71" s="6" t="s">
        <v>2470</v>
      </c>
      <c r="U71" s="6" t="s">
        <v>2480</v>
      </c>
      <c r="V71" s="6" t="s">
        <v>2472</v>
      </c>
      <c r="W71" s="6" t="s">
        <v>2473</v>
      </c>
      <c r="X71" s="8" t="s">
        <v>2721</v>
      </c>
      <c r="Y71" s="6" t="s">
        <v>3239</v>
      </c>
      <c r="Z71" s="6" t="s">
        <v>3253</v>
      </c>
      <c r="AA71" s="38" t="s">
        <v>3682</v>
      </c>
      <c r="AB71" s="38" t="s">
        <v>3683</v>
      </c>
      <c r="AC71" s="38" t="s">
        <v>3684</v>
      </c>
      <c r="AD71" s="38" t="s">
        <v>3682</v>
      </c>
      <c r="AE71" s="38" t="s">
        <v>3682</v>
      </c>
      <c r="AF71" s="38" t="s">
        <v>3682</v>
      </c>
      <c r="AG71" s="40" t="s">
        <v>3685</v>
      </c>
      <c r="AH71" s="37" t="s">
        <v>3686</v>
      </c>
    </row>
    <row r="72" spans="1:34" ht="14.45" hidden="1" customHeight="1" x14ac:dyDescent="0.25">
      <c r="A72" s="6" t="s">
        <v>2175</v>
      </c>
      <c r="B72" s="7">
        <v>43610</v>
      </c>
      <c r="C72" s="6" t="s">
        <v>2174</v>
      </c>
      <c r="D72" s="6" t="s">
        <v>657</v>
      </c>
      <c r="E72" s="6" t="s">
        <v>2141</v>
      </c>
      <c r="F72" s="6" t="s">
        <v>3229</v>
      </c>
      <c r="G72" s="8">
        <v>1.36222</v>
      </c>
      <c r="H72" s="8">
        <v>9.2550000000000008</v>
      </c>
      <c r="I72" s="6" t="s">
        <v>2467</v>
      </c>
      <c r="J72" s="6" t="s">
        <v>2459</v>
      </c>
      <c r="K72" s="6" t="s">
        <v>2468</v>
      </c>
      <c r="L72" s="6" t="s">
        <v>2219</v>
      </c>
      <c r="M72" s="6"/>
      <c r="N72" s="6" t="s">
        <v>2468</v>
      </c>
      <c r="O72" s="6" t="s">
        <v>40</v>
      </c>
      <c r="P72" s="6" t="str">
        <f>VLOOKUP(Tableau1[[#This Row],[SITES NAMES]],[1]Feuil1!$1:$1048576,8,FALSE)</f>
        <v>OK</v>
      </c>
      <c r="Q72" s="6" t="str">
        <f>VLOOKUP(Tableau1[[#This Row],[SITES NAMES]],[1]Feuil1!$1:$1048576,9,FALSE)</f>
        <v>NO</v>
      </c>
      <c r="R72" s="6" t="str">
        <f>VLOOKUP(Tableau1[[#This Row],[SITES NAMES]],[1]Feuil1!$1:$1048576,10,FALSE)</f>
        <v>NO</v>
      </c>
      <c r="S72" s="6" t="s">
        <v>2469</v>
      </c>
      <c r="T72" s="6" t="s">
        <v>2470</v>
      </c>
      <c r="U72" s="6" t="s">
        <v>2471</v>
      </c>
      <c r="V72" s="6" t="s">
        <v>2472</v>
      </c>
      <c r="W72" s="6" t="s">
        <v>2473</v>
      </c>
      <c r="X72" s="8" t="s">
        <v>3145</v>
      </c>
      <c r="Y72" s="6" t="s">
        <v>3239</v>
      </c>
      <c r="Z72" s="6" t="s">
        <v>3253</v>
      </c>
      <c r="AA72" s="35" t="s">
        <v>3607</v>
      </c>
      <c r="AB72" s="35" t="s">
        <v>3608</v>
      </c>
      <c r="AC72" s="35" t="s">
        <v>3609</v>
      </c>
      <c r="AD72" s="35" t="s">
        <v>3610</v>
      </c>
      <c r="AE72" s="35" t="s">
        <v>3610</v>
      </c>
      <c r="AF72" s="35" t="s">
        <v>3611</v>
      </c>
      <c r="AG72" s="35" t="s">
        <v>3612</v>
      </c>
      <c r="AH72" s="35" t="s">
        <v>3613</v>
      </c>
    </row>
    <row r="73" spans="1:34" ht="14.45" hidden="1" customHeight="1" x14ac:dyDescent="0.3">
      <c r="A73" s="6" t="s">
        <v>319</v>
      </c>
      <c r="B73" s="7">
        <v>39052</v>
      </c>
      <c r="C73" s="6" t="s">
        <v>318</v>
      </c>
      <c r="D73" s="6" t="s">
        <v>320</v>
      </c>
      <c r="E73" s="6" t="s">
        <v>321</v>
      </c>
      <c r="F73" s="6" t="s">
        <v>3229</v>
      </c>
      <c r="G73" s="8">
        <v>1.13611</v>
      </c>
      <c r="H73" s="8">
        <v>8.23306</v>
      </c>
      <c r="I73" s="6" t="s">
        <v>2486</v>
      </c>
      <c r="J73" s="6" t="s">
        <v>2459</v>
      </c>
      <c r="K73" s="6" t="s">
        <v>2460</v>
      </c>
      <c r="L73" s="6" t="s">
        <v>339</v>
      </c>
      <c r="M73" s="6" t="s">
        <v>390</v>
      </c>
      <c r="N73" s="6" t="s">
        <v>3268</v>
      </c>
      <c r="O73" s="6" t="s">
        <v>7</v>
      </c>
      <c r="P73" s="6" t="str">
        <f>VLOOKUP(Tableau1[[#This Row],[SITES NAMES]],[1]Feuil1!$1:$1048576,8,FALSE)</f>
        <v>OK</v>
      </c>
      <c r="Q73" s="6" t="str">
        <f>VLOOKUP(Tableau1[[#This Row],[SITES NAMES]],[1]Feuil1!$1:$1048576,9,FALSE)</f>
        <v>NO</v>
      </c>
      <c r="R73" s="6" t="str">
        <f>VLOOKUP(Tableau1[[#This Row],[SITES NAMES]],[1]Feuil1!$1:$1048576,10,FALSE)</f>
        <v>NO</v>
      </c>
      <c r="S73" s="6" t="s">
        <v>2469</v>
      </c>
      <c r="T73" s="6" t="s">
        <v>2470</v>
      </c>
      <c r="U73" s="6" t="s">
        <v>2471</v>
      </c>
      <c r="V73" s="6" t="s">
        <v>2478</v>
      </c>
      <c r="W73" s="6" t="s">
        <v>2473</v>
      </c>
      <c r="X73" s="8" t="s">
        <v>2591</v>
      </c>
      <c r="Y73" s="6" t="s">
        <v>3238</v>
      </c>
      <c r="Z73" s="6" t="s">
        <v>3266</v>
      </c>
      <c r="AA73" s="37" t="s">
        <v>3664</v>
      </c>
      <c r="AB73" s="39" t="s">
        <v>3665</v>
      </c>
      <c r="AC73" s="37" t="s">
        <v>3666</v>
      </c>
      <c r="AD73" s="37" t="s">
        <v>3667</v>
      </c>
      <c r="AE73" s="37" t="s">
        <v>3668</v>
      </c>
      <c r="AF73" s="37" t="s">
        <v>3669</v>
      </c>
      <c r="AG73" s="37" t="s">
        <v>3670</v>
      </c>
      <c r="AH73" s="37" t="s">
        <v>3671</v>
      </c>
    </row>
    <row r="74" spans="1:34" ht="14.45" hidden="1" customHeight="1" x14ac:dyDescent="0.3">
      <c r="A74" s="6" t="s">
        <v>339</v>
      </c>
      <c r="B74" s="7">
        <v>46022</v>
      </c>
      <c r="C74" s="6" t="s">
        <v>338</v>
      </c>
      <c r="D74" s="6" t="s">
        <v>320</v>
      </c>
      <c r="E74" s="6" t="s">
        <v>321</v>
      </c>
      <c r="F74" s="6" t="s">
        <v>3229</v>
      </c>
      <c r="G74" s="8">
        <v>1.15404722</v>
      </c>
      <c r="H74" s="8">
        <v>8.2185527799999996</v>
      </c>
      <c r="I74" s="6" t="e">
        <v>#N/A</v>
      </c>
      <c r="J74" s="6" t="s">
        <v>2459</v>
      </c>
      <c r="K74" s="6" t="s">
        <v>2460</v>
      </c>
      <c r="L74" s="6" t="s">
        <v>319</v>
      </c>
      <c r="M74" s="6" t="s">
        <v>329</v>
      </c>
      <c r="N74" s="6" t="s">
        <v>3268</v>
      </c>
      <c r="O74" s="6" t="s">
        <v>40</v>
      </c>
      <c r="P74" s="6"/>
      <c r="Q74" s="6"/>
      <c r="R74" s="6"/>
      <c r="S74" s="6"/>
      <c r="T74" s="6"/>
      <c r="U74" s="6"/>
      <c r="V74" s="6"/>
      <c r="W74" s="6"/>
      <c r="X74" s="8"/>
      <c r="Y74" s="6" t="s">
        <v>3238</v>
      </c>
      <c r="Z74" s="6" t="s">
        <v>3266</v>
      </c>
      <c r="AA74" s="37" t="s">
        <v>3664</v>
      </c>
      <c r="AB74" s="39" t="s">
        <v>3665</v>
      </c>
      <c r="AC74" s="37" t="s">
        <v>3666</v>
      </c>
      <c r="AD74" s="37" t="s">
        <v>3667</v>
      </c>
      <c r="AE74" s="37" t="s">
        <v>3668</v>
      </c>
      <c r="AF74" s="37" t="s">
        <v>3669</v>
      </c>
      <c r="AG74" s="37" t="s">
        <v>3670</v>
      </c>
      <c r="AH74" s="37" t="s">
        <v>3671</v>
      </c>
    </row>
    <row r="75" spans="1:34" ht="14.45" hidden="1" customHeight="1" x14ac:dyDescent="0.3">
      <c r="A75" s="6" t="s">
        <v>2273</v>
      </c>
      <c r="B75" s="7">
        <v>41244</v>
      </c>
      <c r="C75" s="6" t="s">
        <v>2272</v>
      </c>
      <c r="D75" s="6" t="s">
        <v>320</v>
      </c>
      <c r="E75" s="6" t="s">
        <v>2274</v>
      </c>
      <c r="F75" s="6" t="s">
        <v>3229</v>
      </c>
      <c r="G75" s="8">
        <v>1.615002</v>
      </c>
      <c r="H75" s="8">
        <v>8.7086349999999992</v>
      </c>
      <c r="I75" s="6" t="s">
        <v>2486</v>
      </c>
      <c r="J75" s="6" t="s">
        <v>2459</v>
      </c>
      <c r="K75" s="6" t="s">
        <v>2468</v>
      </c>
      <c r="L75" s="6" t="s">
        <v>2310</v>
      </c>
      <c r="M75" s="6"/>
      <c r="N75" s="6" t="s">
        <v>2468</v>
      </c>
      <c r="O75" s="6" t="s">
        <v>40</v>
      </c>
      <c r="P75" s="6" t="str">
        <f>VLOOKUP(Tableau1[[#This Row],[SITES NAMES]],[1]Feuil1!$1:$1048576,8,FALSE)</f>
        <v>OK</v>
      </c>
      <c r="Q75" s="6" t="str">
        <f>VLOOKUP(Tableau1[[#This Row],[SITES NAMES]],[1]Feuil1!$1:$1048576,9,FALSE)</f>
        <v>NO</v>
      </c>
      <c r="R75" s="6" t="str">
        <f>VLOOKUP(Tableau1[[#This Row],[SITES NAMES]],[1]Feuil1!$1:$1048576,10,FALSE)</f>
        <v>NO</v>
      </c>
      <c r="S75" s="6" t="s">
        <v>2469</v>
      </c>
      <c r="T75" s="6" t="s">
        <v>2470</v>
      </c>
      <c r="U75" s="6" t="s">
        <v>2480</v>
      </c>
      <c r="V75" s="6" t="s">
        <v>2464</v>
      </c>
      <c r="W75" s="6" t="s">
        <v>2473</v>
      </c>
      <c r="X75" s="8" t="s">
        <v>3177</v>
      </c>
      <c r="Y75" s="6" t="s">
        <v>3238</v>
      </c>
      <c r="Z75" s="6" t="s">
        <v>3254</v>
      </c>
      <c r="AA75" s="37" t="s">
        <v>3678</v>
      </c>
      <c r="AB75" s="39" t="s">
        <v>3665</v>
      </c>
      <c r="AC75" s="37" t="s">
        <v>3679</v>
      </c>
      <c r="AD75" s="37" t="s">
        <v>3678</v>
      </c>
      <c r="AE75" s="37" t="s">
        <v>3680</v>
      </c>
      <c r="AF75" s="39" t="s">
        <v>3676</v>
      </c>
      <c r="AG75" s="37" t="s">
        <v>3670</v>
      </c>
      <c r="AH75" s="37" t="s">
        <v>3681</v>
      </c>
    </row>
    <row r="76" spans="1:34" ht="14.45" hidden="1" customHeight="1" x14ac:dyDescent="0.25">
      <c r="A76" s="6" t="s">
        <v>1349</v>
      </c>
      <c r="B76" s="7">
        <v>44111</v>
      </c>
      <c r="C76" s="6" t="s">
        <v>1348</v>
      </c>
      <c r="D76" s="6" t="s">
        <v>66</v>
      </c>
      <c r="E76" s="6" t="s">
        <v>3231</v>
      </c>
      <c r="F76" s="6" t="s">
        <v>3229</v>
      </c>
      <c r="G76" s="8">
        <v>1.3917555559999999</v>
      </c>
      <c r="H76" s="8">
        <v>6.1946611110000003</v>
      </c>
      <c r="I76" s="6" t="s">
        <v>2497</v>
      </c>
      <c r="J76" s="6" t="s">
        <v>2459</v>
      </c>
      <c r="K76" s="6" t="s">
        <v>2460</v>
      </c>
      <c r="L76" s="6" t="s">
        <v>3471</v>
      </c>
      <c r="M76" s="6"/>
      <c r="N76" s="6" t="s">
        <v>3268</v>
      </c>
      <c r="O76" s="6" t="s">
        <v>7</v>
      </c>
      <c r="P76" s="6" t="str">
        <f>VLOOKUP(Tableau1[[#This Row],[SITES NAMES]],[1]Feuil1!$1:$1048576,8,FALSE)</f>
        <v>OK</v>
      </c>
      <c r="Q76" s="6" t="str">
        <f>VLOOKUP(Tableau1[[#This Row],[SITES NAMES]],[1]Feuil1!$1:$1048576,9,FALSE)</f>
        <v>NO</v>
      </c>
      <c r="R76" s="6" t="str">
        <f>VLOOKUP(Tableau1[[#This Row],[SITES NAMES]],[1]Feuil1!$1:$1048576,10,FALSE)</f>
        <v>NO</v>
      </c>
      <c r="S76" s="6" t="s">
        <v>2469</v>
      </c>
      <c r="T76" s="6" t="s">
        <v>2470</v>
      </c>
      <c r="U76" s="6" t="s">
        <v>2480</v>
      </c>
      <c r="V76" s="6" t="s">
        <v>2478</v>
      </c>
      <c r="W76" s="6" t="s">
        <v>2465</v>
      </c>
      <c r="X76" s="8" t="s">
        <v>2929</v>
      </c>
      <c r="Y76" s="6" t="s">
        <v>3238</v>
      </c>
      <c r="Z76" s="6"/>
      <c r="AA76" s="35" t="s">
        <v>3621</v>
      </c>
      <c r="AB76" s="35" t="s">
        <v>3608</v>
      </c>
      <c r="AC76" s="35" t="s">
        <v>3622</v>
      </c>
      <c r="AD76" s="35" t="s">
        <v>3610</v>
      </c>
      <c r="AE76" s="35" t="s">
        <v>3610</v>
      </c>
      <c r="AF76" s="35" t="s">
        <v>3611</v>
      </c>
      <c r="AG76" s="35" t="s">
        <v>3612</v>
      </c>
      <c r="AH76" s="35" t="s">
        <v>3623</v>
      </c>
    </row>
    <row r="77" spans="1:34" ht="14.45" hidden="1" customHeight="1" x14ac:dyDescent="0.3">
      <c r="A77" s="6" t="s">
        <v>2059</v>
      </c>
      <c r="B77" s="7">
        <v>40148</v>
      </c>
      <c r="C77" s="6" t="s">
        <v>2058</v>
      </c>
      <c r="D77" s="6" t="s">
        <v>132</v>
      </c>
      <c r="E77" s="6" t="s">
        <v>2049</v>
      </c>
      <c r="F77" s="6" t="s">
        <v>3229</v>
      </c>
      <c r="G77" s="8">
        <v>1.1524779999999999</v>
      </c>
      <c r="H77" s="8">
        <v>7.0589839999999997</v>
      </c>
      <c r="I77" s="6" t="s">
        <v>2488</v>
      </c>
      <c r="J77" s="6" t="s">
        <v>2459</v>
      </c>
      <c r="K77" s="6" t="s">
        <v>2460</v>
      </c>
      <c r="L77" s="6" t="s">
        <v>3472</v>
      </c>
      <c r="M77" s="6" t="s">
        <v>3473</v>
      </c>
      <c r="N77" s="6" t="s">
        <v>3268</v>
      </c>
      <c r="O77" s="6" t="s">
        <v>7</v>
      </c>
      <c r="P77" s="6" t="str">
        <f>VLOOKUP(Tableau1[[#This Row],[SITES NAMES]],[1]Feuil1!$1:$1048576,8,FALSE)</f>
        <v>OK</v>
      </c>
      <c r="Q77" s="6" t="str">
        <f>VLOOKUP(Tableau1[[#This Row],[SITES NAMES]],[1]Feuil1!$1:$1048576,9,FALSE)</f>
        <v>NO</v>
      </c>
      <c r="R77" s="6" t="str">
        <f>VLOOKUP(Tableau1[[#This Row],[SITES NAMES]],[1]Feuil1!$1:$1048576,10,FALSE)</f>
        <v>NO</v>
      </c>
      <c r="S77" s="6" t="s">
        <v>2469</v>
      </c>
      <c r="T77" s="6" t="s">
        <v>2470</v>
      </c>
      <c r="U77" s="6" t="s">
        <v>2480</v>
      </c>
      <c r="V77" s="6" t="s">
        <v>2464</v>
      </c>
      <c r="W77" s="6" t="s">
        <v>2473</v>
      </c>
      <c r="X77" s="8" t="s">
        <v>3100</v>
      </c>
      <c r="Y77" s="6" t="s">
        <v>3238</v>
      </c>
      <c r="Z77" s="6" t="s">
        <v>3257</v>
      </c>
      <c r="AA77" s="45" t="s">
        <v>3656</v>
      </c>
      <c r="AB77" s="39" t="s">
        <v>3644</v>
      </c>
      <c r="AC77" s="45" t="s">
        <v>3657</v>
      </c>
      <c r="AD77" s="37" t="s">
        <v>3658</v>
      </c>
      <c r="AE77" s="37" t="s">
        <v>3647</v>
      </c>
      <c r="AF77" s="39" t="s">
        <v>3648</v>
      </c>
      <c r="AG77" s="37" t="s">
        <v>3649</v>
      </c>
      <c r="AH77" s="37" t="s">
        <v>3659</v>
      </c>
    </row>
    <row r="78" spans="1:34" ht="14.45" hidden="1" customHeight="1" x14ac:dyDescent="0.25">
      <c r="A78" s="6" t="s">
        <v>1351</v>
      </c>
      <c r="B78" s="7">
        <v>44865</v>
      </c>
      <c r="C78" s="6" t="s">
        <v>1350</v>
      </c>
      <c r="D78" s="6" t="s">
        <v>66</v>
      </c>
      <c r="E78" s="6" t="s">
        <v>3231</v>
      </c>
      <c r="F78" s="6" t="s">
        <v>3229</v>
      </c>
      <c r="G78" s="8">
        <v>1.406336</v>
      </c>
      <c r="H78" s="8">
        <v>6.1940819999999999</v>
      </c>
      <c r="I78" s="6" t="s">
        <v>2479</v>
      </c>
      <c r="J78" s="6" t="s">
        <v>2459</v>
      </c>
      <c r="K78" s="6" t="s">
        <v>2460</v>
      </c>
      <c r="L78" s="6" t="s">
        <v>1347</v>
      </c>
      <c r="M78" s="6"/>
      <c r="N78" s="6" t="s">
        <v>3268</v>
      </c>
      <c r="O78" s="6" t="s">
        <v>7</v>
      </c>
      <c r="P78" s="6" t="str">
        <f>VLOOKUP(Tableau1[[#This Row],[SITES NAMES]],[1]Feuil1!$1:$1048576,8,FALSE)</f>
        <v>OK</v>
      </c>
      <c r="Q78" s="6" t="str">
        <f>VLOOKUP(Tableau1[[#This Row],[SITES NAMES]],[1]Feuil1!$1:$1048576,9,FALSE)</f>
        <v>NO</v>
      </c>
      <c r="R78" s="6" t="str">
        <f>VLOOKUP(Tableau1[[#This Row],[SITES NAMES]],[1]Feuil1!$1:$1048576,10,FALSE)</f>
        <v>YES</v>
      </c>
      <c r="S78" s="6" t="s">
        <v>2461</v>
      </c>
      <c r="T78" s="6" t="s">
        <v>2462</v>
      </c>
      <c r="U78" s="6" t="s">
        <v>2463</v>
      </c>
      <c r="V78" s="6" t="s">
        <v>2464</v>
      </c>
      <c r="W78" s="6" t="s">
        <v>2465</v>
      </c>
      <c r="X78" s="8">
        <v>70997251</v>
      </c>
      <c r="Y78" s="6" t="s">
        <v>3238</v>
      </c>
      <c r="Z78" s="6"/>
      <c r="AA78" s="35" t="s">
        <v>3621</v>
      </c>
      <c r="AB78" s="35" t="s">
        <v>3608</v>
      </c>
      <c r="AC78" s="35" t="s">
        <v>3622</v>
      </c>
      <c r="AD78" s="35" t="s">
        <v>3610</v>
      </c>
      <c r="AE78" s="35" t="s">
        <v>3610</v>
      </c>
      <c r="AF78" s="35" t="s">
        <v>3611</v>
      </c>
      <c r="AG78" s="35" t="s">
        <v>3612</v>
      </c>
      <c r="AH78" s="35" t="s">
        <v>3623</v>
      </c>
    </row>
    <row r="79" spans="1:34" ht="14.45" hidden="1" customHeight="1" x14ac:dyDescent="0.25">
      <c r="A79" s="6" t="s">
        <v>1353</v>
      </c>
      <c r="B79" s="7">
        <v>45150</v>
      </c>
      <c r="C79" s="6" t="s">
        <v>1352</v>
      </c>
      <c r="D79" s="6" t="s">
        <v>66</v>
      </c>
      <c r="E79" s="6" t="s">
        <v>3231</v>
      </c>
      <c r="F79" s="6" t="s">
        <v>3229</v>
      </c>
      <c r="G79" s="8">
        <v>1.37232</v>
      </c>
      <c r="H79" s="8">
        <v>6.1915699999999996</v>
      </c>
      <c r="I79" s="6" t="s">
        <v>2475</v>
      </c>
      <c r="J79" s="6" t="s">
        <v>2459</v>
      </c>
      <c r="K79" s="6" t="s">
        <v>2468</v>
      </c>
      <c r="L79" s="6"/>
      <c r="M79" s="6"/>
      <c r="N79" s="6" t="s">
        <v>2468</v>
      </c>
      <c r="O79" s="6" t="s">
        <v>7</v>
      </c>
      <c r="P79" s="6" t="str">
        <f>VLOOKUP(Tableau1[[#This Row],[SITES NAMES]],[1]Feuil1!$1:$1048576,8,FALSE)</f>
        <v>OK</v>
      </c>
      <c r="Q79" s="6" t="str">
        <f>VLOOKUP(Tableau1[[#This Row],[SITES NAMES]],[1]Feuil1!$1:$1048576,9,FALSE)</f>
        <v>NO</v>
      </c>
      <c r="R79" s="6" t="str">
        <f>VLOOKUP(Tableau1[[#This Row],[SITES NAMES]],[1]Feuil1!$1:$1048576,10,FALSE)</f>
        <v>NO</v>
      </c>
      <c r="S79" s="6" t="s">
        <v>2469</v>
      </c>
      <c r="T79" s="6" t="s">
        <v>2470</v>
      </c>
      <c r="U79" s="6" t="s">
        <v>2480</v>
      </c>
      <c r="V79" s="6" t="s">
        <v>2464</v>
      </c>
      <c r="W79" s="6" t="s">
        <v>2465</v>
      </c>
      <c r="X79" s="8"/>
      <c r="Y79" s="6" t="s">
        <v>3238</v>
      </c>
      <c r="Z79" s="6"/>
      <c r="AA79" s="35" t="s">
        <v>3621</v>
      </c>
      <c r="AB79" s="35" t="s">
        <v>3608</v>
      </c>
      <c r="AC79" s="35" t="s">
        <v>3622</v>
      </c>
      <c r="AD79" s="35" t="s">
        <v>3610</v>
      </c>
      <c r="AE79" s="35" t="s">
        <v>3610</v>
      </c>
      <c r="AF79" s="35" t="s">
        <v>3611</v>
      </c>
      <c r="AG79" s="35" t="s">
        <v>3612</v>
      </c>
      <c r="AH79" s="35" t="s">
        <v>3623</v>
      </c>
    </row>
    <row r="80" spans="1:34" ht="14.45" hidden="1" customHeight="1" x14ac:dyDescent="0.25">
      <c r="A80" s="6" t="s">
        <v>1610</v>
      </c>
      <c r="B80" s="7">
        <v>44865</v>
      </c>
      <c r="C80" s="6" t="s">
        <v>1609</v>
      </c>
      <c r="D80" s="6" t="s">
        <v>66</v>
      </c>
      <c r="E80" s="6" t="s">
        <v>3236</v>
      </c>
      <c r="F80" s="6" t="s">
        <v>3229</v>
      </c>
      <c r="G80" s="8">
        <v>1.1170370000000001</v>
      </c>
      <c r="H80" s="8">
        <v>6.2423130000000002</v>
      </c>
      <c r="I80" s="6" t="s">
        <v>2479</v>
      </c>
      <c r="J80" s="6" t="s">
        <v>2459</v>
      </c>
      <c r="K80" s="6" t="s">
        <v>2460</v>
      </c>
      <c r="L80" s="6" t="s">
        <v>1632</v>
      </c>
      <c r="M80" s="6"/>
      <c r="N80" s="6" t="s">
        <v>3268</v>
      </c>
      <c r="O80" s="6" t="s">
        <v>37</v>
      </c>
      <c r="P80" s="6" t="str">
        <f>VLOOKUP(Tableau1[[#This Row],[SITES NAMES]],[1]Feuil1!$1:$1048576,8,FALSE)</f>
        <v>OK</v>
      </c>
      <c r="Q80" s="6" t="str">
        <f>VLOOKUP(Tableau1[[#This Row],[SITES NAMES]],[1]Feuil1!$1:$1048576,9,FALSE)</f>
        <v>NO</v>
      </c>
      <c r="R80" s="6" t="str">
        <f>VLOOKUP(Tableau1[[#This Row],[SITES NAMES]],[1]Feuil1!$1:$1048576,10,FALSE)</f>
        <v>YES</v>
      </c>
      <c r="S80" s="6" t="s">
        <v>2469</v>
      </c>
      <c r="T80" s="6" t="s">
        <v>2470</v>
      </c>
      <c r="U80" s="6" t="s">
        <v>2480</v>
      </c>
      <c r="V80" s="6" t="s">
        <v>2472</v>
      </c>
      <c r="W80" s="6" t="s">
        <v>2465</v>
      </c>
      <c r="X80" s="8">
        <v>70997315</v>
      </c>
      <c r="Y80" s="6" t="s">
        <v>3238</v>
      </c>
      <c r="Z80" s="6" t="s">
        <v>3263</v>
      </c>
      <c r="AA80" s="35" t="s">
        <v>3616</v>
      </c>
      <c r="AB80" s="35" t="s">
        <v>3608</v>
      </c>
      <c r="AC80" s="35" t="s">
        <v>3619</v>
      </c>
      <c r="AD80" s="35" t="s">
        <v>3610</v>
      </c>
      <c r="AE80" s="35" t="s">
        <v>3610</v>
      </c>
      <c r="AF80" s="35" t="s">
        <v>3611</v>
      </c>
      <c r="AG80" s="35" t="s">
        <v>3612</v>
      </c>
      <c r="AH80" s="35" t="s">
        <v>3620</v>
      </c>
    </row>
    <row r="81" spans="1:34" ht="14.45" hidden="1" customHeight="1" x14ac:dyDescent="0.3">
      <c r="A81" s="6" t="s">
        <v>2332</v>
      </c>
      <c r="B81" s="7">
        <v>39934</v>
      </c>
      <c r="C81" s="6" t="s">
        <v>2331</v>
      </c>
      <c r="D81" s="6" t="s">
        <v>5</v>
      </c>
      <c r="E81" s="6" t="s">
        <v>2333</v>
      </c>
      <c r="F81" s="18" t="s">
        <v>3230</v>
      </c>
      <c r="G81" s="8">
        <v>1.1695199999999999</v>
      </c>
      <c r="H81" s="8">
        <v>6.6898999999999997</v>
      </c>
      <c r="I81" s="6" t="s">
        <v>2488</v>
      </c>
      <c r="J81" s="6" t="s">
        <v>2459</v>
      </c>
      <c r="K81" s="6" t="s">
        <v>2460</v>
      </c>
      <c r="L81" s="6" t="s">
        <v>2361</v>
      </c>
      <c r="M81" s="6" t="s">
        <v>2051</v>
      </c>
      <c r="N81" s="6" t="s">
        <v>3268</v>
      </c>
      <c r="O81" s="6" t="s">
        <v>7</v>
      </c>
      <c r="P81" s="6" t="str">
        <f>VLOOKUP(Tableau1[[#This Row],[SITES NAMES]],[1]Feuil1!$1:$1048576,8,FALSE)</f>
        <v>OK</v>
      </c>
      <c r="Q81" s="6" t="str">
        <f>VLOOKUP(Tableau1[[#This Row],[SITES NAMES]],[1]Feuil1!$1:$1048576,9,FALSE)</f>
        <v>NO</v>
      </c>
      <c r="R81" s="6" t="str">
        <f>VLOOKUP(Tableau1[[#This Row],[SITES NAMES]],[1]Feuil1!$1:$1048576,10,FALSE)</f>
        <v>NO</v>
      </c>
      <c r="S81" s="6" t="s">
        <v>2469</v>
      </c>
      <c r="T81" s="6" t="s">
        <v>2470</v>
      </c>
      <c r="U81" s="6" t="s">
        <v>2480</v>
      </c>
      <c r="V81" s="6" t="s">
        <v>2464</v>
      </c>
      <c r="W81" s="6" t="s">
        <v>2465</v>
      </c>
      <c r="X81" s="8" t="s">
        <v>3198</v>
      </c>
      <c r="Y81" s="6" t="s">
        <v>3241</v>
      </c>
      <c r="Z81" s="6"/>
      <c r="AA81" s="37"/>
      <c r="AB81" s="38" t="s">
        <v>3627</v>
      </c>
      <c r="AC81" s="37" t="s">
        <v>3640</v>
      </c>
      <c r="AD81" s="39" t="s">
        <v>3641</v>
      </c>
      <c r="AE81" s="37"/>
      <c r="AF81" s="39" t="s">
        <v>3641</v>
      </c>
      <c r="AG81" s="37"/>
      <c r="AH81" s="37" t="s">
        <v>3642</v>
      </c>
    </row>
    <row r="82" spans="1:34" ht="14.45" hidden="1" customHeight="1" x14ac:dyDescent="0.3">
      <c r="A82" s="6" t="s">
        <v>2361</v>
      </c>
      <c r="B82" s="7">
        <v>0</v>
      </c>
      <c r="C82" s="6" t="s">
        <v>2360</v>
      </c>
      <c r="D82" s="6" t="s">
        <v>5</v>
      </c>
      <c r="E82" s="6" t="s">
        <v>2333</v>
      </c>
      <c r="F82" s="6" t="s">
        <v>3229</v>
      </c>
      <c r="G82" s="8">
        <v>1.1677299999999999</v>
      </c>
      <c r="H82" s="8">
        <v>6.6718599999999997</v>
      </c>
      <c r="I82" s="6" t="s">
        <v>2497</v>
      </c>
      <c r="J82" s="6" t="s">
        <v>2459</v>
      </c>
      <c r="K82" s="6" t="s">
        <v>2460</v>
      </c>
      <c r="L82" s="6" t="s">
        <v>3332</v>
      </c>
      <c r="M82" s="6"/>
      <c r="N82" s="6" t="s">
        <v>3268</v>
      </c>
      <c r="O82" s="6" t="s">
        <v>7</v>
      </c>
      <c r="P82" s="6" t="str">
        <f>VLOOKUP(Tableau1[[#This Row],[SITES NAMES]],[1]Feuil1!$1:$1048576,8,FALSE)</f>
        <v>OK</v>
      </c>
      <c r="Q82" s="6" t="str">
        <f>VLOOKUP(Tableau1[[#This Row],[SITES NAMES]],[1]Feuil1!$1:$1048576,9,FALSE)</f>
        <v>NO</v>
      </c>
      <c r="R82" s="6" t="str">
        <f>VLOOKUP(Tableau1[[#This Row],[SITES NAMES]],[1]Feuil1!$1:$1048576,10,FALSE)</f>
        <v>NO</v>
      </c>
      <c r="S82" s="6" t="s">
        <v>2469</v>
      </c>
      <c r="T82" s="6" t="s">
        <v>2470</v>
      </c>
      <c r="U82" s="6" t="s">
        <v>2480</v>
      </c>
      <c r="V82" s="6" t="s">
        <v>2478</v>
      </c>
      <c r="W82" s="6" t="s">
        <v>2465</v>
      </c>
      <c r="X82" s="8">
        <v>70996574</v>
      </c>
      <c r="Y82" s="6" t="s">
        <v>3241</v>
      </c>
      <c r="Z82" s="6"/>
      <c r="AA82" s="37"/>
      <c r="AB82" s="38" t="s">
        <v>3627</v>
      </c>
      <c r="AC82" s="37" t="s">
        <v>3640</v>
      </c>
      <c r="AD82" s="39" t="s">
        <v>3641</v>
      </c>
      <c r="AE82" s="37"/>
      <c r="AF82" s="39" t="s">
        <v>3641</v>
      </c>
      <c r="AG82" s="37"/>
      <c r="AH82" s="37" t="s">
        <v>3642</v>
      </c>
    </row>
    <row r="83" spans="1:34" ht="14.45" hidden="1" customHeight="1" x14ac:dyDescent="0.25">
      <c r="A83" s="6" t="s">
        <v>1355</v>
      </c>
      <c r="B83" s="7">
        <v>40254</v>
      </c>
      <c r="C83" s="6" t="s">
        <v>1354</v>
      </c>
      <c r="D83" s="6" t="s">
        <v>66</v>
      </c>
      <c r="E83" s="6" t="s">
        <v>3231</v>
      </c>
      <c r="F83" s="6" t="s">
        <v>3229</v>
      </c>
      <c r="G83" s="8">
        <v>1.4190210000000001</v>
      </c>
      <c r="H83" s="8">
        <v>6.1971980000000002</v>
      </c>
      <c r="I83" s="6" t="s">
        <v>2497</v>
      </c>
      <c r="J83" s="6" t="s">
        <v>2459</v>
      </c>
      <c r="K83" s="6" t="s">
        <v>2460</v>
      </c>
      <c r="L83" s="6" t="s">
        <v>1360</v>
      </c>
      <c r="M83" s="6" t="s">
        <v>1392</v>
      </c>
      <c r="N83" s="6" t="s">
        <v>3268</v>
      </c>
      <c r="O83" s="6" t="s">
        <v>7</v>
      </c>
      <c r="P83" s="6" t="str">
        <f>VLOOKUP(Tableau1[[#This Row],[SITES NAMES]],[1]Feuil1!$1:$1048576,8,FALSE)</f>
        <v>NOK</v>
      </c>
      <c r="Q83" s="6" t="str">
        <f>VLOOKUP(Tableau1[[#This Row],[SITES NAMES]],[1]Feuil1!$1:$1048576,9,FALSE)</f>
        <v>NO</v>
      </c>
      <c r="R83" s="6" t="str">
        <f>VLOOKUP(Tableau1[[#This Row],[SITES NAMES]],[1]Feuil1!$1:$1048576,10,FALSE)</f>
        <v>NO</v>
      </c>
      <c r="S83" s="6" t="s">
        <v>2461</v>
      </c>
      <c r="T83" s="6" t="s">
        <v>2462</v>
      </c>
      <c r="U83" s="6" t="s">
        <v>2463</v>
      </c>
      <c r="V83" s="6" t="s">
        <v>2464</v>
      </c>
      <c r="W83" s="6" t="s">
        <v>2476</v>
      </c>
      <c r="X83" s="8" t="s">
        <v>2930</v>
      </c>
      <c r="Y83" s="6" t="s">
        <v>3238</v>
      </c>
      <c r="Z83" s="6"/>
      <c r="AA83" s="35" t="s">
        <v>3621</v>
      </c>
      <c r="AB83" s="35" t="s">
        <v>3608</v>
      </c>
      <c r="AC83" s="35" t="s">
        <v>3622</v>
      </c>
      <c r="AD83" s="35" t="s">
        <v>3610</v>
      </c>
      <c r="AE83" s="35" t="s">
        <v>3610</v>
      </c>
      <c r="AF83" s="35" t="s">
        <v>3611</v>
      </c>
      <c r="AG83" s="35" t="s">
        <v>3612</v>
      </c>
      <c r="AH83" s="35" t="s">
        <v>3623</v>
      </c>
    </row>
    <row r="84" spans="1:34" ht="14.45" hidden="1" customHeight="1" x14ac:dyDescent="0.3">
      <c r="A84" s="6" t="s">
        <v>2075</v>
      </c>
      <c r="B84" s="7">
        <v>41609</v>
      </c>
      <c r="C84" s="6" t="s">
        <v>2074</v>
      </c>
      <c r="D84" s="6" t="s">
        <v>132</v>
      </c>
      <c r="E84" s="6" t="s">
        <v>2049</v>
      </c>
      <c r="F84" s="6" t="s">
        <v>3229</v>
      </c>
      <c r="G84" s="8">
        <v>1.022777</v>
      </c>
      <c r="H84" s="8">
        <v>6.8347119999999997</v>
      </c>
      <c r="I84" s="6" t="s">
        <v>2467</v>
      </c>
      <c r="J84" s="6" t="s">
        <v>2459</v>
      </c>
      <c r="K84" s="6" t="s">
        <v>2468</v>
      </c>
      <c r="L84" s="6" t="s">
        <v>2049</v>
      </c>
      <c r="M84" s="6"/>
      <c r="N84" s="6" t="s">
        <v>2468</v>
      </c>
      <c r="O84" s="6" t="s">
        <v>40</v>
      </c>
      <c r="P84" s="6" t="str">
        <f>VLOOKUP(Tableau1[[#This Row],[SITES NAMES]],[1]Feuil1!$1:$1048576,8,FALSE)</f>
        <v>OK</v>
      </c>
      <c r="Q84" s="6" t="str">
        <f>VLOOKUP(Tableau1[[#This Row],[SITES NAMES]],[1]Feuil1!$1:$1048576,9,FALSE)</f>
        <v>NO</v>
      </c>
      <c r="R84" s="6" t="str">
        <f>VLOOKUP(Tableau1[[#This Row],[SITES NAMES]],[1]Feuil1!$1:$1048576,10,FALSE)</f>
        <v>YES</v>
      </c>
      <c r="S84" s="6" t="s">
        <v>2461</v>
      </c>
      <c r="T84" s="6" t="s">
        <v>2470</v>
      </c>
      <c r="U84" s="6" t="s">
        <v>2463</v>
      </c>
      <c r="V84" s="6" t="s">
        <v>2472</v>
      </c>
      <c r="W84" s="6" t="s">
        <v>2473</v>
      </c>
      <c r="X84" s="8" t="s">
        <v>3104</v>
      </c>
      <c r="Y84" s="6" t="s">
        <v>3238</v>
      </c>
      <c r="Z84" s="6" t="s">
        <v>3257</v>
      </c>
      <c r="AA84" s="45" t="s">
        <v>3656</v>
      </c>
      <c r="AB84" s="39" t="s">
        <v>3644</v>
      </c>
      <c r="AC84" s="45" t="s">
        <v>3657</v>
      </c>
      <c r="AD84" s="37" t="s">
        <v>3658</v>
      </c>
      <c r="AE84" s="37" t="s">
        <v>3647</v>
      </c>
      <c r="AF84" s="39" t="s">
        <v>3648</v>
      </c>
      <c r="AG84" s="37" t="s">
        <v>3649</v>
      </c>
      <c r="AH84" s="37" t="s">
        <v>3659</v>
      </c>
    </row>
    <row r="85" spans="1:34" ht="14.45" hidden="1" customHeight="1" x14ac:dyDescent="0.3">
      <c r="A85" s="6" t="s">
        <v>4</v>
      </c>
      <c r="B85" s="7">
        <v>41609</v>
      </c>
      <c r="C85" s="6" t="s">
        <v>3</v>
      </c>
      <c r="D85" s="6" t="s">
        <v>5</v>
      </c>
      <c r="E85" s="6" t="s">
        <v>6</v>
      </c>
      <c r="F85" s="18" t="s">
        <v>3230</v>
      </c>
      <c r="G85" s="8">
        <v>1.487222</v>
      </c>
      <c r="H85" s="8">
        <v>6.2127080000000001</v>
      </c>
      <c r="I85" s="6" t="s">
        <v>2458</v>
      </c>
      <c r="J85" s="6" t="s">
        <v>2459</v>
      </c>
      <c r="K85" s="6" t="s">
        <v>2460</v>
      </c>
      <c r="L85" s="6" t="s">
        <v>93</v>
      </c>
      <c r="M85" s="6"/>
      <c r="N85" s="6" t="s">
        <v>3268</v>
      </c>
      <c r="O85" s="6" t="s">
        <v>7</v>
      </c>
      <c r="P85" s="6" t="str">
        <f>VLOOKUP(Tableau1[[#This Row],[SITES NAMES]],[1]Feuil1!$1:$1048576,8,FALSE)</f>
        <v>NOK</v>
      </c>
      <c r="Q85" s="6" t="str">
        <f>VLOOKUP(Tableau1[[#This Row],[SITES NAMES]],[1]Feuil1!$1:$1048576,9,FALSE)</f>
        <v>NO</v>
      </c>
      <c r="R85" s="6" t="str">
        <f>VLOOKUP(Tableau1[[#This Row],[SITES NAMES]],[1]Feuil1!$1:$1048576,10,FALSE)</f>
        <v>NO</v>
      </c>
      <c r="S85" s="6" t="s">
        <v>2461</v>
      </c>
      <c r="T85" s="6" t="s">
        <v>2462</v>
      </c>
      <c r="U85" s="6" t="s">
        <v>2463</v>
      </c>
      <c r="V85" s="6" t="s">
        <v>2464</v>
      </c>
      <c r="W85" s="6" t="s">
        <v>2465</v>
      </c>
      <c r="X85" s="8" t="s">
        <v>2466</v>
      </c>
      <c r="Y85" s="6" t="s">
        <v>3241</v>
      </c>
      <c r="Z85" t="e">
        <f>VLOOKUP(Tableau1[[#This Row],[SITES NAMES]],#REF!,3,FALSE)</f>
        <v>#REF!</v>
      </c>
      <c r="AA85" s="37" t="s">
        <v>3626</v>
      </c>
      <c r="AB85" s="38" t="s">
        <v>3627</v>
      </c>
      <c r="AC85" s="37" t="s">
        <v>3633</v>
      </c>
      <c r="AD85" s="37" t="s">
        <v>3628</v>
      </c>
      <c r="AE85" s="37" t="s">
        <v>3629</v>
      </c>
      <c r="AF85" s="39" t="s">
        <v>3630</v>
      </c>
      <c r="AG85" s="37" t="s">
        <v>3631</v>
      </c>
      <c r="AH85" s="37" t="s">
        <v>3632</v>
      </c>
    </row>
    <row r="86" spans="1:34" ht="14.45" hidden="1" customHeight="1" x14ac:dyDescent="0.3">
      <c r="A86" s="6" t="s">
        <v>159</v>
      </c>
      <c r="B86" s="7">
        <v>0</v>
      </c>
      <c r="C86" s="6" t="s">
        <v>158</v>
      </c>
      <c r="D86" s="6" t="s">
        <v>132</v>
      </c>
      <c r="E86" s="6" t="s">
        <v>133</v>
      </c>
      <c r="F86" s="18" t="s">
        <v>3230</v>
      </c>
      <c r="G86" s="8">
        <v>1.1486666670000001</v>
      </c>
      <c r="H86" s="8">
        <v>7.510983124</v>
      </c>
      <c r="I86" s="6" t="s">
        <v>2497</v>
      </c>
      <c r="J86" s="6" t="s">
        <v>2459</v>
      </c>
      <c r="K86" s="6" t="s">
        <v>2460</v>
      </c>
      <c r="L86" s="6" t="s">
        <v>248</v>
      </c>
      <c r="M86" s="6" t="s">
        <v>2099</v>
      </c>
      <c r="N86" s="6" t="s">
        <v>3268</v>
      </c>
      <c r="O86" s="6" t="s">
        <v>7</v>
      </c>
      <c r="P86" s="6" t="str">
        <f>VLOOKUP(Tableau1[[#This Row],[SITES NAMES]],[1]Feuil1!$1:$1048576,8,FALSE)</f>
        <v>OK</v>
      </c>
      <c r="Q86" s="6" t="str">
        <f>VLOOKUP(Tableau1[[#This Row],[SITES NAMES]],[1]Feuil1!$1:$1048576,9,FALSE)</f>
        <v>NO</v>
      </c>
      <c r="R86" s="6" t="str">
        <f>VLOOKUP(Tableau1[[#This Row],[SITES NAMES]],[1]Feuil1!$1:$1048576,10,FALSE)</f>
        <v>NO</v>
      </c>
      <c r="S86" s="6" t="s">
        <v>2461</v>
      </c>
      <c r="T86" s="6" t="s">
        <v>2462</v>
      </c>
      <c r="U86" s="6" t="s">
        <v>2463</v>
      </c>
      <c r="V86" s="6" t="s">
        <v>2478</v>
      </c>
      <c r="W86" s="6" t="s">
        <v>2476</v>
      </c>
      <c r="X86" s="8" t="s">
        <v>2527</v>
      </c>
      <c r="Y86" s="6" t="s">
        <v>3238</v>
      </c>
      <c r="Z86" s="6" t="s">
        <v>3258</v>
      </c>
      <c r="AA86" s="37" t="s">
        <v>3643</v>
      </c>
      <c r="AB86" s="39" t="s">
        <v>3644</v>
      </c>
      <c r="AC86" s="37" t="s">
        <v>3645</v>
      </c>
      <c r="AD86" s="39" t="s">
        <v>3646</v>
      </c>
      <c r="AE86" s="39" t="s">
        <v>3647</v>
      </c>
      <c r="AF86" s="39" t="s">
        <v>3648</v>
      </c>
      <c r="AG86" s="37" t="s">
        <v>3649</v>
      </c>
      <c r="AH86" s="37" t="s">
        <v>3650</v>
      </c>
    </row>
    <row r="87" spans="1:34" ht="14.45" hidden="1" customHeight="1" x14ac:dyDescent="0.3">
      <c r="A87" s="6" t="s">
        <v>149</v>
      </c>
      <c r="B87" s="7">
        <v>46022</v>
      </c>
      <c r="C87" s="6" t="s">
        <v>148</v>
      </c>
      <c r="D87" s="6" t="s">
        <v>132</v>
      </c>
      <c r="E87" s="6" t="s">
        <v>133</v>
      </c>
      <c r="F87" s="6" t="s">
        <v>3229</v>
      </c>
      <c r="G87" s="8">
        <v>1.1716629999999999</v>
      </c>
      <c r="H87" s="8">
        <v>7.5230540000000001</v>
      </c>
      <c r="I87" s="6" t="e">
        <v>#N/A</v>
      </c>
      <c r="J87" s="6" t="s">
        <v>2459</v>
      </c>
      <c r="K87" s="6" t="s">
        <v>2468</v>
      </c>
      <c r="L87" s="6"/>
      <c r="M87" s="6"/>
      <c r="N87" s="6" t="s">
        <v>2468</v>
      </c>
      <c r="O87" s="6" t="s">
        <v>47</v>
      </c>
      <c r="P87" s="6"/>
      <c r="Q87" s="6"/>
      <c r="R87" s="6"/>
      <c r="S87" s="6"/>
      <c r="T87" s="6"/>
      <c r="U87" s="6"/>
      <c r="V87" s="6"/>
      <c r="W87" s="6"/>
      <c r="X87" s="8" t="s">
        <v>3260</v>
      </c>
      <c r="Y87" s="6" t="s">
        <v>3238</v>
      </c>
      <c r="Z87" s="6" t="s">
        <v>3258</v>
      </c>
      <c r="AA87" s="37" t="s">
        <v>3643</v>
      </c>
      <c r="AB87" s="39" t="s">
        <v>3644</v>
      </c>
      <c r="AC87" s="37" t="s">
        <v>3645</v>
      </c>
      <c r="AD87" s="39" t="s">
        <v>3646</v>
      </c>
      <c r="AE87" s="39" t="s">
        <v>3647</v>
      </c>
      <c r="AF87" s="39" t="s">
        <v>3648</v>
      </c>
      <c r="AG87" s="37" t="s">
        <v>3649</v>
      </c>
      <c r="AH87" s="37" t="s">
        <v>3650</v>
      </c>
    </row>
    <row r="88" spans="1:34" ht="15.75" hidden="1" x14ac:dyDescent="0.3">
      <c r="A88" s="6" t="s">
        <v>161</v>
      </c>
      <c r="B88" s="7">
        <v>40140</v>
      </c>
      <c r="C88" s="6" t="s">
        <v>160</v>
      </c>
      <c r="D88" s="6" t="s">
        <v>132</v>
      </c>
      <c r="E88" s="6" t="s">
        <v>133</v>
      </c>
      <c r="F88" s="6" t="s">
        <v>3229</v>
      </c>
      <c r="G88" s="8">
        <v>1.144223</v>
      </c>
      <c r="H88" s="8">
        <v>7.5276249999999996</v>
      </c>
      <c r="I88" s="6" t="s">
        <v>2486</v>
      </c>
      <c r="J88" s="6" t="s">
        <v>2459</v>
      </c>
      <c r="K88" s="6" t="s">
        <v>2460</v>
      </c>
      <c r="L88" s="6" t="s">
        <v>163</v>
      </c>
      <c r="M88" s="6" t="s">
        <v>230</v>
      </c>
      <c r="N88" s="21" t="s">
        <v>3269</v>
      </c>
      <c r="O88" s="6" t="s">
        <v>7</v>
      </c>
      <c r="P88" s="6" t="str">
        <f>VLOOKUP(Tableau1[[#This Row],[SITES NAMES]],[1]Feuil1!$1:$1048576,8,FALSE)</f>
        <v>Observation</v>
      </c>
      <c r="Q88" s="6" t="str">
        <f>VLOOKUP(Tableau1[[#This Row],[SITES NAMES]],[1]Feuil1!$1:$1048576,9,FALSE)</f>
        <v>NO</v>
      </c>
      <c r="R88" s="6" t="str">
        <f>VLOOKUP(Tableau1[[#This Row],[SITES NAMES]],[1]Feuil1!$1:$1048576,10,FALSE)</f>
        <v>YES</v>
      </c>
      <c r="S88" s="6" t="s">
        <v>2469</v>
      </c>
      <c r="T88" s="6" t="s">
        <v>2470</v>
      </c>
      <c r="U88" s="6" t="s">
        <v>2480</v>
      </c>
      <c r="V88" s="6" t="s">
        <v>2478</v>
      </c>
      <c r="W88" s="6" t="s">
        <v>2476</v>
      </c>
      <c r="X88" s="8" t="s">
        <v>2528</v>
      </c>
      <c r="Y88" s="6" t="s">
        <v>3238</v>
      </c>
      <c r="Z88" s="6" t="s">
        <v>3258</v>
      </c>
      <c r="AA88" s="37" t="s">
        <v>3643</v>
      </c>
      <c r="AB88" s="39" t="s">
        <v>3644</v>
      </c>
      <c r="AC88" s="37" t="s">
        <v>3645</v>
      </c>
      <c r="AD88" s="39" t="s">
        <v>3646</v>
      </c>
      <c r="AE88" s="39" t="s">
        <v>3647</v>
      </c>
      <c r="AF88" s="39" t="s">
        <v>3648</v>
      </c>
      <c r="AG88" s="37" t="s">
        <v>3649</v>
      </c>
      <c r="AH88" s="37" t="s">
        <v>3650</v>
      </c>
    </row>
    <row r="89" spans="1:34" ht="14.45" hidden="1" customHeight="1" x14ac:dyDescent="0.3">
      <c r="A89" s="6" t="s">
        <v>163</v>
      </c>
      <c r="B89" s="7">
        <v>0</v>
      </c>
      <c r="C89" s="6" t="s">
        <v>162</v>
      </c>
      <c r="D89" s="6" t="s">
        <v>132</v>
      </c>
      <c r="E89" s="6" t="s">
        <v>133</v>
      </c>
      <c r="F89" s="6" t="s">
        <v>3229</v>
      </c>
      <c r="G89" s="8">
        <v>1.15113</v>
      </c>
      <c r="H89" s="8">
        <v>7.523587</v>
      </c>
      <c r="I89" s="6" t="s">
        <v>2497</v>
      </c>
      <c r="J89" s="6" t="s">
        <v>2459</v>
      </c>
      <c r="K89" s="6" t="s">
        <v>2460</v>
      </c>
      <c r="L89" s="6" t="s">
        <v>161</v>
      </c>
      <c r="M89" s="6"/>
      <c r="N89" s="6" t="s">
        <v>3268</v>
      </c>
      <c r="O89" s="6" t="s">
        <v>7</v>
      </c>
      <c r="P89" s="6" t="str">
        <f>VLOOKUP(Tableau1[[#This Row],[SITES NAMES]],[1]Feuil1!$1:$1048576,8,FALSE)</f>
        <v>OK</v>
      </c>
      <c r="Q89" s="6" t="str">
        <f>VLOOKUP(Tableau1[[#This Row],[SITES NAMES]],[1]Feuil1!$1:$1048576,9,FALSE)</f>
        <v>NO</v>
      </c>
      <c r="R89" s="6" t="str">
        <f>VLOOKUP(Tableau1[[#This Row],[SITES NAMES]],[1]Feuil1!$1:$1048576,10,FALSE)</f>
        <v>NO</v>
      </c>
      <c r="S89" s="6" t="s">
        <v>2461</v>
      </c>
      <c r="T89" s="6" t="s">
        <v>2470</v>
      </c>
      <c r="U89" s="6" t="s">
        <v>2463</v>
      </c>
      <c r="V89" s="6" t="s">
        <v>2478</v>
      </c>
      <c r="W89" s="6" t="s">
        <v>2476</v>
      </c>
      <c r="X89" s="8"/>
      <c r="Y89" s="6" t="s">
        <v>3238</v>
      </c>
      <c r="Z89" s="6" t="s">
        <v>3258</v>
      </c>
      <c r="AA89" s="37" t="s">
        <v>3643</v>
      </c>
      <c r="AB89" s="39" t="s">
        <v>3644</v>
      </c>
      <c r="AC89" s="37" t="s">
        <v>3645</v>
      </c>
      <c r="AD89" s="39" t="s">
        <v>3646</v>
      </c>
      <c r="AE89" s="39" t="s">
        <v>3647</v>
      </c>
      <c r="AF89" s="39" t="s">
        <v>3648</v>
      </c>
      <c r="AG89" s="37" t="s">
        <v>3649</v>
      </c>
      <c r="AH89" s="37" t="s">
        <v>3650</v>
      </c>
    </row>
    <row r="90" spans="1:34" ht="14.45" hidden="1" customHeight="1" x14ac:dyDescent="0.3">
      <c r="A90" s="6" t="s">
        <v>165</v>
      </c>
      <c r="B90" s="7">
        <v>44855</v>
      </c>
      <c r="C90" s="6" t="s">
        <v>164</v>
      </c>
      <c r="D90" s="6" t="s">
        <v>132</v>
      </c>
      <c r="E90" s="6" t="s">
        <v>133</v>
      </c>
      <c r="F90" s="6" t="s">
        <v>3229</v>
      </c>
      <c r="G90" s="8">
        <v>1.1585880740000001</v>
      </c>
      <c r="H90" s="8">
        <v>7.5186607280000004</v>
      </c>
      <c r="I90" s="6" t="s">
        <v>2475</v>
      </c>
      <c r="J90" s="6" t="s">
        <v>2459</v>
      </c>
      <c r="K90" s="6" t="s">
        <v>2460</v>
      </c>
      <c r="L90" s="6" t="s">
        <v>230</v>
      </c>
      <c r="M90" s="6" t="s">
        <v>2099</v>
      </c>
      <c r="N90" s="6" t="s">
        <v>3268</v>
      </c>
      <c r="O90" s="6" t="s">
        <v>7</v>
      </c>
      <c r="P90" s="6" t="str">
        <f>VLOOKUP(Tableau1[[#This Row],[SITES NAMES]],[1]Feuil1!$1:$1048576,8,FALSE)</f>
        <v>OK</v>
      </c>
      <c r="Q90" s="6" t="str">
        <f>VLOOKUP(Tableau1[[#This Row],[SITES NAMES]],[1]Feuil1!$1:$1048576,9,FALSE)</f>
        <v>NO</v>
      </c>
      <c r="R90" s="6" t="str">
        <f>VLOOKUP(Tableau1[[#This Row],[SITES NAMES]],[1]Feuil1!$1:$1048576,10,FALSE)</f>
        <v>YES</v>
      </c>
      <c r="S90" s="6" t="s">
        <v>2461</v>
      </c>
      <c r="T90" s="6" t="s">
        <v>2462</v>
      </c>
      <c r="U90" s="6" t="s">
        <v>2463</v>
      </c>
      <c r="V90" s="6" t="s">
        <v>2478</v>
      </c>
      <c r="W90" s="6" t="s">
        <v>2476</v>
      </c>
      <c r="X90" s="8" t="s">
        <v>2530</v>
      </c>
      <c r="Y90" s="6" t="s">
        <v>3238</v>
      </c>
      <c r="Z90" s="6" t="s">
        <v>3258</v>
      </c>
      <c r="AA90" s="37" t="s">
        <v>3643</v>
      </c>
      <c r="AB90" s="39" t="s">
        <v>3644</v>
      </c>
      <c r="AC90" s="37" t="s">
        <v>3645</v>
      </c>
      <c r="AD90" s="39" t="s">
        <v>3646</v>
      </c>
      <c r="AE90" s="39" t="s">
        <v>3647</v>
      </c>
      <c r="AF90" s="39" t="s">
        <v>3648</v>
      </c>
      <c r="AG90" s="37" t="s">
        <v>3649</v>
      </c>
      <c r="AH90" s="37" t="s">
        <v>3650</v>
      </c>
    </row>
    <row r="91" spans="1:34" ht="14.45" hidden="1" customHeight="1" x14ac:dyDescent="0.3">
      <c r="A91" s="6" t="s">
        <v>167</v>
      </c>
      <c r="B91" s="7">
        <v>45192</v>
      </c>
      <c r="C91" s="6" t="s">
        <v>166</v>
      </c>
      <c r="D91" s="6" t="s">
        <v>132</v>
      </c>
      <c r="E91" s="6" t="s">
        <v>133</v>
      </c>
      <c r="F91" s="6" t="s">
        <v>3229</v>
      </c>
      <c r="G91" s="8">
        <v>1.1562699999999999</v>
      </c>
      <c r="H91" s="8">
        <v>7.5283899999999999</v>
      </c>
      <c r="I91" s="14" t="s">
        <v>2475</v>
      </c>
      <c r="J91" s="6" t="s">
        <v>2459</v>
      </c>
      <c r="K91" s="6" t="s">
        <v>2460</v>
      </c>
      <c r="L91" s="6" t="s">
        <v>161</v>
      </c>
      <c r="M91" s="6"/>
      <c r="N91" s="6" t="s">
        <v>3268</v>
      </c>
      <c r="O91" s="6" t="s">
        <v>7</v>
      </c>
      <c r="P91" s="6" t="str">
        <f>VLOOKUP(Tableau1[[#This Row],[SITES NAMES]],[1]Feuil1!$1:$1048576,8,FALSE)</f>
        <v>OK</v>
      </c>
      <c r="Q91" s="6" t="str">
        <f>VLOOKUP(Tableau1[[#This Row],[SITES NAMES]],[1]Feuil1!$1:$1048576,9,FALSE)</f>
        <v>NO</v>
      </c>
      <c r="R91" s="6" t="str">
        <f>VLOOKUP(Tableau1[[#This Row],[SITES NAMES]],[1]Feuil1!$1:$1048576,10,FALSE)</f>
        <v>NO</v>
      </c>
      <c r="S91" s="6" t="s">
        <v>2461</v>
      </c>
      <c r="T91" s="6" t="s">
        <v>2462</v>
      </c>
      <c r="U91" s="6" t="s">
        <v>2463</v>
      </c>
      <c r="V91" s="6" t="s">
        <v>2464</v>
      </c>
      <c r="W91" s="6" t="s">
        <v>2476</v>
      </c>
      <c r="X91" s="8"/>
      <c r="Y91" s="6" t="s">
        <v>3238</v>
      </c>
      <c r="Z91" s="6" t="s">
        <v>3258</v>
      </c>
      <c r="AA91" s="37" t="s">
        <v>3643</v>
      </c>
      <c r="AB91" s="39" t="s">
        <v>3644</v>
      </c>
      <c r="AC91" s="37" t="s">
        <v>3645</v>
      </c>
      <c r="AD91" s="39" t="s">
        <v>3646</v>
      </c>
      <c r="AE91" s="39" t="s">
        <v>3647</v>
      </c>
      <c r="AF91" s="39" t="s">
        <v>3648</v>
      </c>
      <c r="AG91" s="37" t="s">
        <v>3649</v>
      </c>
      <c r="AH91" s="37" t="s">
        <v>3650</v>
      </c>
    </row>
    <row r="92" spans="1:34" ht="14.45" hidden="1" customHeight="1" x14ac:dyDescent="0.3">
      <c r="A92" s="6" t="s">
        <v>169</v>
      </c>
      <c r="B92" s="7">
        <v>45208</v>
      </c>
      <c r="C92" s="6" t="s">
        <v>168</v>
      </c>
      <c r="D92" s="6" t="s">
        <v>132</v>
      </c>
      <c r="E92" s="6" t="s">
        <v>133</v>
      </c>
      <c r="F92" s="6" t="s">
        <v>3229</v>
      </c>
      <c r="G92" s="8">
        <v>1.1566799999999999</v>
      </c>
      <c r="H92" s="8">
        <v>7.5025399999999998</v>
      </c>
      <c r="I92" s="6" t="s">
        <v>2475</v>
      </c>
      <c r="J92" s="6" t="s">
        <v>2459</v>
      </c>
      <c r="K92" s="6" t="s">
        <v>2460</v>
      </c>
      <c r="L92" s="6" t="s">
        <v>3334</v>
      </c>
      <c r="M92" s="6"/>
      <c r="N92" s="6" t="s">
        <v>3268</v>
      </c>
      <c r="O92" s="6" t="s">
        <v>7</v>
      </c>
      <c r="P92" s="6" t="str">
        <f>VLOOKUP(Tableau1[[#This Row],[SITES NAMES]],[1]Feuil1!$1:$1048576,8,FALSE)</f>
        <v>OK</v>
      </c>
      <c r="Q92" s="6" t="str">
        <f>VLOOKUP(Tableau1[[#This Row],[SITES NAMES]],[1]Feuil1!$1:$1048576,9,FALSE)</f>
        <v>NO</v>
      </c>
      <c r="R92" s="6" t="str">
        <f>VLOOKUP(Tableau1[[#This Row],[SITES NAMES]],[1]Feuil1!$1:$1048576,10,FALSE)</f>
        <v>NO</v>
      </c>
      <c r="S92" s="6" t="s">
        <v>2461</v>
      </c>
      <c r="T92" s="6" t="s">
        <v>2462</v>
      </c>
      <c r="U92" s="6" t="s">
        <v>2463</v>
      </c>
      <c r="V92" s="6" t="s">
        <v>2464</v>
      </c>
      <c r="W92" s="6" t="s">
        <v>2531</v>
      </c>
      <c r="X92" s="8"/>
      <c r="Y92" s="6" t="s">
        <v>3238</v>
      </c>
      <c r="Z92" s="6" t="s">
        <v>3258</v>
      </c>
      <c r="AA92" s="37" t="s">
        <v>3643</v>
      </c>
      <c r="AB92" s="39" t="s">
        <v>3644</v>
      </c>
      <c r="AC92" s="37" t="s">
        <v>3645</v>
      </c>
      <c r="AD92" s="39" t="s">
        <v>3646</v>
      </c>
      <c r="AE92" s="39" t="s">
        <v>3647</v>
      </c>
      <c r="AF92" s="39" t="s">
        <v>3648</v>
      </c>
      <c r="AG92" s="37" t="s">
        <v>3649</v>
      </c>
      <c r="AH92" s="37" t="s">
        <v>3650</v>
      </c>
    </row>
    <row r="93" spans="1:34" ht="14.45" hidden="1" customHeight="1" x14ac:dyDescent="0.3">
      <c r="A93" s="6" t="s">
        <v>588</v>
      </c>
      <c r="B93" s="7">
        <v>45128</v>
      </c>
      <c r="C93" s="6" t="s">
        <v>587</v>
      </c>
      <c r="D93" s="6" t="s">
        <v>132</v>
      </c>
      <c r="E93" s="6" t="s">
        <v>565</v>
      </c>
      <c r="F93" s="6" t="s">
        <v>3229</v>
      </c>
      <c r="G93" s="8">
        <v>1.6273200000000001</v>
      </c>
      <c r="H93" s="8">
        <v>7.8746</v>
      </c>
      <c r="I93" s="6" t="s">
        <v>2477</v>
      </c>
      <c r="J93" s="6" t="s">
        <v>2459</v>
      </c>
      <c r="K93" s="6" t="s">
        <v>2468</v>
      </c>
      <c r="L93" s="6" t="s">
        <v>578</v>
      </c>
      <c r="M93" s="6"/>
      <c r="N93" s="6" t="s">
        <v>2468</v>
      </c>
      <c r="O93" s="6" t="s">
        <v>40</v>
      </c>
      <c r="P93" s="6" t="str">
        <f>VLOOKUP(Tableau1[[#This Row],[SITES NAMES]],[1]Feuil1!$1:$1048576,8,FALSE)</f>
        <v>OK</v>
      </c>
      <c r="Q93" s="6" t="str">
        <f>VLOOKUP(Tableau1[[#This Row],[SITES NAMES]],[1]Feuil1!$1:$1048576,9,FALSE)</f>
        <v>NO</v>
      </c>
      <c r="R93" s="6" t="str">
        <f>VLOOKUP(Tableau1[[#This Row],[SITES NAMES]],[1]Feuil1!$1:$1048576,10,FALSE)</f>
        <v>NO</v>
      </c>
      <c r="S93" s="6" t="s">
        <v>2469</v>
      </c>
      <c r="T93" s="6" t="s">
        <v>2470</v>
      </c>
      <c r="U93" s="6" t="s">
        <v>2480</v>
      </c>
      <c r="V93" s="6" t="s">
        <v>2472</v>
      </c>
      <c r="W93" s="6" t="s">
        <v>2473</v>
      </c>
      <c r="X93" s="8" t="e">
        <f>VLOOKUP(Tableau1[[#This Row],[SITES NAMES]],[2]Feuil1!$1:$1048576,5,FALSE)</f>
        <v>#N/A</v>
      </c>
      <c r="Y93" s="6" t="s">
        <v>3238</v>
      </c>
      <c r="Z93" s="6"/>
      <c r="AA93" s="37" t="s">
        <v>3660</v>
      </c>
      <c r="AB93" s="39" t="s">
        <v>3644</v>
      </c>
      <c r="AC93" s="37" t="s">
        <v>3661</v>
      </c>
      <c r="AD93" s="39" t="s">
        <v>3646</v>
      </c>
      <c r="AE93" s="39" t="s">
        <v>3647</v>
      </c>
      <c r="AF93" s="39" t="s">
        <v>3662</v>
      </c>
      <c r="AG93" s="37" t="s">
        <v>3649</v>
      </c>
      <c r="AH93" s="37" t="s">
        <v>3663</v>
      </c>
    </row>
    <row r="94" spans="1:34" ht="14.45" hidden="1" customHeight="1" x14ac:dyDescent="0.3">
      <c r="A94" s="6" t="s">
        <v>933</v>
      </c>
      <c r="B94" s="7">
        <v>41102</v>
      </c>
      <c r="C94" s="6" t="s">
        <v>932</v>
      </c>
      <c r="D94" s="6" t="s">
        <v>657</v>
      </c>
      <c r="E94" s="6" t="s">
        <v>3235</v>
      </c>
      <c r="F94" s="6" t="s">
        <v>3229</v>
      </c>
      <c r="G94" s="8">
        <v>1.1869000000000001</v>
      </c>
      <c r="H94" s="8">
        <v>9.5493199999999998</v>
      </c>
      <c r="I94" s="6" t="s">
        <v>2486</v>
      </c>
      <c r="J94" s="6" t="s">
        <v>2459</v>
      </c>
      <c r="K94" s="6" t="s">
        <v>2468</v>
      </c>
      <c r="L94" s="6" t="s">
        <v>3335</v>
      </c>
      <c r="M94" s="6"/>
      <c r="N94" s="6" t="s">
        <v>2468</v>
      </c>
      <c r="O94" s="6" t="s">
        <v>291</v>
      </c>
      <c r="P94" s="6" t="str">
        <f>VLOOKUP(Tableau1[[#This Row],[SITES NAMES]],[1]Feuil1!$1:$1048576,8,FALSE)</f>
        <v>OK</v>
      </c>
      <c r="Q94" s="6" t="str">
        <f>VLOOKUP(Tableau1[[#This Row],[SITES NAMES]],[1]Feuil1!$1:$1048576,9,FALSE)</f>
        <v>NO</v>
      </c>
      <c r="R94" s="6" t="str">
        <f>VLOOKUP(Tableau1[[#This Row],[SITES NAMES]],[1]Feuil1!$1:$1048576,10,FALSE)</f>
        <v>NO</v>
      </c>
      <c r="S94" s="6" t="s">
        <v>2469</v>
      </c>
      <c r="T94" s="6" t="s">
        <v>2470</v>
      </c>
      <c r="U94" s="6" t="s">
        <v>2471</v>
      </c>
      <c r="V94" s="6" t="s">
        <v>2464</v>
      </c>
      <c r="W94" s="6" t="s">
        <v>2476</v>
      </c>
      <c r="X94" s="8"/>
      <c r="Y94" s="6" t="s">
        <v>3239</v>
      </c>
      <c r="Z94" s="6" t="s">
        <v>3253</v>
      </c>
      <c r="AA94" s="37" t="s">
        <v>3698</v>
      </c>
      <c r="AB94" s="38" t="s">
        <v>3683</v>
      </c>
      <c r="AC94" s="39" t="s">
        <v>3699</v>
      </c>
      <c r="AD94" s="39" t="s">
        <v>3700</v>
      </c>
      <c r="AE94" s="37" t="s">
        <v>3701</v>
      </c>
      <c r="AF94" s="39" t="s">
        <v>3702</v>
      </c>
      <c r="AG94" s="40" t="s">
        <v>3685</v>
      </c>
      <c r="AH94" s="37" t="s">
        <v>3703</v>
      </c>
    </row>
    <row r="95" spans="1:34" ht="14.45" hidden="1" customHeight="1" x14ac:dyDescent="0.25">
      <c r="A95" s="6" t="s">
        <v>3457</v>
      </c>
      <c r="B95" s="7">
        <v>45074</v>
      </c>
      <c r="C95" s="6" t="s">
        <v>1356</v>
      </c>
      <c r="D95" s="6" t="s">
        <v>66</v>
      </c>
      <c r="E95" s="6" t="s">
        <v>3231</v>
      </c>
      <c r="F95" s="6" t="s">
        <v>3229</v>
      </c>
      <c r="G95" s="8">
        <v>1.3752599999999999</v>
      </c>
      <c r="H95" s="8">
        <v>6.1788600000000002</v>
      </c>
      <c r="I95" s="6" t="s">
        <v>2479</v>
      </c>
      <c r="J95" s="6" t="s">
        <v>2459</v>
      </c>
      <c r="K95" s="6" t="s">
        <v>2460</v>
      </c>
      <c r="L95" s="6" t="s">
        <v>3336</v>
      </c>
      <c r="M95" s="6"/>
      <c r="N95" s="6" t="s">
        <v>3268</v>
      </c>
      <c r="O95" s="6" t="s">
        <v>7</v>
      </c>
      <c r="P95" s="6" t="e">
        <f>VLOOKUP(Tableau1[[#This Row],[SITES NAMES]],[1]Feuil1!$1:$1048576,8,FALSE)</f>
        <v>#N/A</v>
      </c>
      <c r="Q95" s="6" t="e">
        <f>VLOOKUP(Tableau1[[#This Row],[SITES NAMES]],[1]Feuil1!$1:$1048576,9,FALSE)</f>
        <v>#N/A</v>
      </c>
      <c r="R95" s="6" t="e">
        <f>VLOOKUP(Tableau1[[#This Row],[SITES NAMES]],[1]Feuil1!$1:$1048576,10,FALSE)</f>
        <v>#N/A</v>
      </c>
      <c r="S95" s="6" t="s">
        <v>2461</v>
      </c>
      <c r="T95" s="6" t="s">
        <v>2470</v>
      </c>
      <c r="U95" s="6" t="s">
        <v>2463</v>
      </c>
      <c r="V95" s="6" t="s">
        <v>2464</v>
      </c>
      <c r="W95" s="6" t="s">
        <v>2465</v>
      </c>
      <c r="X95" s="8"/>
      <c r="Y95" s="6" t="s">
        <v>3238</v>
      </c>
      <c r="Z95" s="6"/>
      <c r="AA95" s="35" t="s">
        <v>3621</v>
      </c>
      <c r="AB95" s="35" t="s">
        <v>3608</v>
      </c>
      <c r="AC95" s="35" t="s">
        <v>3622</v>
      </c>
      <c r="AD95" s="35" t="s">
        <v>3610</v>
      </c>
      <c r="AE95" s="35" t="s">
        <v>3610</v>
      </c>
      <c r="AF95" s="35" t="s">
        <v>3611</v>
      </c>
      <c r="AG95" s="35" t="s">
        <v>3612</v>
      </c>
      <c r="AH95" s="35" t="s">
        <v>3623</v>
      </c>
    </row>
    <row r="96" spans="1:34" ht="14.45" hidden="1" customHeight="1" x14ac:dyDescent="0.25">
      <c r="A96" s="6" t="s">
        <v>1492</v>
      </c>
      <c r="B96" s="7">
        <v>45094</v>
      </c>
      <c r="C96" s="6" t="s">
        <v>1491</v>
      </c>
      <c r="D96" s="6" t="s">
        <v>66</v>
      </c>
      <c r="E96" s="6" t="s">
        <v>3233</v>
      </c>
      <c r="F96" s="6" t="s">
        <v>3229</v>
      </c>
      <c r="G96" s="8">
        <v>1.26125</v>
      </c>
      <c r="H96" s="8">
        <v>6.313466</v>
      </c>
      <c r="I96" s="6" t="s">
        <v>2479</v>
      </c>
      <c r="J96" s="6" t="s">
        <v>2459</v>
      </c>
      <c r="K96" s="6" t="s">
        <v>2468</v>
      </c>
      <c r="L96" s="6" t="s">
        <v>3474</v>
      </c>
      <c r="M96" s="6"/>
      <c r="N96" s="6" t="s">
        <v>2468</v>
      </c>
      <c r="O96" s="6" t="s">
        <v>37</v>
      </c>
      <c r="P96" s="6" t="str">
        <f>VLOOKUP(Tableau1[[#This Row],[SITES NAMES]],[1]Feuil1!$1:$1048576,8,FALSE)</f>
        <v>NOK</v>
      </c>
      <c r="Q96" s="6" t="str">
        <f>VLOOKUP(Tableau1[[#This Row],[SITES NAMES]],[1]Feuil1!$1:$1048576,9,FALSE)</f>
        <v>NO</v>
      </c>
      <c r="R96" s="6" t="str">
        <f>VLOOKUP(Tableau1[[#This Row],[SITES NAMES]],[1]Feuil1!$1:$1048576,10,FALSE)</f>
        <v>NO</v>
      </c>
      <c r="S96" s="6" t="s">
        <v>2469</v>
      </c>
      <c r="T96" s="6" t="s">
        <v>2470</v>
      </c>
      <c r="U96" s="6" t="s">
        <v>2471</v>
      </c>
      <c r="V96" s="6" t="s">
        <v>2472</v>
      </c>
      <c r="W96" s="6" t="s">
        <v>2465</v>
      </c>
      <c r="X96" s="8">
        <v>70997316</v>
      </c>
      <c r="Y96" s="6" t="s">
        <v>3238</v>
      </c>
      <c r="Z96" s="6"/>
      <c r="AA96" s="35" t="s">
        <v>3616</v>
      </c>
      <c r="AB96" s="35" t="s">
        <v>3608</v>
      </c>
      <c r="AC96" s="35" t="s">
        <v>3617</v>
      </c>
      <c r="AD96" s="35" t="s">
        <v>3610</v>
      </c>
      <c r="AE96" s="35" t="s">
        <v>3610</v>
      </c>
      <c r="AF96" s="35" t="s">
        <v>3611</v>
      </c>
      <c r="AG96" s="35" t="s">
        <v>3612</v>
      </c>
      <c r="AH96" s="35" t="s">
        <v>3618</v>
      </c>
    </row>
    <row r="97" spans="1:34" ht="14.45" hidden="1" customHeight="1" x14ac:dyDescent="0.3">
      <c r="A97" s="6" t="s">
        <v>331</v>
      </c>
      <c r="B97" s="7">
        <v>46022</v>
      </c>
      <c r="C97" s="6" t="s">
        <v>330</v>
      </c>
      <c r="D97" s="6" t="s">
        <v>320</v>
      </c>
      <c r="E97" s="6" t="s">
        <v>321</v>
      </c>
      <c r="F97" s="6" t="s">
        <v>3229</v>
      </c>
      <c r="G97" s="8">
        <v>0.97397299999999998</v>
      </c>
      <c r="H97" s="8">
        <v>8.1223600000000005</v>
      </c>
      <c r="I97" s="15" t="s">
        <v>2477</v>
      </c>
      <c r="J97" s="6" t="s">
        <v>2459</v>
      </c>
      <c r="K97" s="6" t="s">
        <v>2468</v>
      </c>
      <c r="L97" s="6"/>
      <c r="M97" s="6"/>
      <c r="N97" s="6" t="s">
        <v>2468</v>
      </c>
      <c r="O97" s="6" t="s">
        <v>40</v>
      </c>
      <c r="P97" s="6"/>
      <c r="Q97" s="6"/>
      <c r="R97" s="6"/>
      <c r="S97" s="6"/>
      <c r="T97" s="6"/>
      <c r="U97" s="6"/>
      <c r="V97" s="6"/>
      <c r="W97" s="6"/>
      <c r="X97" s="8"/>
      <c r="Y97" s="6" t="s">
        <v>3238</v>
      </c>
      <c r="Z97" s="6" t="s">
        <v>3266</v>
      </c>
      <c r="AA97" s="37" t="s">
        <v>3664</v>
      </c>
      <c r="AB97" s="39" t="s">
        <v>3665</v>
      </c>
      <c r="AC97" s="37" t="s">
        <v>3666</v>
      </c>
      <c r="AD97" s="37" t="s">
        <v>3667</v>
      </c>
      <c r="AE97" s="37" t="s">
        <v>3668</v>
      </c>
      <c r="AF97" s="37" t="s">
        <v>3669</v>
      </c>
      <c r="AG97" s="37" t="s">
        <v>3670</v>
      </c>
      <c r="AH97" s="37" t="s">
        <v>3671</v>
      </c>
    </row>
    <row r="98" spans="1:34" ht="14.45" hidden="1" customHeight="1" x14ac:dyDescent="0.25">
      <c r="A98" s="6" t="s">
        <v>1310</v>
      </c>
      <c r="B98" s="7">
        <v>41893</v>
      </c>
      <c r="C98" s="6" t="s">
        <v>1309</v>
      </c>
      <c r="D98" s="6" t="s">
        <v>66</v>
      </c>
      <c r="E98" s="6" t="s">
        <v>3231</v>
      </c>
      <c r="F98" s="18" t="s">
        <v>3230</v>
      </c>
      <c r="G98" s="8">
        <v>1.3618479999999999</v>
      </c>
      <c r="H98" s="8">
        <v>6.1772359999999997</v>
      </c>
      <c r="I98" s="6" t="s">
        <v>2486</v>
      </c>
      <c r="J98" s="6" t="s">
        <v>2459</v>
      </c>
      <c r="K98" s="6" t="s">
        <v>2460</v>
      </c>
      <c r="L98" s="6" t="s">
        <v>248</v>
      </c>
      <c r="M98" s="6" t="s">
        <v>161</v>
      </c>
      <c r="N98" s="6" t="s">
        <v>3268</v>
      </c>
      <c r="O98" s="6" t="s">
        <v>7</v>
      </c>
      <c r="P98" s="6" t="str">
        <f>VLOOKUP(Tableau1[[#This Row],[SITES NAMES]],[1]Feuil1!$1:$1048576,8,FALSE)</f>
        <v>OK</v>
      </c>
      <c r="Q98" s="6" t="str">
        <f>VLOOKUP(Tableau1[[#This Row],[SITES NAMES]],[1]Feuil1!$1:$1048576,9,FALSE)</f>
        <v>NO</v>
      </c>
      <c r="R98" s="6" t="str">
        <f>VLOOKUP(Tableau1[[#This Row],[SITES NAMES]],[1]Feuil1!$1:$1048576,10,FALSE)</f>
        <v>NO</v>
      </c>
      <c r="S98" s="6" t="s">
        <v>2469</v>
      </c>
      <c r="T98" s="6" t="s">
        <v>2470</v>
      </c>
      <c r="U98" s="6" t="s">
        <v>2471</v>
      </c>
      <c r="V98" s="6" t="s">
        <v>2464</v>
      </c>
      <c r="W98" s="6" t="s">
        <v>2476</v>
      </c>
      <c r="X98" s="8" t="s">
        <v>2925</v>
      </c>
      <c r="Y98" s="6" t="s">
        <v>3238</v>
      </c>
      <c r="Z98" s="6"/>
      <c r="AA98" s="35" t="s">
        <v>3621</v>
      </c>
      <c r="AB98" s="35" t="s">
        <v>3608</v>
      </c>
      <c r="AC98" s="35" t="s">
        <v>3622</v>
      </c>
      <c r="AD98" s="35" t="s">
        <v>3610</v>
      </c>
      <c r="AE98" s="35" t="s">
        <v>3610</v>
      </c>
      <c r="AF98" s="35" t="s">
        <v>3611</v>
      </c>
      <c r="AG98" s="35" t="s">
        <v>3612</v>
      </c>
      <c r="AH98" s="35" t="s">
        <v>3623</v>
      </c>
    </row>
    <row r="99" spans="1:34" ht="14.45" hidden="1" customHeight="1" x14ac:dyDescent="0.25">
      <c r="A99" s="6" t="s">
        <v>1588</v>
      </c>
      <c r="B99" s="7">
        <v>0</v>
      </c>
      <c r="C99" s="6" t="s">
        <v>1587</v>
      </c>
      <c r="D99" s="6" t="s">
        <v>66</v>
      </c>
      <c r="E99" s="6" t="s">
        <v>3236</v>
      </c>
      <c r="F99" s="6" t="s">
        <v>3229</v>
      </c>
      <c r="G99" s="8">
        <v>1.1847289999999999</v>
      </c>
      <c r="H99" s="8">
        <v>6.2431860739999996</v>
      </c>
      <c r="I99" s="6" t="s">
        <v>2486</v>
      </c>
      <c r="J99" s="6" t="s">
        <v>2459</v>
      </c>
      <c r="K99" s="6" t="s">
        <v>2460</v>
      </c>
      <c r="L99" s="6" t="s">
        <v>1694</v>
      </c>
      <c r="M99" s="6" t="s">
        <v>1544</v>
      </c>
      <c r="N99" s="6" t="s">
        <v>3268</v>
      </c>
      <c r="O99" s="6" t="s">
        <v>7</v>
      </c>
      <c r="P99" s="6" t="str">
        <f>VLOOKUP(Tableau1[[#This Row],[SITES NAMES]],[1]Feuil1!$1:$1048576,8,FALSE)</f>
        <v>NOK</v>
      </c>
      <c r="Q99" s="6" t="str">
        <f>VLOOKUP(Tableau1[[#This Row],[SITES NAMES]],[1]Feuil1!$1:$1048576,9,FALSE)</f>
        <v>NO</v>
      </c>
      <c r="R99" s="6" t="str">
        <f>VLOOKUP(Tableau1[[#This Row],[SITES NAMES]],[1]Feuil1!$1:$1048576,10,FALSE)</f>
        <v>YES</v>
      </c>
      <c r="S99" s="6" t="s">
        <v>2461</v>
      </c>
      <c r="T99" s="6" t="s">
        <v>2462</v>
      </c>
      <c r="U99" s="6" t="s">
        <v>2463</v>
      </c>
      <c r="V99" s="6" t="s">
        <v>2478</v>
      </c>
      <c r="W99" s="6" t="s">
        <v>2476</v>
      </c>
      <c r="X99" s="8"/>
      <c r="Y99" s="6" t="s">
        <v>3238</v>
      </c>
      <c r="Z99" s="6" t="s">
        <v>3263</v>
      </c>
      <c r="AA99" s="35" t="s">
        <v>3616</v>
      </c>
      <c r="AB99" s="35" t="s">
        <v>3608</v>
      </c>
      <c r="AC99" s="35" t="s">
        <v>3619</v>
      </c>
      <c r="AD99" s="35" t="s">
        <v>3610</v>
      </c>
      <c r="AE99" s="35" t="s">
        <v>3610</v>
      </c>
      <c r="AF99" s="35" t="s">
        <v>3611</v>
      </c>
      <c r="AG99" s="35" t="s">
        <v>3612</v>
      </c>
      <c r="AH99" s="35" t="s">
        <v>3620</v>
      </c>
    </row>
    <row r="100" spans="1:34" ht="14.45" hidden="1" customHeight="1" x14ac:dyDescent="0.25">
      <c r="A100" s="6" t="s">
        <v>1608</v>
      </c>
      <c r="B100" s="7">
        <v>46022</v>
      </c>
      <c r="C100" s="6" t="s">
        <v>1607</v>
      </c>
      <c r="D100" s="6" t="s">
        <v>66</v>
      </c>
      <c r="E100" s="6" t="s">
        <v>3236</v>
      </c>
      <c r="F100" s="6" t="s">
        <v>3229</v>
      </c>
      <c r="G100" s="8">
        <v>1.180966</v>
      </c>
      <c r="H100" s="8">
        <v>6.292446</v>
      </c>
      <c r="I100" s="6" t="e">
        <v>#N/A</v>
      </c>
      <c r="J100" s="6" t="s">
        <v>2459</v>
      </c>
      <c r="K100" s="6" t="s">
        <v>2468</v>
      </c>
      <c r="L100" s="6"/>
      <c r="M100" s="6"/>
      <c r="N100" s="6" t="s">
        <v>2468</v>
      </c>
      <c r="O100" s="6" t="s">
        <v>47</v>
      </c>
      <c r="P100" s="6"/>
      <c r="Q100" s="6"/>
      <c r="R100" s="6"/>
      <c r="S100" s="6"/>
      <c r="T100" s="6"/>
      <c r="U100" s="6"/>
      <c r="V100" s="6"/>
      <c r="W100" s="6"/>
      <c r="X100" s="8"/>
      <c r="Y100" s="6" t="s">
        <v>3238</v>
      </c>
      <c r="Z100" s="6" t="s">
        <v>3263</v>
      </c>
      <c r="AA100" s="35" t="s">
        <v>3616</v>
      </c>
      <c r="AB100" s="35" t="s">
        <v>3608</v>
      </c>
      <c r="AC100" s="35" t="s">
        <v>3619</v>
      </c>
      <c r="AD100" s="35" t="s">
        <v>3610</v>
      </c>
      <c r="AE100" s="35" t="s">
        <v>3610</v>
      </c>
      <c r="AF100" s="35" t="s">
        <v>3611</v>
      </c>
      <c r="AG100" s="35" t="s">
        <v>3612</v>
      </c>
      <c r="AH100" s="35" t="s">
        <v>3620</v>
      </c>
    </row>
    <row r="101" spans="1:34" ht="14.45" hidden="1" customHeight="1" x14ac:dyDescent="0.25">
      <c r="A101" s="6" t="s">
        <v>1612</v>
      </c>
      <c r="B101" s="7">
        <v>39295</v>
      </c>
      <c r="C101" s="6" t="s">
        <v>1611</v>
      </c>
      <c r="D101" s="6" t="s">
        <v>66</v>
      </c>
      <c r="E101" s="6" t="s">
        <v>3236</v>
      </c>
      <c r="F101" s="6" t="s">
        <v>3229</v>
      </c>
      <c r="G101" s="8">
        <v>1.2019869999999999</v>
      </c>
      <c r="H101" s="8">
        <v>6.2369844079999996</v>
      </c>
      <c r="I101" s="6" t="s">
        <v>2497</v>
      </c>
      <c r="J101" s="6" t="s">
        <v>2459</v>
      </c>
      <c r="K101" s="6" t="s">
        <v>2460</v>
      </c>
      <c r="L101" s="6" t="s">
        <v>1510</v>
      </c>
      <c r="M101" s="6" t="s">
        <v>1662</v>
      </c>
      <c r="N101" s="6" t="s">
        <v>3268</v>
      </c>
      <c r="O101" s="6" t="s">
        <v>7</v>
      </c>
      <c r="P101" s="6" t="str">
        <f>VLOOKUP(Tableau1[[#This Row],[SITES NAMES]],[1]Feuil1!$1:$1048576,8,FALSE)</f>
        <v>OK</v>
      </c>
      <c r="Q101" s="6" t="str">
        <f>VLOOKUP(Tableau1[[#This Row],[SITES NAMES]],[1]Feuil1!$1:$1048576,9,FALSE)</f>
        <v>NO</v>
      </c>
      <c r="R101" s="6" t="str">
        <f>VLOOKUP(Tableau1[[#This Row],[SITES NAMES]],[1]Feuil1!$1:$1048576,10,FALSE)</f>
        <v>NO</v>
      </c>
      <c r="S101" s="6" t="s">
        <v>2469</v>
      </c>
      <c r="T101" s="6" t="s">
        <v>2470</v>
      </c>
      <c r="U101" s="6" t="s">
        <v>2480</v>
      </c>
      <c r="V101" s="6" t="s">
        <v>2478</v>
      </c>
      <c r="W101" s="6" t="s">
        <v>2476</v>
      </c>
      <c r="X101" s="8" t="s">
        <v>2982</v>
      </c>
      <c r="Y101" s="6" t="s">
        <v>3238</v>
      </c>
      <c r="Z101" s="6" t="s">
        <v>3263</v>
      </c>
      <c r="AA101" s="35" t="s">
        <v>3616</v>
      </c>
      <c r="AB101" s="35" t="s">
        <v>3608</v>
      </c>
      <c r="AC101" s="35" t="s">
        <v>3619</v>
      </c>
      <c r="AD101" s="35" t="s">
        <v>3610</v>
      </c>
      <c r="AE101" s="35" t="s">
        <v>3610</v>
      </c>
      <c r="AF101" s="35" t="s">
        <v>3611</v>
      </c>
      <c r="AG101" s="35" t="s">
        <v>3612</v>
      </c>
      <c r="AH101" s="35" t="s">
        <v>3620</v>
      </c>
    </row>
    <row r="102" spans="1:34" ht="14.45" hidden="1" customHeight="1" x14ac:dyDescent="0.25">
      <c r="A102" s="6" t="s">
        <v>1494</v>
      </c>
      <c r="B102" s="7">
        <v>43124</v>
      </c>
      <c r="C102" s="6" t="s">
        <v>1493</v>
      </c>
      <c r="D102" s="6" t="s">
        <v>66</v>
      </c>
      <c r="E102" s="6" t="s">
        <v>3233</v>
      </c>
      <c r="F102" s="6" t="s">
        <v>3229</v>
      </c>
      <c r="G102" s="8">
        <v>1.2087619999999999</v>
      </c>
      <c r="H102" s="8">
        <v>6.2270719999999997</v>
      </c>
      <c r="I102" s="6" t="s">
        <v>2497</v>
      </c>
      <c r="J102" s="6" t="s">
        <v>2459</v>
      </c>
      <c r="K102" s="6" t="s">
        <v>2460</v>
      </c>
      <c r="L102" s="6" t="s">
        <v>1510</v>
      </c>
      <c r="M102" s="6" t="s">
        <v>1454</v>
      </c>
      <c r="N102" s="6" t="s">
        <v>3268</v>
      </c>
      <c r="O102" s="6" t="s">
        <v>1206</v>
      </c>
      <c r="P102" s="6"/>
      <c r="Q102" s="6" t="str">
        <f>VLOOKUP(Tableau1[[#This Row],[SITES NAMES]],[1]Feuil1!$1:$1048576,9,FALSE)</f>
        <v>YES</v>
      </c>
      <c r="R102" s="6" t="str">
        <f>VLOOKUP(Tableau1[[#This Row],[SITES NAMES]],[1]Feuil1!$1:$1048576,10,FALSE)</f>
        <v>NO</v>
      </c>
      <c r="S102" s="6" t="s">
        <v>2469</v>
      </c>
      <c r="T102" s="6" t="s">
        <v>2470</v>
      </c>
      <c r="U102" s="6" t="s">
        <v>2480</v>
      </c>
      <c r="V102" s="6" t="s">
        <v>2478</v>
      </c>
      <c r="W102" s="6" t="s">
        <v>2476</v>
      </c>
      <c r="X102" s="8"/>
      <c r="Y102" s="6" t="s">
        <v>3238</v>
      </c>
      <c r="Z102" s="6"/>
      <c r="AA102" s="35" t="s">
        <v>3616</v>
      </c>
      <c r="AB102" s="35" t="s">
        <v>3608</v>
      </c>
      <c r="AC102" s="35" t="s">
        <v>3617</v>
      </c>
      <c r="AD102" s="35" t="s">
        <v>3610</v>
      </c>
      <c r="AE102" s="35" t="s">
        <v>3610</v>
      </c>
      <c r="AF102" s="35" t="s">
        <v>3611</v>
      </c>
      <c r="AG102" s="35" t="s">
        <v>3612</v>
      </c>
      <c r="AH102" s="35" t="s">
        <v>3618</v>
      </c>
    </row>
    <row r="103" spans="1:34" ht="14.45" hidden="1" customHeight="1" x14ac:dyDescent="0.3">
      <c r="A103" s="6" t="s">
        <v>55</v>
      </c>
      <c r="B103" s="7">
        <v>39570</v>
      </c>
      <c r="C103" s="6" t="s">
        <v>54</v>
      </c>
      <c r="D103" s="6" t="s">
        <v>5</v>
      </c>
      <c r="E103" s="6" t="s">
        <v>6</v>
      </c>
      <c r="F103" s="6" t="s">
        <v>3229</v>
      </c>
      <c r="G103" s="8">
        <v>1.6812400000000001</v>
      </c>
      <c r="H103" s="8">
        <v>6.2657600000000002</v>
      </c>
      <c r="I103" s="6" t="s">
        <v>2467</v>
      </c>
      <c r="J103" s="6" t="s">
        <v>2459</v>
      </c>
      <c r="K103" s="6" t="s">
        <v>2468</v>
      </c>
      <c r="L103" s="6"/>
      <c r="M103" s="6"/>
      <c r="N103" s="6" t="s">
        <v>2468</v>
      </c>
      <c r="O103" s="6" t="s">
        <v>7</v>
      </c>
      <c r="P103" s="6" t="str">
        <f>VLOOKUP(Tableau1[[#This Row],[SITES NAMES]],[1]Feuil1!$1:$1048576,8,FALSE)</f>
        <v>NOK</v>
      </c>
      <c r="Q103" s="6" t="str">
        <f>VLOOKUP(Tableau1[[#This Row],[SITES NAMES]],[1]Feuil1!$1:$1048576,9,FALSE)</f>
        <v>NO</v>
      </c>
      <c r="R103" s="6" t="str">
        <f>VLOOKUP(Tableau1[[#This Row],[SITES NAMES]],[1]Feuil1!$1:$1048576,10,FALSE)</f>
        <v>NO</v>
      </c>
      <c r="S103" s="6" t="s">
        <v>2469</v>
      </c>
      <c r="T103" s="6" t="s">
        <v>2470</v>
      </c>
      <c r="U103" s="6" t="s">
        <v>2480</v>
      </c>
      <c r="V103" s="6" t="s">
        <v>2472</v>
      </c>
      <c r="W103" s="6" t="s">
        <v>2473</v>
      </c>
      <c r="X103" s="8" t="s">
        <v>2491</v>
      </c>
      <c r="Y103" s="6" t="s">
        <v>3241</v>
      </c>
      <c r="Z103" s="6"/>
      <c r="AA103" s="37" t="s">
        <v>3626</v>
      </c>
      <c r="AB103" s="38" t="s">
        <v>3627</v>
      </c>
      <c r="AC103" s="37" t="s">
        <v>3633</v>
      </c>
      <c r="AD103" s="37" t="s">
        <v>3628</v>
      </c>
      <c r="AE103" s="37" t="s">
        <v>3629</v>
      </c>
      <c r="AF103" s="39" t="s">
        <v>3630</v>
      </c>
      <c r="AG103" s="37" t="s">
        <v>3631</v>
      </c>
      <c r="AH103" s="37" t="s">
        <v>3632</v>
      </c>
    </row>
    <row r="104" spans="1:34" ht="14.45" hidden="1" customHeight="1" x14ac:dyDescent="0.25">
      <c r="A104" s="6" t="s">
        <v>1496</v>
      </c>
      <c r="B104" s="7">
        <v>46022</v>
      </c>
      <c r="C104" s="6" t="s">
        <v>1495</v>
      </c>
      <c r="D104" s="6" t="s">
        <v>66</v>
      </c>
      <c r="E104" s="6" t="s">
        <v>3233</v>
      </c>
      <c r="F104" s="6" t="s">
        <v>3229</v>
      </c>
      <c r="G104" s="8">
        <v>1.1839166999999999</v>
      </c>
      <c r="H104" s="8">
        <v>6.2141223999999999</v>
      </c>
      <c r="I104" s="6" t="e">
        <v>#N/A</v>
      </c>
      <c r="J104" s="6" t="s">
        <v>2459</v>
      </c>
      <c r="K104" s="6" t="s">
        <v>2460</v>
      </c>
      <c r="L104" s="6" t="s">
        <v>1500</v>
      </c>
      <c r="M104" s="6"/>
      <c r="N104" s="6" t="s">
        <v>3268</v>
      </c>
      <c r="O104" s="6" t="s">
        <v>7</v>
      </c>
      <c r="P104" s="6"/>
      <c r="Q104" s="6"/>
      <c r="R104" s="6"/>
      <c r="S104" s="6"/>
      <c r="T104" s="6"/>
      <c r="U104" s="6"/>
      <c r="V104" s="6"/>
      <c r="W104" s="6"/>
      <c r="X104" s="8" t="e">
        <f>VLOOKUP(Tableau1[[#This Row],[SITES NAMES]],[2]Feuil1!$1:$1048576,5,FALSE)</f>
        <v>#N/A</v>
      </c>
      <c r="Y104" s="6" t="s">
        <v>3238</v>
      </c>
      <c r="Z104" s="6"/>
      <c r="AA104" s="35" t="s">
        <v>3616</v>
      </c>
      <c r="AB104" s="35" t="s">
        <v>3608</v>
      </c>
      <c r="AC104" s="35" t="s">
        <v>3617</v>
      </c>
      <c r="AD104" s="35" t="s">
        <v>3610</v>
      </c>
      <c r="AE104" s="35" t="s">
        <v>3610</v>
      </c>
      <c r="AF104" s="35" t="s">
        <v>3611</v>
      </c>
      <c r="AG104" s="35" t="s">
        <v>3612</v>
      </c>
      <c r="AH104" s="35" t="s">
        <v>3618</v>
      </c>
    </row>
    <row r="105" spans="1:34" ht="14.45" hidden="1" customHeight="1" x14ac:dyDescent="0.25">
      <c r="A105" s="6" t="s">
        <v>1498</v>
      </c>
      <c r="B105" s="7">
        <v>44730</v>
      </c>
      <c r="C105" s="6" t="s">
        <v>1497</v>
      </c>
      <c r="D105" s="6" t="s">
        <v>66</v>
      </c>
      <c r="E105" s="6" t="s">
        <v>3233</v>
      </c>
      <c r="F105" s="6" t="s">
        <v>3229</v>
      </c>
      <c r="G105" s="8">
        <v>1.1928259999999999</v>
      </c>
      <c r="H105" s="8">
        <v>6.2244599899999997</v>
      </c>
      <c r="I105" s="6" t="s">
        <v>2475</v>
      </c>
      <c r="J105" s="6" t="s">
        <v>2459</v>
      </c>
      <c r="K105" s="6" t="s">
        <v>2460</v>
      </c>
      <c r="L105" s="6" t="s">
        <v>1686</v>
      </c>
      <c r="M105" s="6" t="s">
        <v>1510</v>
      </c>
      <c r="N105" s="6" t="s">
        <v>3268</v>
      </c>
      <c r="O105" s="6" t="s">
        <v>7</v>
      </c>
      <c r="P105" s="6" t="str">
        <f>VLOOKUP(Tableau1[[#This Row],[SITES NAMES]],[1]Feuil1!$1:$1048576,8,FALSE)</f>
        <v>OK</v>
      </c>
      <c r="Q105" s="6" t="str">
        <f>VLOOKUP(Tableau1[[#This Row],[SITES NAMES]],[1]Feuil1!$1:$1048576,9,FALSE)</f>
        <v>NO</v>
      </c>
      <c r="R105" s="6" t="str">
        <f>VLOOKUP(Tableau1[[#This Row],[SITES NAMES]],[1]Feuil1!$1:$1048576,10,FALSE)</f>
        <v>YES</v>
      </c>
      <c r="S105" s="6" t="s">
        <v>2461</v>
      </c>
      <c r="T105" s="6" t="s">
        <v>2470</v>
      </c>
      <c r="U105" s="6" t="s">
        <v>2463</v>
      </c>
      <c r="V105" s="6" t="s">
        <v>2478</v>
      </c>
      <c r="W105" s="6" t="s">
        <v>2476</v>
      </c>
      <c r="X105" s="8"/>
      <c r="Y105" s="6" t="s">
        <v>3238</v>
      </c>
      <c r="Z105" s="6"/>
      <c r="AA105" s="35" t="s">
        <v>3616</v>
      </c>
      <c r="AB105" s="35" t="s">
        <v>3608</v>
      </c>
      <c r="AC105" s="35" t="s">
        <v>3617</v>
      </c>
      <c r="AD105" s="35" t="s">
        <v>3610</v>
      </c>
      <c r="AE105" s="35" t="s">
        <v>3610</v>
      </c>
      <c r="AF105" s="35" t="s">
        <v>3611</v>
      </c>
      <c r="AG105" s="35" t="s">
        <v>3612</v>
      </c>
      <c r="AH105" s="35" t="s">
        <v>3618</v>
      </c>
    </row>
    <row r="106" spans="1:34" ht="14.45" hidden="1" customHeight="1" x14ac:dyDescent="0.25">
      <c r="A106" s="6" t="s">
        <v>1500</v>
      </c>
      <c r="B106" s="7">
        <v>37926</v>
      </c>
      <c r="C106" s="6" t="s">
        <v>1499</v>
      </c>
      <c r="D106" s="6" t="s">
        <v>66</v>
      </c>
      <c r="E106" s="6" t="s">
        <v>3233</v>
      </c>
      <c r="F106" s="6" t="s">
        <v>3229</v>
      </c>
      <c r="G106" s="8">
        <v>1.194288</v>
      </c>
      <c r="H106" s="8">
        <v>6.2182553980000002</v>
      </c>
      <c r="I106" s="6" t="s">
        <v>2497</v>
      </c>
      <c r="J106" s="6" t="s">
        <v>2459</v>
      </c>
      <c r="K106" s="6" t="s">
        <v>2460</v>
      </c>
      <c r="L106" s="6" t="s">
        <v>1759</v>
      </c>
      <c r="M106" s="6"/>
      <c r="N106" s="6" t="s">
        <v>3268</v>
      </c>
      <c r="O106" s="6" t="s">
        <v>7</v>
      </c>
      <c r="P106" s="6" t="str">
        <f>VLOOKUP(Tableau1[[#This Row],[SITES NAMES]],[1]Feuil1!$1:$1048576,8,FALSE)</f>
        <v>OK</v>
      </c>
      <c r="Q106" s="6" t="str">
        <f>VLOOKUP(Tableau1[[#This Row],[SITES NAMES]],[1]Feuil1!$1:$1048576,9,FALSE)</f>
        <v>NO</v>
      </c>
      <c r="R106" s="6" t="str">
        <f>VLOOKUP(Tableau1[[#This Row],[SITES NAMES]],[1]Feuil1!$1:$1048576,10,FALSE)</f>
        <v>YES</v>
      </c>
      <c r="S106" s="6" t="s">
        <v>2461</v>
      </c>
      <c r="T106" s="6" t="s">
        <v>2462</v>
      </c>
      <c r="U106" s="6" t="s">
        <v>2463</v>
      </c>
      <c r="V106" s="6" t="s">
        <v>2478</v>
      </c>
      <c r="W106" s="6" t="s">
        <v>2476</v>
      </c>
      <c r="X106" s="8" t="s">
        <v>2958</v>
      </c>
      <c r="Y106" s="6" t="s">
        <v>3238</v>
      </c>
      <c r="Z106" s="6"/>
      <c r="AA106" s="35" t="s">
        <v>3616</v>
      </c>
      <c r="AB106" s="35" t="s">
        <v>3608</v>
      </c>
      <c r="AC106" s="35" t="s">
        <v>3617</v>
      </c>
      <c r="AD106" s="35" t="s">
        <v>3610</v>
      </c>
      <c r="AE106" s="35" t="s">
        <v>3610</v>
      </c>
      <c r="AF106" s="35" t="s">
        <v>3611</v>
      </c>
      <c r="AG106" s="35" t="s">
        <v>3612</v>
      </c>
      <c r="AH106" s="35" t="s">
        <v>3618</v>
      </c>
    </row>
    <row r="107" spans="1:34" ht="14.45" hidden="1" customHeight="1" x14ac:dyDescent="0.25">
      <c r="A107" s="6" t="s">
        <v>1502</v>
      </c>
      <c r="B107" s="7">
        <v>39052</v>
      </c>
      <c r="C107" s="6" t="s">
        <v>1501</v>
      </c>
      <c r="D107" s="6" t="s">
        <v>66</v>
      </c>
      <c r="E107" s="6" t="s">
        <v>3233</v>
      </c>
      <c r="F107" s="6" t="s">
        <v>3229</v>
      </c>
      <c r="G107" s="8">
        <v>1.2135590000000001</v>
      </c>
      <c r="H107" s="8">
        <v>6.2207316629999996</v>
      </c>
      <c r="I107" s="6" t="s">
        <v>2497</v>
      </c>
      <c r="J107" s="6" t="s">
        <v>2459</v>
      </c>
      <c r="K107" s="6" t="s">
        <v>2460</v>
      </c>
      <c r="L107" s="6" t="s">
        <v>1274</v>
      </c>
      <c r="M107" s="6" t="s">
        <v>1526</v>
      </c>
      <c r="N107" s="6" t="s">
        <v>3268</v>
      </c>
      <c r="O107" s="6" t="s">
        <v>7</v>
      </c>
      <c r="P107" s="6" t="str">
        <f>VLOOKUP(Tableau1[[#This Row],[SITES NAMES]],[1]Feuil1!$1:$1048576,8,FALSE)</f>
        <v>OK</v>
      </c>
      <c r="Q107" s="6" t="str">
        <f>VLOOKUP(Tableau1[[#This Row],[SITES NAMES]],[1]Feuil1!$1:$1048576,9,FALSE)</f>
        <v>YES</v>
      </c>
      <c r="R107" s="6" t="str">
        <f>VLOOKUP(Tableau1[[#This Row],[SITES NAMES]],[1]Feuil1!$1:$1048576,10,FALSE)</f>
        <v>NO</v>
      </c>
      <c r="S107" s="6" t="s">
        <v>2469</v>
      </c>
      <c r="T107" s="6" t="s">
        <v>2470</v>
      </c>
      <c r="U107" s="6" t="s">
        <v>2480</v>
      </c>
      <c r="V107" s="6" t="s">
        <v>2498</v>
      </c>
      <c r="W107" s="6" t="s">
        <v>2476</v>
      </c>
      <c r="X107" s="8"/>
      <c r="Y107" s="6" t="s">
        <v>3238</v>
      </c>
      <c r="Z107" s="6"/>
      <c r="AA107" s="35" t="s">
        <v>3616</v>
      </c>
      <c r="AB107" s="35" t="s">
        <v>3608</v>
      </c>
      <c r="AC107" s="35" t="s">
        <v>3617</v>
      </c>
      <c r="AD107" s="35" t="s">
        <v>3610</v>
      </c>
      <c r="AE107" s="35" t="s">
        <v>3610</v>
      </c>
      <c r="AF107" s="35" t="s">
        <v>3611</v>
      </c>
      <c r="AG107" s="35" t="s">
        <v>3612</v>
      </c>
      <c r="AH107" s="35" t="s">
        <v>3618</v>
      </c>
    </row>
    <row r="108" spans="1:34" ht="14.45" hidden="1" customHeight="1" x14ac:dyDescent="0.25">
      <c r="A108" s="6" t="s">
        <v>1504</v>
      </c>
      <c r="B108" s="7">
        <v>0</v>
      </c>
      <c r="C108" s="6" t="s">
        <v>1503</v>
      </c>
      <c r="D108" s="6" t="s">
        <v>66</v>
      </c>
      <c r="E108" s="6" t="s">
        <v>3233</v>
      </c>
      <c r="F108" s="6" t="s">
        <v>3229</v>
      </c>
      <c r="G108" s="8">
        <v>1.2092799999999999</v>
      </c>
      <c r="H108" s="8">
        <v>6.2160399999999996</v>
      </c>
      <c r="I108" s="6" t="s">
        <v>2497</v>
      </c>
      <c r="J108" s="6" t="s">
        <v>2459</v>
      </c>
      <c r="K108" s="6" t="s">
        <v>2460</v>
      </c>
      <c r="L108" s="6" t="s">
        <v>1510</v>
      </c>
      <c r="M108" s="6"/>
      <c r="N108" s="6" t="s">
        <v>3268</v>
      </c>
      <c r="O108" s="6" t="s">
        <v>7</v>
      </c>
      <c r="P108" s="6" t="str">
        <f>VLOOKUP(Tableau1[[#This Row],[SITES NAMES]],[1]Feuil1!$1:$1048576,8,FALSE)</f>
        <v>OK</v>
      </c>
      <c r="Q108" s="6" t="str">
        <f>VLOOKUP(Tableau1[[#This Row],[SITES NAMES]],[1]Feuil1!$1:$1048576,9,FALSE)</f>
        <v>NO</v>
      </c>
      <c r="R108" s="6" t="str">
        <f>VLOOKUP(Tableau1[[#This Row],[SITES NAMES]],[1]Feuil1!$1:$1048576,10,FALSE)</f>
        <v>NO</v>
      </c>
      <c r="S108" s="6" t="s">
        <v>2461</v>
      </c>
      <c r="T108" s="6" t="s">
        <v>2462</v>
      </c>
      <c r="U108" s="6" t="s">
        <v>2463</v>
      </c>
      <c r="V108" s="6" t="s">
        <v>2498</v>
      </c>
      <c r="W108" s="6" t="s">
        <v>2476</v>
      </c>
      <c r="X108" s="8"/>
      <c r="Y108" s="6" t="s">
        <v>3238</v>
      </c>
      <c r="Z108" s="6"/>
      <c r="AA108" s="35" t="s">
        <v>3616</v>
      </c>
      <c r="AB108" s="35" t="s">
        <v>3608</v>
      </c>
      <c r="AC108" s="35" t="s">
        <v>3617</v>
      </c>
      <c r="AD108" s="35" t="s">
        <v>3610</v>
      </c>
      <c r="AE108" s="35" t="s">
        <v>3610</v>
      </c>
      <c r="AF108" s="35" t="s">
        <v>3611</v>
      </c>
      <c r="AG108" s="35" t="s">
        <v>3612</v>
      </c>
      <c r="AH108" s="35" t="s">
        <v>3618</v>
      </c>
    </row>
    <row r="109" spans="1:34" ht="14.45" hidden="1" customHeight="1" x14ac:dyDescent="0.25">
      <c r="A109" s="6" t="s">
        <v>1218</v>
      </c>
      <c r="B109" s="7">
        <v>45237</v>
      </c>
      <c r="C109" s="6" t="s">
        <v>1217</v>
      </c>
      <c r="D109" s="6" t="s">
        <v>66</v>
      </c>
      <c r="E109" s="6" t="s">
        <v>1924</v>
      </c>
      <c r="F109" s="6" t="s">
        <v>3229</v>
      </c>
      <c r="G109" s="8">
        <v>1.22434</v>
      </c>
      <c r="H109" s="8">
        <v>6.2302400000000002</v>
      </c>
      <c r="I109" s="6" t="s">
        <v>2475</v>
      </c>
      <c r="J109" s="6" t="s">
        <v>2459</v>
      </c>
      <c r="K109" s="6" t="s">
        <v>2460</v>
      </c>
      <c r="L109" s="6" t="s">
        <v>1262</v>
      </c>
      <c r="M109" s="6" t="s">
        <v>1594</v>
      </c>
      <c r="N109" s="6" t="s">
        <v>3268</v>
      </c>
      <c r="O109" s="6" t="s">
        <v>7</v>
      </c>
      <c r="P109" s="6" t="str">
        <f>VLOOKUP(Tableau1[[#This Row],[SITES NAMES]],[1]Feuil1!$1:$1048576,8,FALSE)</f>
        <v>OK</v>
      </c>
      <c r="Q109" s="6" t="str">
        <f>VLOOKUP(Tableau1[[#This Row],[SITES NAMES]],[1]Feuil1!$1:$1048576,9,FALSE)</f>
        <v>NO</v>
      </c>
      <c r="R109" s="6" t="str">
        <f>VLOOKUP(Tableau1[[#This Row],[SITES NAMES]],[1]Feuil1!$1:$1048576,10,FALSE)</f>
        <v>NO</v>
      </c>
      <c r="S109" s="6" t="s">
        <v>2461</v>
      </c>
      <c r="T109" s="6" t="s">
        <v>2462</v>
      </c>
      <c r="U109" s="6" t="s">
        <v>2463</v>
      </c>
      <c r="V109" s="6" t="s">
        <v>2464</v>
      </c>
      <c r="W109" s="6" t="s">
        <v>2531</v>
      </c>
      <c r="X109" s="8"/>
      <c r="Y109" s="6" t="s">
        <v>3238</v>
      </c>
      <c r="Z109" s="6" t="s">
        <v>3261</v>
      </c>
      <c r="AA109" s="35" t="s">
        <v>3607</v>
      </c>
      <c r="AB109" s="35" t="s">
        <v>3608</v>
      </c>
      <c r="AC109" s="35" t="s">
        <v>3609</v>
      </c>
      <c r="AD109" s="35" t="s">
        <v>3610</v>
      </c>
      <c r="AE109" s="35" t="s">
        <v>3610</v>
      </c>
      <c r="AF109" s="35" t="s">
        <v>3611</v>
      </c>
      <c r="AG109" s="35" t="s">
        <v>3612</v>
      </c>
      <c r="AH109" s="35" t="s">
        <v>3613</v>
      </c>
    </row>
    <row r="110" spans="1:34" ht="14.45" hidden="1" customHeight="1" x14ac:dyDescent="0.3">
      <c r="A110" s="6" t="s">
        <v>327</v>
      </c>
      <c r="B110" s="7">
        <v>44614</v>
      </c>
      <c r="C110" s="6" t="s">
        <v>326</v>
      </c>
      <c r="D110" s="6" t="s">
        <v>320</v>
      </c>
      <c r="E110" s="6" t="s">
        <v>321</v>
      </c>
      <c r="F110" s="6" t="s">
        <v>3229</v>
      </c>
      <c r="G110" s="8">
        <v>1.19648299</v>
      </c>
      <c r="H110" s="8">
        <v>8.4252000000000002</v>
      </c>
      <c r="I110" s="6" t="s">
        <v>2477</v>
      </c>
      <c r="J110" s="6" t="s">
        <v>2459</v>
      </c>
      <c r="K110" s="6" t="s">
        <v>2468</v>
      </c>
      <c r="L110" s="6" t="s">
        <v>358</v>
      </c>
      <c r="M110" s="6"/>
      <c r="N110" s="6" t="s">
        <v>2468</v>
      </c>
      <c r="O110" s="6" t="s">
        <v>40</v>
      </c>
      <c r="P110" s="6" t="str">
        <f>VLOOKUP(Tableau1[[#This Row],[SITES NAMES]],[1]Feuil1!$1:$1048576,8,FALSE)</f>
        <v>OK</v>
      </c>
      <c r="Q110" s="6" t="str">
        <f>VLOOKUP(Tableau1[[#This Row],[SITES NAMES]],[1]Feuil1!$1:$1048576,9,FALSE)</f>
        <v>NO</v>
      </c>
      <c r="R110" s="6" t="str">
        <f>VLOOKUP(Tableau1[[#This Row],[SITES NAMES]],[1]Feuil1!$1:$1048576,10,FALSE)</f>
        <v>YES</v>
      </c>
      <c r="S110" s="6" t="s">
        <v>2461</v>
      </c>
      <c r="T110" s="6" t="s">
        <v>2462</v>
      </c>
      <c r="U110" s="6" t="s">
        <v>2463</v>
      </c>
      <c r="V110" s="6" t="s">
        <v>2472</v>
      </c>
      <c r="W110" s="6" t="s">
        <v>2473</v>
      </c>
      <c r="X110" s="8" t="s">
        <v>2593</v>
      </c>
      <c r="Y110" s="6" t="s">
        <v>3238</v>
      </c>
      <c r="Z110" s="6" t="s">
        <v>3266</v>
      </c>
      <c r="AA110" s="37" t="s">
        <v>3664</v>
      </c>
      <c r="AB110" s="39" t="s">
        <v>3665</v>
      </c>
      <c r="AC110" s="37" t="s">
        <v>3666</v>
      </c>
      <c r="AD110" s="37" t="s">
        <v>3667</v>
      </c>
      <c r="AE110" s="37" t="s">
        <v>3668</v>
      </c>
      <c r="AF110" s="37" t="s">
        <v>3669</v>
      </c>
      <c r="AG110" s="37" t="s">
        <v>3670</v>
      </c>
      <c r="AH110" s="37" t="s">
        <v>3671</v>
      </c>
    </row>
    <row r="111" spans="1:34" ht="14.45" hidden="1" customHeight="1" x14ac:dyDescent="0.3">
      <c r="A111" s="6" t="s">
        <v>1044</v>
      </c>
      <c r="B111" s="7">
        <v>46022</v>
      </c>
      <c r="C111" s="6" t="s">
        <v>1038</v>
      </c>
      <c r="D111" s="6" t="s">
        <v>5</v>
      </c>
      <c r="E111" s="6" t="s">
        <v>6</v>
      </c>
      <c r="F111" s="6" t="s">
        <v>3229</v>
      </c>
      <c r="G111" s="8">
        <v>0.601105</v>
      </c>
      <c r="H111" s="8">
        <v>6.9448150000000002</v>
      </c>
      <c r="I111" s="6" t="e">
        <v>#N/A</v>
      </c>
      <c r="J111" s="6" t="s">
        <v>2459</v>
      </c>
      <c r="K111" s="6" t="s">
        <v>2468</v>
      </c>
      <c r="L111" s="6"/>
      <c r="M111" s="6"/>
      <c r="N111" s="6" t="s">
        <v>2468</v>
      </c>
      <c r="O111" s="6" t="s">
        <v>47</v>
      </c>
      <c r="P111" s="6"/>
      <c r="Q111" s="6"/>
      <c r="R111" s="6"/>
      <c r="S111" s="6"/>
      <c r="T111" s="6"/>
      <c r="U111" s="6"/>
      <c r="V111" s="6"/>
      <c r="W111" s="6"/>
      <c r="X111" s="8"/>
      <c r="Y111" s="6" t="s">
        <v>3241</v>
      </c>
      <c r="Z111" s="6"/>
      <c r="AA111" s="37" t="s">
        <v>3626</v>
      </c>
      <c r="AB111" s="38" t="s">
        <v>3627</v>
      </c>
      <c r="AC111" s="37" t="s">
        <v>3633</v>
      </c>
      <c r="AD111" s="37" t="s">
        <v>3628</v>
      </c>
      <c r="AE111" s="37" t="s">
        <v>3629</v>
      </c>
      <c r="AF111" s="39" t="s">
        <v>3630</v>
      </c>
      <c r="AG111" s="37" t="s">
        <v>3631</v>
      </c>
      <c r="AH111" s="37" t="s">
        <v>3632</v>
      </c>
    </row>
    <row r="112" spans="1:34" ht="14.45" hidden="1" customHeight="1" x14ac:dyDescent="0.3">
      <c r="A112" s="6" t="s">
        <v>9</v>
      </c>
      <c r="B112" s="7">
        <v>41609</v>
      </c>
      <c r="C112" s="6" t="s">
        <v>8</v>
      </c>
      <c r="D112" s="6" t="s">
        <v>132</v>
      </c>
      <c r="E112" s="6" t="s">
        <v>133</v>
      </c>
      <c r="F112" s="6" t="s">
        <v>3229</v>
      </c>
      <c r="G112" s="8">
        <v>1.66534</v>
      </c>
      <c r="H112" s="8">
        <v>6.5550699999999997</v>
      </c>
      <c r="I112" s="6" t="s">
        <v>2467</v>
      </c>
      <c r="J112" s="6" t="s">
        <v>2459</v>
      </c>
      <c r="K112" s="6" t="s">
        <v>2468</v>
      </c>
      <c r="L112" s="6" t="s">
        <v>57</v>
      </c>
      <c r="M112" s="6"/>
      <c r="N112" s="6" t="s">
        <v>2468</v>
      </c>
      <c r="O112" s="6" t="s">
        <v>7</v>
      </c>
      <c r="P112" s="6" t="str">
        <f>VLOOKUP(Tableau1[[#This Row],[SITES NAMES]],[1]Feuil1!$1:$1048576,8,FALSE)</f>
        <v>OK</v>
      </c>
      <c r="Q112" s="6" t="str">
        <f>VLOOKUP(Tableau1[[#This Row],[SITES NAMES]],[1]Feuil1!$1:$1048576,9,FALSE)</f>
        <v>NO</v>
      </c>
      <c r="R112" s="6" t="str">
        <f>VLOOKUP(Tableau1[[#This Row],[SITES NAMES]],[1]Feuil1!$1:$1048576,10,FALSE)</f>
        <v>NO</v>
      </c>
      <c r="S112" s="6" t="s">
        <v>2469</v>
      </c>
      <c r="T112" s="6" t="s">
        <v>2470</v>
      </c>
      <c r="U112" s="6" t="s">
        <v>2471</v>
      </c>
      <c r="V112" s="6" t="s">
        <v>2472</v>
      </c>
      <c r="W112" s="6" t="s">
        <v>2473</v>
      </c>
      <c r="X112" s="8" t="s">
        <v>2474</v>
      </c>
      <c r="Y112" s="6" t="s">
        <v>3238</v>
      </c>
      <c r="Z112" s="6" t="s">
        <v>3258</v>
      </c>
      <c r="AA112" s="37" t="s">
        <v>3643</v>
      </c>
      <c r="AB112" s="39" t="s">
        <v>3644</v>
      </c>
      <c r="AC112" s="37" t="s">
        <v>3645</v>
      </c>
      <c r="AD112" s="39" t="s">
        <v>3646</v>
      </c>
      <c r="AE112" s="39" t="s">
        <v>3647</v>
      </c>
      <c r="AF112" s="39" t="s">
        <v>3648</v>
      </c>
      <c r="AG112" s="37" t="s">
        <v>3649</v>
      </c>
      <c r="AH112" s="37" t="s">
        <v>3650</v>
      </c>
    </row>
    <row r="113" spans="1:34" ht="14.45" hidden="1" customHeight="1" x14ac:dyDescent="0.3">
      <c r="A113" s="6" t="s">
        <v>171</v>
      </c>
      <c r="B113" s="7">
        <v>40148</v>
      </c>
      <c r="C113" s="6" t="s">
        <v>170</v>
      </c>
      <c r="D113" s="6" t="s">
        <v>5</v>
      </c>
      <c r="E113" s="6" t="s">
        <v>2333</v>
      </c>
      <c r="F113" s="6" t="s">
        <v>3229</v>
      </c>
      <c r="G113" s="8">
        <v>0.99672799999999995</v>
      </c>
      <c r="H113" s="8">
        <v>7.5085009999999999</v>
      </c>
      <c r="I113" s="6" t="s">
        <v>2467</v>
      </c>
      <c r="J113" s="6" t="s">
        <v>2459</v>
      </c>
      <c r="K113" s="6" t="s">
        <v>2460</v>
      </c>
      <c r="L113" s="6" t="s">
        <v>3475</v>
      </c>
      <c r="M113" s="6" t="s">
        <v>181</v>
      </c>
      <c r="N113" s="6" t="s">
        <v>3268</v>
      </c>
      <c r="O113" s="6" t="s">
        <v>7</v>
      </c>
      <c r="P113" s="6" t="str">
        <f>VLOOKUP(Tableau1[[#This Row],[SITES NAMES]],[1]Feuil1!$1:$1048576,8,FALSE)</f>
        <v>OK</v>
      </c>
      <c r="Q113" s="6" t="str">
        <f>VLOOKUP(Tableau1[[#This Row],[SITES NAMES]],[1]Feuil1!$1:$1048576,9,FALSE)</f>
        <v>NO</v>
      </c>
      <c r="R113" s="6" t="str">
        <f>VLOOKUP(Tableau1[[#This Row],[SITES NAMES]],[1]Feuil1!$1:$1048576,10,FALSE)</f>
        <v>NO</v>
      </c>
      <c r="S113" s="6" t="s">
        <v>2469</v>
      </c>
      <c r="T113" s="6" t="s">
        <v>2470</v>
      </c>
      <c r="U113" s="6" t="s">
        <v>2480</v>
      </c>
      <c r="V113" s="6" t="s">
        <v>2472</v>
      </c>
      <c r="W113" s="6" t="s">
        <v>2473</v>
      </c>
      <c r="X113" s="8" t="s">
        <v>2532</v>
      </c>
      <c r="Y113" s="6" t="s">
        <v>3241</v>
      </c>
      <c r="Z113" s="6"/>
      <c r="AA113" s="37"/>
      <c r="AB113" s="38" t="s">
        <v>3627</v>
      </c>
      <c r="AC113" s="37" t="s">
        <v>3640</v>
      </c>
      <c r="AD113" s="39" t="s">
        <v>3641</v>
      </c>
      <c r="AE113" s="37"/>
      <c r="AF113" s="39" t="s">
        <v>3641</v>
      </c>
      <c r="AG113" s="37"/>
      <c r="AH113" s="37" t="s">
        <v>3642</v>
      </c>
    </row>
    <row r="114" spans="1:34" ht="14.45" hidden="1" customHeight="1" x14ac:dyDescent="0.3">
      <c r="A114" s="6" t="s">
        <v>2363</v>
      </c>
      <c r="B114" s="7">
        <v>45077</v>
      </c>
      <c r="C114" s="6" t="s">
        <v>2362</v>
      </c>
      <c r="D114" s="6" t="s">
        <v>5</v>
      </c>
      <c r="E114" s="6" t="s">
        <v>6</v>
      </c>
      <c r="F114" s="6" t="s">
        <v>3229</v>
      </c>
      <c r="G114" s="8">
        <v>1.3426516666699999</v>
      </c>
      <c r="H114" s="8">
        <v>6.3334583333300003</v>
      </c>
      <c r="I114" s="6" t="s">
        <v>2479</v>
      </c>
      <c r="J114" s="6" t="s">
        <v>2459</v>
      </c>
      <c r="K114" s="6" t="s">
        <v>2468</v>
      </c>
      <c r="L114" s="6" t="s">
        <v>3337</v>
      </c>
      <c r="M114" s="6"/>
      <c r="N114" s="6" t="s">
        <v>2468</v>
      </c>
      <c r="O114" s="6" t="s">
        <v>7</v>
      </c>
      <c r="P114" s="6" t="str">
        <f>VLOOKUP(Tableau1[[#This Row],[SITES NAMES]],[1]Feuil1!$1:$1048576,8,FALSE)</f>
        <v>OK</v>
      </c>
      <c r="Q114" s="6" t="str">
        <f>VLOOKUP(Tableau1[[#This Row],[SITES NAMES]],[1]Feuil1!$1:$1048576,9,FALSE)</f>
        <v>NO</v>
      </c>
      <c r="R114" s="6" t="str">
        <f>VLOOKUP(Tableau1[[#This Row],[SITES NAMES]],[1]Feuil1!$1:$1048576,10,FALSE)</f>
        <v>NO</v>
      </c>
      <c r="S114" s="6" t="s">
        <v>2469</v>
      </c>
      <c r="T114" s="6" t="s">
        <v>2470</v>
      </c>
      <c r="U114" s="6" t="s">
        <v>2480</v>
      </c>
      <c r="V114" s="6" t="s">
        <v>2472</v>
      </c>
      <c r="W114" s="6" t="s">
        <v>2465</v>
      </c>
      <c r="X114" s="8"/>
      <c r="Y114" s="6" t="s">
        <v>3241</v>
      </c>
      <c r="Z114" s="6"/>
      <c r="AA114" s="37" t="s">
        <v>3626</v>
      </c>
      <c r="AB114" s="38" t="s">
        <v>3627</v>
      </c>
      <c r="AC114" s="37" t="s">
        <v>3633</v>
      </c>
      <c r="AD114" s="37" t="s">
        <v>3628</v>
      </c>
      <c r="AE114" s="37" t="s">
        <v>3629</v>
      </c>
      <c r="AF114" s="39" t="s">
        <v>3630</v>
      </c>
      <c r="AG114" s="37" t="s">
        <v>3631</v>
      </c>
      <c r="AH114" s="37" t="s">
        <v>3632</v>
      </c>
    </row>
    <row r="115" spans="1:34" ht="14.45" hidden="1" customHeight="1" x14ac:dyDescent="0.3">
      <c r="A115" s="6" t="s">
        <v>57</v>
      </c>
      <c r="B115" s="7">
        <v>42110</v>
      </c>
      <c r="C115" s="6" t="s">
        <v>56</v>
      </c>
      <c r="D115" s="6" t="s">
        <v>5</v>
      </c>
      <c r="E115" s="6" t="s">
        <v>1003</v>
      </c>
      <c r="F115" s="6" t="s">
        <v>3229</v>
      </c>
      <c r="G115" s="8">
        <v>1.746</v>
      </c>
      <c r="H115" s="8">
        <v>6.4688299999999996</v>
      </c>
      <c r="I115" s="6" t="s">
        <v>2467</v>
      </c>
      <c r="J115" s="6" t="s">
        <v>2459</v>
      </c>
      <c r="K115" s="6" t="s">
        <v>2460</v>
      </c>
      <c r="L115" s="6" t="s">
        <v>61</v>
      </c>
      <c r="M115" s="6" t="s">
        <v>3476</v>
      </c>
      <c r="N115" s="6" t="s">
        <v>3268</v>
      </c>
      <c r="O115" s="6" t="s">
        <v>40</v>
      </c>
      <c r="P115" s="6" t="str">
        <f>VLOOKUP(Tableau1[[#This Row],[SITES NAMES]],[1]Feuil1!$1:$1048576,8,FALSE)</f>
        <v>NOK</v>
      </c>
      <c r="Q115" s="6" t="str">
        <f>VLOOKUP(Tableau1[[#This Row],[SITES NAMES]],[1]Feuil1!$1:$1048576,9,FALSE)</f>
        <v>NO</v>
      </c>
      <c r="R115" s="6" t="str">
        <f>VLOOKUP(Tableau1[[#This Row],[SITES NAMES]],[1]Feuil1!$1:$1048576,10,FALSE)</f>
        <v>NO</v>
      </c>
      <c r="S115" s="6" t="s">
        <v>2469</v>
      </c>
      <c r="T115" s="6" t="s">
        <v>2470</v>
      </c>
      <c r="U115" s="6" t="s">
        <v>2480</v>
      </c>
      <c r="V115" s="6" t="s">
        <v>2472</v>
      </c>
      <c r="W115" s="6" t="s">
        <v>2473</v>
      </c>
      <c r="X115" s="8" t="s">
        <v>2492</v>
      </c>
      <c r="Y115" s="6" t="s">
        <v>3241</v>
      </c>
      <c r="Z115" t="e">
        <f>VLOOKUP(Tableau1[[#This Row],[SITES NAMES]],#REF!,3,FALSE)</f>
        <v>#REF!</v>
      </c>
      <c r="AA115" s="37" t="s">
        <v>3634</v>
      </c>
      <c r="AB115" s="38" t="s">
        <v>3627</v>
      </c>
      <c r="AC115" s="37" t="s">
        <v>3635</v>
      </c>
      <c r="AD115" s="37" t="s">
        <v>3636</v>
      </c>
      <c r="AE115" s="37" t="s">
        <v>3637</v>
      </c>
      <c r="AF115" s="37" t="s">
        <v>3636</v>
      </c>
      <c r="AG115" s="37" t="s">
        <v>3638</v>
      </c>
      <c r="AH115" s="37" t="s">
        <v>3639</v>
      </c>
    </row>
    <row r="116" spans="1:34" ht="14.45" hidden="1" customHeight="1" x14ac:dyDescent="0.25">
      <c r="A116" s="6" t="s">
        <v>1614</v>
      </c>
      <c r="B116" s="7">
        <v>44624</v>
      </c>
      <c r="C116" s="6" t="s">
        <v>1613</v>
      </c>
      <c r="D116" s="6" t="s">
        <v>66</v>
      </c>
      <c r="E116" s="6" t="s">
        <v>3236</v>
      </c>
      <c r="F116" s="6" t="s">
        <v>3229</v>
      </c>
      <c r="G116" s="8">
        <v>1.1753199999999999</v>
      </c>
      <c r="H116" s="8">
        <v>6.2758999900000001</v>
      </c>
      <c r="I116" s="6" t="s">
        <v>2475</v>
      </c>
      <c r="J116" s="6" t="s">
        <v>2459</v>
      </c>
      <c r="K116" s="6" t="s">
        <v>2468</v>
      </c>
      <c r="L116" s="6" t="s">
        <v>3338</v>
      </c>
      <c r="M116" s="6"/>
      <c r="N116" s="6" t="s">
        <v>2468</v>
      </c>
      <c r="O116" s="6" t="s">
        <v>7</v>
      </c>
      <c r="P116" s="6" t="str">
        <f>VLOOKUP(Tableau1[[#This Row],[SITES NAMES]],[1]Feuil1!$1:$1048576,8,FALSE)</f>
        <v>NOK</v>
      </c>
      <c r="Q116" s="6" t="str">
        <f>VLOOKUP(Tableau1[[#This Row],[SITES NAMES]],[1]Feuil1!$1:$1048576,9,FALSE)</f>
        <v>NO</v>
      </c>
      <c r="R116" s="6" t="str">
        <f>VLOOKUP(Tableau1[[#This Row],[SITES NAMES]],[1]Feuil1!$1:$1048576,10,FALSE)</f>
        <v>YES</v>
      </c>
      <c r="S116" s="6" t="s">
        <v>2469</v>
      </c>
      <c r="T116" s="6" t="s">
        <v>2470</v>
      </c>
      <c r="U116" s="6" t="s">
        <v>2480</v>
      </c>
      <c r="V116" s="6" t="s">
        <v>2472</v>
      </c>
      <c r="W116" s="6" t="s">
        <v>2465</v>
      </c>
      <c r="X116" s="8" t="s">
        <v>2983</v>
      </c>
      <c r="Y116" s="6" t="s">
        <v>3238</v>
      </c>
      <c r="Z116" s="6" t="s">
        <v>3263</v>
      </c>
      <c r="AA116" s="35" t="s">
        <v>3616</v>
      </c>
      <c r="AB116" s="35" t="s">
        <v>3608</v>
      </c>
      <c r="AC116" s="35" t="s">
        <v>3619</v>
      </c>
      <c r="AD116" s="35" t="s">
        <v>3610</v>
      </c>
      <c r="AE116" s="35" t="s">
        <v>3610</v>
      </c>
      <c r="AF116" s="35" t="s">
        <v>3611</v>
      </c>
      <c r="AG116" s="35" t="s">
        <v>3612</v>
      </c>
      <c r="AH116" s="35" t="s">
        <v>3620</v>
      </c>
    </row>
    <row r="117" spans="1:34" ht="14.45" hidden="1" customHeight="1" x14ac:dyDescent="0.3">
      <c r="A117" s="6" t="s">
        <v>173</v>
      </c>
      <c r="B117" s="7">
        <v>44702</v>
      </c>
      <c r="C117" s="6" t="s">
        <v>172</v>
      </c>
      <c r="D117" s="6" t="s">
        <v>132</v>
      </c>
      <c r="E117" s="6" t="s">
        <v>133</v>
      </c>
      <c r="F117" s="6" t="s">
        <v>3229</v>
      </c>
      <c r="G117" s="8">
        <v>1.5</v>
      </c>
      <c r="H117" s="8">
        <v>7.71007</v>
      </c>
      <c r="I117" s="6" t="s">
        <v>2477</v>
      </c>
      <c r="J117" s="6" t="s">
        <v>2459</v>
      </c>
      <c r="K117" s="6" t="s">
        <v>2460</v>
      </c>
      <c r="L117" s="6" t="s">
        <v>3339</v>
      </c>
      <c r="M117" s="6"/>
      <c r="N117" s="6" t="s">
        <v>3268</v>
      </c>
      <c r="O117" s="6" t="s">
        <v>40</v>
      </c>
      <c r="P117" s="6" t="str">
        <f>VLOOKUP(Tableau1[[#This Row],[SITES NAMES]],[1]Feuil1!$1:$1048576,8,FALSE)</f>
        <v>OK</v>
      </c>
      <c r="Q117" s="6" t="str">
        <f>VLOOKUP(Tableau1[[#This Row],[SITES NAMES]],[1]Feuil1!$1:$1048576,9,FALSE)</f>
        <v>NO</v>
      </c>
      <c r="R117" s="6" t="str">
        <f>VLOOKUP(Tableau1[[#This Row],[SITES NAMES]],[1]Feuil1!$1:$1048576,10,FALSE)</f>
        <v>YES</v>
      </c>
      <c r="S117" s="6" t="s">
        <v>2469</v>
      </c>
      <c r="T117" s="6" t="s">
        <v>2470</v>
      </c>
      <c r="U117" s="6" t="s">
        <v>2471</v>
      </c>
      <c r="V117" s="6" t="s">
        <v>2472</v>
      </c>
      <c r="W117" s="6" t="s">
        <v>2473</v>
      </c>
      <c r="X117" s="8" t="s">
        <v>2533</v>
      </c>
      <c r="Y117" s="6" t="s">
        <v>3238</v>
      </c>
      <c r="Z117" s="6" t="s">
        <v>3258</v>
      </c>
      <c r="AA117" s="37" t="s">
        <v>3643</v>
      </c>
      <c r="AB117" s="39" t="s">
        <v>3644</v>
      </c>
      <c r="AC117" s="37" t="s">
        <v>3645</v>
      </c>
      <c r="AD117" s="39" t="s">
        <v>3646</v>
      </c>
      <c r="AE117" s="39" t="s">
        <v>3647</v>
      </c>
      <c r="AF117" s="39" t="s">
        <v>3648</v>
      </c>
      <c r="AG117" s="37" t="s">
        <v>3649</v>
      </c>
      <c r="AH117" s="37" t="s">
        <v>3650</v>
      </c>
    </row>
    <row r="118" spans="1:34" ht="14.45" hidden="1" customHeight="1" x14ac:dyDescent="0.3">
      <c r="A118" s="6" t="s">
        <v>1048</v>
      </c>
      <c r="B118" s="7">
        <v>43902</v>
      </c>
      <c r="C118" s="6" t="s">
        <v>1047</v>
      </c>
      <c r="D118" s="6" t="s">
        <v>5</v>
      </c>
      <c r="E118" s="6" t="s">
        <v>1003</v>
      </c>
      <c r="F118" s="6" t="s">
        <v>3229</v>
      </c>
      <c r="G118" s="8">
        <v>0.95013000000000003</v>
      </c>
      <c r="H118" s="8">
        <v>6.9111799999999999</v>
      </c>
      <c r="I118" s="6" t="s">
        <v>2467</v>
      </c>
      <c r="J118" s="6" t="s">
        <v>2459</v>
      </c>
      <c r="K118" s="6" t="s">
        <v>2468</v>
      </c>
      <c r="L118" s="6" t="s">
        <v>2093</v>
      </c>
      <c r="M118" s="6"/>
      <c r="N118" s="6" t="s">
        <v>2468</v>
      </c>
      <c r="O118" s="6" t="s">
        <v>37</v>
      </c>
      <c r="P118" s="6" t="str">
        <f>VLOOKUP(Tableau1[[#This Row],[SITES NAMES]],[1]Feuil1!$1:$1048576,8,FALSE)</f>
        <v>OK</v>
      </c>
      <c r="Q118" s="6" t="str">
        <f>VLOOKUP(Tableau1[[#This Row],[SITES NAMES]],[1]Feuil1!$1:$1048576,9,FALSE)</f>
        <v>NO</v>
      </c>
      <c r="R118" s="6" t="str">
        <f>VLOOKUP(Tableau1[[#This Row],[SITES NAMES]],[1]Feuil1!$1:$1048576,10,FALSE)</f>
        <v>NO</v>
      </c>
      <c r="S118" s="6" t="s">
        <v>2469</v>
      </c>
      <c r="T118" s="6" t="s">
        <v>2470</v>
      </c>
      <c r="U118" s="6" t="s">
        <v>2480</v>
      </c>
      <c r="V118" s="6" t="s">
        <v>2472</v>
      </c>
      <c r="W118" s="6" t="s">
        <v>2473</v>
      </c>
      <c r="X118" s="8" t="s">
        <v>2849</v>
      </c>
      <c r="Y118" s="6" t="s">
        <v>3241</v>
      </c>
      <c r="Z118" s="6"/>
      <c r="AA118" s="37" t="s">
        <v>3634</v>
      </c>
      <c r="AB118" s="38" t="s">
        <v>3627</v>
      </c>
      <c r="AC118" s="37" t="s">
        <v>3635</v>
      </c>
      <c r="AD118" s="37" t="s">
        <v>3636</v>
      </c>
      <c r="AE118" s="37" t="s">
        <v>3637</v>
      </c>
      <c r="AF118" s="37" t="s">
        <v>3636</v>
      </c>
      <c r="AG118" s="37" t="s">
        <v>3638</v>
      </c>
      <c r="AH118" s="37" t="s">
        <v>3639</v>
      </c>
    </row>
    <row r="119" spans="1:34" ht="14.45" hidden="1" customHeight="1" x14ac:dyDescent="0.3">
      <c r="A119" s="6" t="s">
        <v>1050</v>
      </c>
      <c r="B119" s="7">
        <v>41609</v>
      </c>
      <c r="C119" s="6" t="s">
        <v>1049</v>
      </c>
      <c r="D119" s="6" t="s">
        <v>5</v>
      </c>
      <c r="E119" s="6" t="s">
        <v>1003</v>
      </c>
      <c r="F119" s="6" t="s">
        <v>3229</v>
      </c>
      <c r="G119" s="8">
        <v>0.67206999999999995</v>
      </c>
      <c r="H119" s="8">
        <v>6.7754200000000004</v>
      </c>
      <c r="I119" s="6" t="s">
        <v>2467</v>
      </c>
      <c r="J119" s="6" t="s">
        <v>2459</v>
      </c>
      <c r="K119" s="6" t="s">
        <v>2468</v>
      </c>
      <c r="L119" s="6" t="s">
        <v>3340</v>
      </c>
      <c r="M119" s="6"/>
      <c r="N119" s="6" t="s">
        <v>2468</v>
      </c>
      <c r="O119" s="6" t="s">
        <v>7</v>
      </c>
      <c r="P119" s="6" t="str">
        <f>VLOOKUP(Tableau1[[#This Row],[SITES NAMES]],[1]Feuil1!$1:$1048576,8,FALSE)</f>
        <v>NOK</v>
      </c>
      <c r="Q119" s="6" t="str">
        <f>VLOOKUP(Tableau1[[#This Row],[SITES NAMES]],[1]Feuil1!$1:$1048576,9,FALSE)</f>
        <v>NO</v>
      </c>
      <c r="R119" s="6" t="str">
        <f>VLOOKUP(Tableau1[[#This Row],[SITES NAMES]],[1]Feuil1!$1:$1048576,10,FALSE)</f>
        <v>NO</v>
      </c>
      <c r="S119" s="6" t="s">
        <v>2469</v>
      </c>
      <c r="T119" s="6" t="s">
        <v>2470</v>
      </c>
      <c r="U119" s="6" t="s">
        <v>2463</v>
      </c>
      <c r="V119" s="6" t="s">
        <v>2472</v>
      </c>
      <c r="W119" s="6" t="s">
        <v>2473</v>
      </c>
      <c r="X119" s="8" t="s">
        <v>2850</v>
      </c>
      <c r="Y119" s="6" t="s">
        <v>3241</v>
      </c>
      <c r="Z119" s="6"/>
      <c r="AA119" s="37" t="s">
        <v>3634</v>
      </c>
      <c r="AB119" s="38" t="s">
        <v>3627</v>
      </c>
      <c r="AC119" s="37" t="s">
        <v>3635</v>
      </c>
      <c r="AD119" s="37" t="s">
        <v>3636</v>
      </c>
      <c r="AE119" s="37" t="s">
        <v>3637</v>
      </c>
      <c r="AF119" s="37" t="s">
        <v>3636</v>
      </c>
      <c r="AG119" s="37" t="s">
        <v>3638</v>
      </c>
      <c r="AH119" s="37" t="s">
        <v>3639</v>
      </c>
    </row>
    <row r="120" spans="1:34" ht="14.45" hidden="1" customHeight="1" x14ac:dyDescent="0.3">
      <c r="A120" s="6" t="s">
        <v>1052</v>
      </c>
      <c r="B120" s="7">
        <v>41609</v>
      </c>
      <c r="C120" s="6" t="s">
        <v>1051</v>
      </c>
      <c r="D120" s="6" t="s">
        <v>5</v>
      </c>
      <c r="E120" s="6" t="s">
        <v>1003</v>
      </c>
      <c r="F120" s="6" t="s">
        <v>3229</v>
      </c>
      <c r="G120" s="8">
        <v>0.65990000000000004</v>
      </c>
      <c r="H120" s="8">
        <v>6.6537100000000002</v>
      </c>
      <c r="I120" s="6" t="s">
        <v>2467</v>
      </c>
      <c r="J120" s="6" t="s">
        <v>2459</v>
      </c>
      <c r="K120" s="6" t="s">
        <v>2468</v>
      </c>
      <c r="L120" s="6" t="s">
        <v>3341</v>
      </c>
      <c r="M120" s="6"/>
      <c r="N120" s="6" t="s">
        <v>2468</v>
      </c>
      <c r="O120" s="6" t="s">
        <v>40</v>
      </c>
      <c r="P120" s="6" t="str">
        <f>VLOOKUP(Tableau1[[#This Row],[SITES NAMES]],[1]Feuil1!$1:$1048576,8,FALSE)</f>
        <v>NOK</v>
      </c>
      <c r="Q120" s="6" t="str">
        <f>VLOOKUP(Tableau1[[#This Row],[SITES NAMES]],[1]Feuil1!$1:$1048576,9,FALSE)</f>
        <v>NO</v>
      </c>
      <c r="R120" s="6" t="str">
        <f>VLOOKUP(Tableau1[[#This Row],[SITES NAMES]],[1]Feuil1!$1:$1048576,10,FALSE)</f>
        <v>NO</v>
      </c>
      <c r="S120" s="6" t="s">
        <v>2461</v>
      </c>
      <c r="T120" s="6" t="s">
        <v>2462</v>
      </c>
      <c r="U120" s="6" t="s">
        <v>2463</v>
      </c>
      <c r="V120" s="6" t="s">
        <v>2472</v>
      </c>
      <c r="W120" s="6" t="s">
        <v>2473</v>
      </c>
      <c r="X120" s="8" t="s">
        <v>2851</v>
      </c>
      <c r="Y120" s="6" t="s">
        <v>3241</v>
      </c>
      <c r="Z120" s="6"/>
      <c r="AA120" s="37" t="s">
        <v>3634</v>
      </c>
      <c r="AB120" s="38" t="s">
        <v>3627</v>
      </c>
      <c r="AC120" s="37" t="s">
        <v>3635</v>
      </c>
      <c r="AD120" s="37" t="s">
        <v>3636</v>
      </c>
      <c r="AE120" s="37" t="s">
        <v>3637</v>
      </c>
      <c r="AF120" s="37" t="s">
        <v>3636</v>
      </c>
      <c r="AG120" s="37" t="s">
        <v>3638</v>
      </c>
      <c r="AH120" s="37" t="s">
        <v>3639</v>
      </c>
    </row>
    <row r="121" spans="1:34" ht="14.45" hidden="1" customHeight="1" x14ac:dyDescent="0.25">
      <c r="A121" s="6" t="s">
        <v>1358</v>
      </c>
      <c r="B121" s="7">
        <v>39753</v>
      </c>
      <c r="C121" s="6" t="s">
        <v>1357</v>
      </c>
      <c r="D121" s="6" t="s">
        <v>66</v>
      </c>
      <c r="E121" s="6" t="s">
        <v>3231</v>
      </c>
      <c r="F121" s="6" t="s">
        <v>3229</v>
      </c>
      <c r="G121" s="8">
        <v>1.2658510000000001</v>
      </c>
      <c r="H121" s="8">
        <v>6.1394639350000002</v>
      </c>
      <c r="I121" s="6" t="s">
        <v>2475</v>
      </c>
      <c r="J121" s="6" t="s">
        <v>2459</v>
      </c>
      <c r="K121" s="6" t="s">
        <v>2460</v>
      </c>
      <c r="L121" s="6" t="s">
        <v>1865</v>
      </c>
      <c r="M121" s="6" t="s">
        <v>1420</v>
      </c>
      <c r="N121" s="6" t="s">
        <v>3268</v>
      </c>
      <c r="O121" s="6" t="s">
        <v>1206</v>
      </c>
      <c r="P121" s="6"/>
      <c r="Q121" s="6" t="str">
        <f>VLOOKUP(Tableau1[[#This Row],[SITES NAMES]],[1]Feuil1!$1:$1048576,9,FALSE)</f>
        <v>YES</v>
      </c>
      <c r="R121" s="6" t="str">
        <f>VLOOKUP(Tableau1[[#This Row],[SITES NAMES]],[1]Feuil1!$1:$1048576,10,FALSE)</f>
        <v>YES</v>
      </c>
      <c r="S121" s="6" t="s">
        <v>2461</v>
      </c>
      <c r="T121" s="6" t="s">
        <v>2462</v>
      </c>
      <c r="U121" s="6" t="s">
        <v>2463</v>
      </c>
      <c r="V121" s="6" t="s">
        <v>2498</v>
      </c>
      <c r="W121" s="6" t="s">
        <v>2476</v>
      </c>
      <c r="X121" s="8" t="s">
        <v>2931</v>
      </c>
      <c r="Y121" s="6" t="s">
        <v>3238</v>
      </c>
      <c r="Z121" s="6"/>
      <c r="AA121" s="35" t="s">
        <v>3621</v>
      </c>
      <c r="AB121" s="35" t="s">
        <v>3608</v>
      </c>
      <c r="AC121" s="35" t="s">
        <v>3622</v>
      </c>
      <c r="AD121" s="35" t="s">
        <v>3610</v>
      </c>
      <c r="AE121" s="35" t="s">
        <v>3610</v>
      </c>
      <c r="AF121" s="35" t="s">
        <v>3611</v>
      </c>
      <c r="AG121" s="35" t="s">
        <v>3612</v>
      </c>
      <c r="AH121" s="35" t="s">
        <v>3623</v>
      </c>
    </row>
    <row r="122" spans="1:34" ht="14.45" hidden="1" customHeight="1" x14ac:dyDescent="0.3">
      <c r="A122" s="6" t="s">
        <v>1054</v>
      </c>
      <c r="B122" s="7">
        <v>0</v>
      </c>
      <c r="C122" s="6" t="s">
        <v>1053</v>
      </c>
      <c r="D122" s="6" t="s">
        <v>5</v>
      </c>
      <c r="E122" s="6" t="s">
        <v>1003</v>
      </c>
      <c r="F122" s="6" t="s">
        <v>3229</v>
      </c>
      <c r="G122" s="8">
        <v>0.74946990000000002</v>
      </c>
      <c r="H122" s="8">
        <v>6.8725852999999999</v>
      </c>
      <c r="I122" s="6" t="s">
        <v>2486</v>
      </c>
      <c r="J122" s="6" t="s">
        <v>2459</v>
      </c>
      <c r="K122" s="6" t="s">
        <v>2460</v>
      </c>
      <c r="L122" s="6" t="s">
        <v>505</v>
      </c>
      <c r="M122" s="6"/>
      <c r="N122" s="6" t="s">
        <v>3268</v>
      </c>
      <c r="O122" s="6" t="s">
        <v>7</v>
      </c>
      <c r="P122" s="6" t="str">
        <f>VLOOKUP(Tableau1[[#This Row],[SITES NAMES]],[1]Feuil1!$1:$1048576,8,FALSE)</f>
        <v>OK</v>
      </c>
      <c r="Q122" s="6" t="str">
        <f>VLOOKUP(Tableau1[[#This Row],[SITES NAMES]],[1]Feuil1!$1:$1048576,9,FALSE)</f>
        <v>NO</v>
      </c>
      <c r="R122" s="6" t="str">
        <f>VLOOKUP(Tableau1[[#This Row],[SITES NAMES]],[1]Feuil1!$1:$1048576,10,FALSE)</f>
        <v>YES</v>
      </c>
      <c r="S122" s="6" t="s">
        <v>2461</v>
      </c>
      <c r="T122" s="6" t="s">
        <v>2462</v>
      </c>
      <c r="U122" s="6" t="s">
        <v>2463</v>
      </c>
      <c r="V122" s="6" t="s">
        <v>2464</v>
      </c>
      <c r="W122" s="6" t="s">
        <v>2465</v>
      </c>
      <c r="X122" s="8" t="s">
        <v>2852</v>
      </c>
      <c r="Y122" s="6" t="s">
        <v>3241</v>
      </c>
      <c r="Z122" s="6"/>
      <c r="AA122" s="37" t="s">
        <v>3634</v>
      </c>
      <c r="AB122" s="38" t="s">
        <v>3627</v>
      </c>
      <c r="AC122" s="37" t="s">
        <v>3635</v>
      </c>
      <c r="AD122" s="37" t="s">
        <v>3636</v>
      </c>
      <c r="AE122" s="37" t="s">
        <v>3637</v>
      </c>
      <c r="AF122" s="37" t="s">
        <v>3636</v>
      </c>
      <c r="AG122" s="37" t="s">
        <v>3638</v>
      </c>
      <c r="AH122" s="37" t="s">
        <v>3639</v>
      </c>
    </row>
    <row r="123" spans="1:34" ht="14.45" hidden="1" customHeight="1" x14ac:dyDescent="0.3">
      <c r="A123" s="6" t="s">
        <v>1005</v>
      </c>
      <c r="B123" s="7">
        <v>40878</v>
      </c>
      <c r="C123" s="6" t="s">
        <v>1004</v>
      </c>
      <c r="D123" s="6" t="s">
        <v>5</v>
      </c>
      <c r="E123" s="6" t="s">
        <v>1003</v>
      </c>
      <c r="F123" s="18" t="s">
        <v>3230</v>
      </c>
      <c r="G123" s="8">
        <v>0.71936889999999998</v>
      </c>
      <c r="H123" s="8">
        <v>6.8475006</v>
      </c>
      <c r="I123" s="6" t="s">
        <v>2488</v>
      </c>
      <c r="J123" s="6" t="s">
        <v>2459</v>
      </c>
      <c r="K123" s="6" t="s">
        <v>2460</v>
      </c>
      <c r="L123" s="6"/>
      <c r="M123" s="6"/>
      <c r="N123" s="6" t="s">
        <v>3268</v>
      </c>
      <c r="O123" s="6" t="s">
        <v>7</v>
      </c>
      <c r="P123" s="6" t="str">
        <f>VLOOKUP(Tableau1[[#This Row],[SITES NAMES]],[1]Feuil1!$1:$1048576,8,FALSE)</f>
        <v>NOK</v>
      </c>
      <c r="Q123" s="6" t="str">
        <f>VLOOKUP(Tableau1[[#This Row],[SITES NAMES]],[1]Feuil1!$1:$1048576,9,FALSE)</f>
        <v>NO</v>
      </c>
      <c r="R123" s="6" t="str">
        <f>VLOOKUP(Tableau1[[#This Row],[SITES NAMES]],[1]Feuil1!$1:$1048576,10,FALSE)</f>
        <v>YES</v>
      </c>
      <c r="S123" s="6" t="s">
        <v>2461</v>
      </c>
      <c r="T123" s="6" t="s">
        <v>2462</v>
      </c>
      <c r="U123" s="6" t="s">
        <v>2463</v>
      </c>
      <c r="V123" s="6" t="s">
        <v>2478</v>
      </c>
      <c r="W123" s="6" t="s">
        <v>2465</v>
      </c>
      <c r="X123" s="8" t="s">
        <v>2837</v>
      </c>
      <c r="Y123" s="6" t="s">
        <v>3241</v>
      </c>
      <c r="Z123" s="6"/>
      <c r="AA123" s="37" t="s">
        <v>3634</v>
      </c>
      <c r="AB123" s="38" t="s">
        <v>3627</v>
      </c>
      <c r="AC123" s="37" t="s">
        <v>3635</v>
      </c>
      <c r="AD123" s="37" t="s">
        <v>3636</v>
      </c>
      <c r="AE123" s="37" t="s">
        <v>3637</v>
      </c>
      <c r="AF123" s="37" t="s">
        <v>3636</v>
      </c>
      <c r="AG123" s="37" t="s">
        <v>3638</v>
      </c>
      <c r="AH123" s="37" t="s">
        <v>3639</v>
      </c>
    </row>
    <row r="124" spans="1:34" ht="14.45" hidden="1" customHeight="1" x14ac:dyDescent="0.3">
      <c r="A124" s="6" t="s">
        <v>1018</v>
      </c>
      <c r="B124" s="7">
        <v>39455</v>
      </c>
      <c r="C124" s="6" t="s">
        <v>1017</v>
      </c>
      <c r="D124" s="6" t="s">
        <v>5</v>
      </c>
      <c r="E124" s="6" t="s">
        <v>1003</v>
      </c>
      <c r="F124" s="6" t="s">
        <v>3229</v>
      </c>
      <c r="G124" s="8">
        <v>0.84938000000000002</v>
      </c>
      <c r="H124" s="8">
        <v>6.8880100000000004</v>
      </c>
      <c r="I124" s="6" t="s">
        <v>2486</v>
      </c>
      <c r="J124" s="6" t="s">
        <v>2459</v>
      </c>
      <c r="K124" s="6" t="s">
        <v>2460</v>
      </c>
      <c r="L124" s="6"/>
      <c r="M124" s="6"/>
      <c r="N124" s="6" t="s">
        <v>3268</v>
      </c>
      <c r="O124" s="6" t="s">
        <v>18</v>
      </c>
      <c r="P124" s="6" t="str">
        <f>VLOOKUP(Tableau1[[#This Row],[SITES NAMES]],[1]Feuil1!$1:$1048576,8,FALSE)</f>
        <v>OK</v>
      </c>
      <c r="Q124" s="6" t="str">
        <f>VLOOKUP(Tableau1[[#This Row],[SITES NAMES]],[1]Feuil1!$1:$1048576,9,FALSE)</f>
        <v>NO</v>
      </c>
      <c r="R124" s="6" t="str">
        <f>VLOOKUP(Tableau1[[#This Row],[SITES NAMES]],[1]Feuil1!$1:$1048576,10,FALSE)</f>
        <v>YES</v>
      </c>
      <c r="S124" s="6" t="s">
        <v>2461</v>
      </c>
      <c r="T124" s="6" t="s">
        <v>2462</v>
      </c>
      <c r="U124" s="6" t="s">
        <v>2463</v>
      </c>
      <c r="V124" s="6" t="s">
        <v>2472</v>
      </c>
      <c r="W124" s="6" t="s">
        <v>2473</v>
      </c>
      <c r="X124" s="8"/>
      <c r="Y124" s="6" t="s">
        <v>3241</v>
      </c>
      <c r="Z124" s="6"/>
      <c r="AA124" s="37" t="s">
        <v>3634</v>
      </c>
      <c r="AB124" s="38" t="s">
        <v>3627</v>
      </c>
      <c r="AC124" s="37" t="s">
        <v>3635</v>
      </c>
      <c r="AD124" s="37" t="s">
        <v>3636</v>
      </c>
      <c r="AE124" s="37" t="s">
        <v>3637</v>
      </c>
      <c r="AF124" s="37" t="s">
        <v>3636</v>
      </c>
      <c r="AG124" s="37" t="s">
        <v>3638</v>
      </c>
      <c r="AH124" s="37" t="s">
        <v>3639</v>
      </c>
    </row>
    <row r="125" spans="1:34" ht="14.45" hidden="1" customHeight="1" x14ac:dyDescent="0.3">
      <c r="A125" s="6" t="s">
        <v>2177</v>
      </c>
      <c r="B125" s="7">
        <v>40148</v>
      </c>
      <c r="C125" s="6" t="s">
        <v>2176</v>
      </c>
      <c r="D125" s="6" t="s">
        <v>320</v>
      </c>
      <c r="E125" s="6" t="s">
        <v>2141</v>
      </c>
      <c r="F125" s="6" t="s">
        <v>3229</v>
      </c>
      <c r="G125" s="8">
        <v>1.31918</v>
      </c>
      <c r="H125" s="8">
        <v>9.1271000000000004</v>
      </c>
      <c r="I125" s="6" t="s">
        <v>2479</v>
      </c>
      <c r="J125" s="6" t="s">
        <v>2459</v>
      </c>
      <c r="K125" s="6" t="s">
        <v>2468</v>
      </c>
      <c r="L125" s="6" t="s">
        <v>2219</v>
      </c>
      <c r="M125" s="6"/>
      <c r="N125" s="6" t="s">
        <v>2468</v>
      </c>
      <c r="O125" s="6" t="s">
        <v>18</v>
      </c>
      <c r="P125" s="6" t="str">
        <f>VLOOKUP(Tableau1[[#This Row],[SITES NAMES]],[1]Feuil1!$1:$1048576,8,FALSE)</f>
        <v>NOK</v>
      </c>
      <c r="Q125" s="6" t="str">
        <f>VLOOKUP(Tableau1[[#This Row],[SITES NAMES]],[1]Feuil1!$1:$1048576,9,FALSE)</f>
        <v>NO</v>
      </c>
      <c r="R125" s="6" t="str">
        <f>VLOOKUP(Tableau1[[#This Row],[SITES NAMES]],[1]Feuil1!$1:$1048576,10,FALSE)</f>
        <v>NO</v>
      </c>
      <c r="S125" s="6" t="s">
        <v>2469</v>
      </c>
      <c r="T125" s="6" t="s">
        <v>2470</v>
      </c>
      <c r="U125" s="6" t="s">
        <v>2471</v>
      </c>
      <c r="V125" s="6" t="s">
        <v>2472</v>
      </c>
      <c r="W125" s="6" t="s">
        <v>2473</v>
      </c>
      <c r="X125" s="8" t="s">
        <v>3146</v>
      </c>
      <c r="Y125" s="6" t="s">
        <v>3238</v>
      </c>
      <c r="Z125" s="6" t="s">
        <v>3254</v>
      </c>
      <c r="AA125" s="37" t="s">
        <v>3672</v>
      </c>
      <c r="AB125" s="39" t="s">
        <v>3665</v>
      </c>
      <c r="AC125" s="37" t="s">
        <v>3673</v>
      </c>
      <c r="AD125" s="37" t="s">
        <v>3674</v>
      </c>
      <c r="AE125" s="37" t="s">
        <v>3675</v>
      </c>
      <c r="AF125" s="39" t="s">
        <v>3676</v>
      </c>
      <c r="AG125" s="37" t="s">
        <v>3670</v>
      </c>
      <c r="AH125" s="37" t="s">
        <v>3677</v>
      </c>
    </row>
    <row r="126" spans="1:34" ht="14.45" hidden="1" customHeight="1" x14ac:dyDescent="0.3">
      <c r="A126" s="6" t="s">
        <v>771</v>
      </c>
      <c r="B126" s="7">
        <v>43720</v>
      </c>
      <c r="C126" s="6" t="s">
        <v>770</v>
      </c>
      <c r="D126" s="6" t="s">
        <v>657</v>
      </c>
      <c r="E126" s="6" t="s">
        <v>758</v>
      </c>
      <c r="F126" s="6" t="s">
        <v>3229</v>
      </c>
      <c r="G126" s="8">
        <v>0.88273999999999997</v>
      </c>
      <c r="H126" s="8">
        <v>9.8398500000000002</v>
      </c>
      <c r="I126" s="6" t="s">
        <v>2467</v>
      </c>
      <c r="J126" s="6" t="s">
        <v>2459</v>
      </c>
      <c r="K126" s="6" t="s">
        <v>2468</v>
      </c>
      <c r="L126" s="6" t="s">
        <v>3342</v>
      </c>
      <c r="M126" s="6"/>
      <c r="N126" s="6" t="s">
        <v>2468</v>
      </c>
      <c r="O126" s="6" t="s">
        <v>40</v>
      </c>
      <c r="P126" s="6" t="str">
        <f>VLOOKUP(Tableau1[[#This Row],[SITES NAMES]],[1]Feuil1!$1:$1048576,8,FALSE)</f>
        <v>OK</v>
      </c>
      <c r="Q126" s="6" t="str">
        <f>VLOOKUP(Tableau1[[#This Row],[SITES NAMES]],[1]Feuil1!$1:$1048576,9,FALSE)</f>
        <v>NO</v>
      </c>
      <c r="R126" s="6" t="str">
        <f>VLOOKUP(Tableau1[[#This Row],[SITES NAMES]],[1]Feuil1!$1:$1048576,10,FALSE)</f>
        <v>NO</v>
      </c>
      <c r="S126" s="6" t="s">
        <v>2461</v>
      </c>
      <c r="T126" s="6" t="s">
        <v>2462</v>
      </c>
      <c r="U126" s="6" t="s">
        <v>2463</v>
      </c>
      <c r="V126" s="6" t="s">
        <v>2472</v>
      </c>
      <c r="W126" s="6" t="s">
        <v>2473</v>
      </c>
      <c r="X126" s="8" t="s">
        <v>2759</v>
      </c>
      <c r="Y126" s="6" t="s">
        <v>3239</v>
      </c>
      <c r="Z126" s="6" t="s">
        <v>3253</v>
      </c>
      <c r="AA126" s="37" t="s">
        <v>3687</v>
      </c>
      <c r="AB126" s="38" t="s">
        <v>3683</v>
      </c>
      <c r="AC126" s="37" t="s">
        <v>3688</v>
      </c>
      <c r="AD126" s="37" t="s">
        <v>3687</v>
      </c>
      <c r="AE126" s="37" t="s">
        <v>3689</v>
      </c>
      <c r="AF126" s="39" t="s">
        <v>3690</v>
      </c>
      <c r="AG126" s="40" t="s">
        <v>3685</v>
      </c>
      <c r="AH126" s="37" t="s">
        <v>3691</v>
      </c>
    </row>
    <row r="127" spans="1:34" ht="14.45" hidden="1" customHeight="1" x14ac:dyDescent="0.3">
      <c r="A127" s="6" t="s">
        <v>1007</v>
      </c>
      <c r="B127" s="7">
        <v>41458</v>
      </c>
      <c r="C127" s="6" t="s">
        <v>1006</v>
      </c>
      <c r="D127" s="6" t="s">
        <v>5</v>
      </c>
      <c r="E127" s="6" t="s">
        <v>1003</v>
      </c>
      <c r="F127" s="6" t="s">
        <v>3229</v>
      </c>
      <c r="G127" s="8">
        <v>0.73300790000000005</v>
      </c>
      <c r="H127" s="8">
        <v>6.8942109</v>
      </c>
      <c r="I127" s="6" t="s">
        <v>2488</v>
      </c>
      <c r="J127" s="6" t="s">
        <v>2459</v>
      </c>
      <c r="K127" s="6" t="s">
        <v>2468</v>
      </c>
      <c r="L127" s="6" t="s">
        <v>3343</v>
      </c>
      <c r="M127" s="6"/>
      <c r="N127" s="6" t="s">
        <v>2468</v>
      </c>
      <c r="O127" s="6" t="s">
        <v>7</v>
      </c>
      <c r="P127" s="6" t="str">
        <f>VLOOKUP(Tableau1[[#This Row],[SITES NAMES]],[1]Feuil1!$1:$1048576,8,FALSE)</f>
        <v>OK</v>
      </c>
      <c r="Q127" s="6" t="str">
        <f>VLOOKUP(Tableau1[[#This Row],[SITES NAMES]],[1]Feuil1!$1:$1048576,9,FALSE)</f>
        <v>NO</v>
      </c>
      <c r="R127" s="6" t="str">
        <f>VLOOKUP(Tableau1[[#This Row],[SITES NAMES]],[1]Feuil1!$1:$1048576,10,FALSE)</f>
        <v>NO</v>
      </c>
      <c r="S127" s="6" t="s">
        <v>2469</v>
      </c>
      <c r="T127" s="6" t="s">
        <v>2470</v>
      </c>
      <c r="U127" s="6" t="s">
        <v>2471</v>
      </c>
      <c r="V127" s="6" t="s">
        <v>2472</v>
      </c>
      <c r="W127" s="6" t="s">
        <v>2465</v>
      </c>
      <c r="X127" s="8" t="s">
        <v>2838</v>
      </c>
      <c r="Y127" s="6" t="s">
        <v>3241</v>
      </c>
      <c r="Z127" s="6"/>
      <c r="AA127" s="37" t="s">
        <v>3634</v>
      </c>
      <c r="AB127" s="38" t="s">
        <v>3627</v>
      </c>
      <c r="AC127" s="37" t="s">
        <v>3635</v>
      </c>
      <c r="AD127" s="37" t="s">
        <v>3636</v>
      </c>
      <c r="AE127" s="37" t="s">
        <v>3637</v>
      </c>
      <c r="AF127" s="37" t="s">
        <v>3636</v>
      </c>
      <c r="AG127" s="37" t="s">
        <v>3638</v>
      </c>
      <c r="AH127" s="37" t="s">
        <v>3639</v>
      </c>
    </row>
    <row r="128" spans="1:34" ht="14.45" hidden="1" customHeight="1" x14ac:dyDescent="0.25">
      <c r="A128" s="6" t="s">
        <v>1360</v>
      </c>
      <c r="B128" s="7">
        <v>44091</v>
      </c>
      <c r="C128" s="6" t="s">
        <v>1359</v>
      </c>
      <c r="D128" s="6" t="s">
        <v>66</v>
      </c>
      <c r="E128" s="6" t="s">
        <v>3231</v>
      </c>
      <c r="F128" s="6" t="s">
        <v>3229</v>
      </c>
      <c r="G128" s="8">
        <v>1.43777</v>
      </c>
      <c r="H128" s="8">
        <v>6.2055899999999999</v>
      </c>
      <c r="I128" s="6" t="s">
        <v>2497</v>
      </c>
      <c r="J128" s="6" t="s">
        <v>2459</v>
      </c>
      <c r="K128" s="6" t="s">
        <v>2460</v>
      </c>
      <c r="L128" s="6"/>
      <c r="M128" s="6"/>
      <c r="N128" s="6" t="s">
        <v>3268</v>
      </c>
      <c r="O128" s="6" t="s">
        <v>7</v>
      </c>
      <c r="P128" s="6" t="str">
        <f>VLOOKUP(Tableau1[[#This Row],[SITES NAMES]],[1]Feuil1!$1:$1048576,8,FALSE)</f>
        <v>OK</v>
      </c>
      <c r="Q128" s="6" t="str">
        <f>VLOOKUP(Tableau1[[#This Row],[SITES NAMES]],[1]Feuil1!$1:$1048576,9,FALSE)</f>
        <v>NO</v>
      </c>
      <c r="R128" s="6" t="str">
        <f>VLOOKUP(Tableau1[[#This Row],[SITES NAMES]],[1]Feuil1!$1:$1048576,10,FALSE)</f>
        <v>NO</v>
      </c>
      <c r="S128" s="6" t="s">
        <v>2461</v>
      </c>
      <c r="T128" s="6" t="s">
        <v>2462</v>
      </c>
      <c r="U128" s="6" t="s">
        <v>2463</v>
      </c>
      <c r="V128" s="6" t="s">
        <v>2472</v>
      </c>
      <c r="W128" s="6" t="s">
        <v>2473</v>
      </c>
      <c r="X128" s="8" t="s">
        <v>2932</v>
      </c>
      <c r="Y128" s="6" t="s">
        <v>3238</v>
      </c>
      <c r="Z128" s="6"/>
      <c r="AA128" s="35" t="s">
        <v>3621</v>
      </c>
      <c r="AB128" s="35" t="s">
        <v>3608</v>
      </c>
      <c r="AC128" s="35" t="s">
        <v>3622</v>
      </c>
      <c r="AD128" s="35" t="s">
        <v>3610</v>
      </c>
      <c r="AE128" s="35" t="s">
        <v>3610</v>
      </c>
      <c r="AF128" s="35" t="s">
        <v>3611</v>
      </c>
      <c r="AG128" s="35" t="s">
        <v>3612</v>
      </c>
      <c r="AH128" s="35" t="s">
        <v>3623</v>
      </c>
    </row>
    <row r="129" spans="1:34" ht="14.45" hidden="1" customHeight="1" x14ac:dyDescent="0.25">
      <c r="A129" s="6" t="s">
        <v>1863</v>
      </c>
      <c r="B129" s="7">
        <v>40626</v>
      </c>
      <c r="C129" s="6" t="s">
        <v>1862</v>
      </c>
      <c r="D129" s="6" t="s">
        <v>66</v>
      </c>
      <c r="E129" s="6" t="s">
        <v>3232</v>
      </c>
      <c r="F129" s="6" t="s">
        <v>3229</v>
      </c>
      <c r="G129" s="8">
        <v>1.234048</v>
      </c>
      <c r="H129" s="8">
        <v>6.1341243609999996</v>
      </c>
      <c r="I129" s="6" t="s">
        <v>2497</v>
      </c>
      <c r="J129" s="6" t="s">
        <v>2459</v>
      </c>
      <c r="K129" s="6" t="s">
        <v>2460</v>
      </c>
      <c r="L129" s="6"/>
      <c r="M129" s="6"/>
      <c r="N129" s="6" t="s">
        <v>3268</v>
      </c>
      <c r="O129" s="6" t="s">
        <v>1206</v>
      </c>
      <c r="P129" s="6"/>
      <c r="Q129" s="6" t="str">
        <f>VLOOKUP(Tableau1[[#This Row],[SITES NAMES]],[1]Feuil1!$1:$1048576,9,FALSE)</f>
        <v>YES</v>
      </c>
      <c r="R129" s="6" t="str">
        <f>VLOOKUP(Tableau1[[#This Row],[SITES NAMES]],[1]Feuil1!$1:$1048576,10,FALSE)</f>
        <v>NO</v>
      </c>
      <c r="S129" s="6" t="s">
        <v>2469</v>
      </c>
      <c r="T129" s="6" t="s">
        <v>2470</v>
      </c>
      <c r="U129" s="6" t="s">
        <v>2480</v>
      </c>
      <c r="V129" s="6" t="s">
        <v>2464</v>
      </c>
      <c r="W129" s="6" t="s">
        <v>2476</v>
      </c>
      <c r="X129" s="8"/>
      <c r="Y129" s="6" t="s">
        <v>3238</v>
      </c>
      <c r="Z129" s="6" t="s">
        <v>3262</v>
      </c>
      <c r="AA129" s="35" t="s">
        <v>3621</v>
      </c>
      <c r="AB129" s="35" t="s">
        <v>3608</v>
      </c>
      <c r="AC129" s="35" t="s">
        <v>3624</v>
      </c>
      <c r="AD129" s="35" t="s">
        <v>3610</v>
      </c>
      <c r="AE129" s="35" t="s">
        <v>3610</v>
      </c>
      <c r="AF129" s="35" t="s">
        <v>3611</v>
      </c>
      <c r="AG129" s="35" t="s">
        <v>3612</v>
      </c>
      <c r="AH129" s="35" t="s">
        <v>3625</v>
      </c>
    </row>
    <row r="130" spans="1:34" ht="14.45" hidden="1" customHeight="1" x14ac:dyDescent="0.25">
      <c r="A130" s="6" t="s">
        <v>1362</v>
      </c>
      <c r="B130" s="7">
        <v>43800</v>
      </c>
      <c r="C130" s="6" t="s">
        <v>1361</v>
      </c>
      <c r="D130" s="6" t="s">
        <v>66</v>
      </c>
      <c r="E130" s="6" t="s">
        <v>3231</v>
      </c>
      <c r="F130" s="6" t="s">
        <v>3229</v>
      </c>
      <c r="G130" s="8">
        <v>1.28461</v>
      </c>
      <c r="H130" s="8">
        <v>6.1600260000000002</v>
      </c>
      <c r="I130" s="6" t="s">
        <v>2497</v>
      </c>
      <c r="J130" s="6" t="s">
        <v>2459</v>
      </c>
      <c r="K130" s="6" t="s">
        <v>2460</v>
      </c>
      <c r="L130" s="6"/>
      <c r="M130" s="6"/>
      <c r="N130" s="6" t="s">
        <v>3268</v>
      </c>
      <c r="O130" s="6" t="s">
        <v>7</v>
      </c>
      <c r="P130" s="6" t="str">
        <f>VLOOKUP(Tableau1[[#This Row],[SITES NAMES]],[1]Feuil1!$1:$1048576,8,FALSE)</f>
        <v>OK</v>
      </c>
      <c r="Q130" s="6" t="str">
        <f>VLOOKUP(Tableau1[[#This Row],[SITES NAMES]],[1]Feuil1!$1:$1048576,9,FALSE)</f>
        <v>NO</v>
      </c>
      <c r="R130" s="6" t="str">
        <f>VLOOKUP(Tableau1[[#This Row],[SITES NAMES]],[1]Feuil1!$1:$1048576,10,FALSE)</f>
        <v>NO</v>
      </c>
      <c r="S130" s="6" t="s">
        <v>2469</v>
      </c>
      <c r="T130" s="6" t="s">
        <v>2470</v>
      </c>
      <c r="U130" s="6" t="s">
        <v>2480</v>
      </c>
      <c r="V130" s="6" t="s">
        <v>2498</v>
      </c>
      <c r="W130" s="6" t="s">
        <v>2476</v>
      </c>
      <c r="X130" s="8"/>
      <c r="Y130" s="6" t="s">
        <v>3238</v>
      </c>
      <c r="Z130" s="6"/>
      <c r="AA130" s="35" t="s">
        <v>3621</v>
      </c>
      <c r="AB130" s="35" t="s">
        <v>3608</v>
      </c>
      <c r="AC130" s="35" t="s">
        <v>3622</v>
      </c>
      <c r="AD130" s="35" t="s">
        <v>3610</v>
      </c>
      <c r="AE130" s="35" t="s">
        <v>3610</v>
      </c>
      <c r="AF130" s="35" t="s">
        <v>3611</v>
      </c>
      <c r="AG130" s="35" t="s">
        <v>3612</v>
      </c>
      <c r="AH130" s="35" t="s">
        <v>3623</v>
      </c>
    </row>
    <row r="131" spans="1:34" ht="14.45" hidden="1" customHeight="1" x14ac:dyDescent="0.3">
      <c r="A131" s="6" t="s">
        <v>2077</v>
      </c>
      <c r="B131" s="7">
        <v>40513</v>
      </c>
      <c r="C131" s="6" t="s">
        <v>2076</v>
      </c>
      <c r="D131" s="6" t="s">
        <v>132</v>
      </c>
      <c r="E131" s="6" t="s">
        <v>2049</v>
      </c>
      <c r="F131" s="6" t="s">
        <v>3229</v>
      </c>
      <c r="G131" s="8">
        <v>1.4973559999999999</v>
      </c>
      <c r="H131" s="8">
        <v>7.2361789999999999</v>
      </c>
      <c r="I131" s="6" t="s">
        <v>2467</v>
      </c>
      <c r="J131" s="6" t="s">
        <v>2459</v>
      </c>
      <c r="K131" s="6" t="s">
        <v>2468</v>
      </c>
      <c r="L131" s="6" t="s">
        <v>3344</v>
      </c>
      <c r="M131" s="6"/>
      <c r="N131" s="6" t="s">
        <v>2468</v>
      </c>
      <c r="O131" s="6" t="s">
        <v>40</v>
      </c>
      <c r="P131" s="6" t="str">
        <f>VLOOKUP(Tableau1[[#This Row],[SITES NAMES]],[1]Feuil1!$1:$1048576,8,FALSE)</f>
        <v>OK</v>
      </c>
      <c r="Q131" s="6" t="str">
        <f>VLOOKUP(Tableau1[[#This Row],[SITES NAMES]],[1]Feuil1!$1:$1048576,9,FALSE)</f>
        <v>NO</v>
      </c>
      <c r="R131" s="6" t="str">
        <f>VLOOKUP(Tableau1[[#This Row],[SITES NAMES]],[1]Feuil1!$1:$1048576,10,FALSE)</f>
        <v>NO</v>
      </c>
      <c r="S131" s="6" t="s">
        <v>2461</v>
      </c>
      <c r="T131" s="6" t="s">
        <v>2462</v>
      </c>
      <c r="U131" s="6" t="s">
        <v>2463</v>
      </c>
      <c r="V131" s="6" t="s">
        <v>2472</v>
      </c>
      <c r="W131" s="6" t="s">
        <v>2473</v>
      </c>
      <c r="X131" s="8" t="s">
        <v>3105</v>
      </c>
      <c r="Y131" s="6" t="s">
        <v>3238</v>
      </c>
      <c r="Z131" s="6" t="s">
        <v>3257</v>
      </c>
      <c r="AA131" s="45" t="s">
        <v>3656</v>
      </c>
      <c r="AB131" s="39" t="s">
        <v>3644</v>
      </c>
      <c r="AC131" s="45" t="s">
        <v>3657</v>
      </c>
      <c r="AD131" s="37" t="s">
        <v>3658</v>
      </c>
      <c r="AE131" s="37" t="s">
        <v>3647</v>
      </c>
      <c r="AF131" s="39" t="s">
        <v>3648</v>
      </c>
      <c r="AG131" s="37" t="s">
        <v>3649</v>
      </c>
      <c r="AH131" s="37" t="s">
        <v>3659</v>
      </c>
    </row>
    <row r="132" spans="1:34" ht="14.45" hidden="1" customHeight="1" x14ac:dyDescent="0.3">
      <c r="A132" s="6" t="s">
        <v>2335</v>
      </c>
      <c r="B132" s="7">
        <v>40165</v>
      </c>
      <c r="C132" s="6" t="s">
        <v>2334</v>
      </c>
      <c r="D132" s="6" t="s">
        <v>5</v>
      </c>
      <c r="E132" s="6" t="s">
        <v>2333</v>
      </c>
      <c r="F132" s="6" t="s">
        <v>3229</v>
      </c>
      <c r="G132" s="8">
        <v>1.3976280000000001</v>
      </c>
      <c r="H132" s="8">
        <v>6.6059380000000001</v>
      </c>
      <c r="I132" s="6" t="s">
        <v>2467</v>
      </c>
      <c r="J132" s="6" t="s">
        <v>2459</v>
      </c>
      <c r="K132" s="6" t="s">
        <v>2460</v>
      </c>
      <c r="L132" s="6"/>
      <c r="M132" s="6"/>
      <c r="N132" s="6" t="s">
        <v>3268</v>
      </c>
      <c r="O132" s="6" t="s">
        <v>7</v>
      </c>
      <c r="P132" s="6" t="str">
        <f>VLOOKUP(Tableau1[[#This Row],[SITES NAMES]],[1]Feuil1!$1:$1048576,8,FALSE)</f>
        <v>OK</v>
      </c>
      <c r="Q132" s="6" t="str">
        <f>VLOOKUP(Tableau1[[#This Row],[SITES NAMES]],[1]Feuil1!$1:$1048576,9,FALSE)</f>
        <v>YES</v>
      </c>
      <c r="R132" s="6" t="str">
        <f>VLOOKUP(Tableau1[[#This Row],[SITES NAMES]],[1]Feuil1!$1:$1048576,10,FALSE)</f>
        <v>NO</v>
      </c>
      <c r="S132" s="6" t="s">
        <v>2461</v>
      </c>
      <c r="T132" s="6" t="s">
        <v>2462</v>
      </c>
      <c r="U132" s="6" t="s">
        <v>2463</v>
      </c>
      <c r="V132" s="6" t="s">
        <v>2464</v>
      </c>
      <c r="W132" s="6" t="s">
        <v>2465</v>
      </c>
      <c r="X132" s="8" t="s">
        <v>3199</v>
      </c>
      <c r="Y132" s="6" t="s">
        <v>3241</v>
      </c>
      <c r="Z132" t="e">
        <f>VLOOKUP(Tableau1[[#This Row],[SITES NAMES]],#REF!,3,FALSE)</f>
        <v>#REF!</v>
      </c>
      <c r="AA132" s="37"/>
      <c r="AB132" s="38" t="s">
        <v>3627</v>
      </c>
      <c r="AC132" s="37" t="s">
        <v>3640</v>
      </c>
      <c r="AD132" s="39" t="s">
        <v>3641</v>
      </c>
      <c r="AE132" s="37"/>
      <c r="AF132" s="39" t="s">
        <v>3641</v>
      </c>
      <c r="AG132" s="37"/>
      <c r="AH132" s="37" t="s">
        <v>3642</v>
      </c>
    </row>
    <row r="133" spans="1:34" ht="14.45" hidden="1" customHeight="1" x14ac:dyDescent="0.25">
      <c r="A133" s="6" t="s">
        <v>1865</v>
      </c>
      <c r="B133" s="7">
        <v>42746</v>
      </c>
      <c r="C133" s="6" t="s">
        <v>1864</v>
      </c>
      <c r="D133" s="6" t="s">
        <v>66</v>
      </c>
      <c r="E133" s="6" t="s">
        <v>3232</v>
      </c>
      <c r="F133" s="6" t="s">
        <v>3229</v>
      </c>
      <c r="G133" s="8">
        <v>1.2563333329999999</v>
      </c>
      <c r="H133" s="8">
        <v>6.1407499999999997</v>
      </c>
      <c r="I133" s="6" t="s">
        <v>2497</v>
      </c>
      <c r="J133" s="6" t="s">
        <v>2459</v>
      </c>
      <c r="K133" s="6" t="s">
        <v>2460</v>
      </c>
      <c r="L133" s="6"/>
      <c r="M133" s="6"/>
      <c r="N133" s="6" t="s">
        <v>3268</v>
      </c>
      <c r="O133" s="6" t="s">
        <v>7</v>
      </c>
      <c r="P133" s="6"/>
      <c r="Q133" s="6" t="str">
        <f>VLOOKUP(Tableau1[[#This Row],[SITES NAMES]],[1]Feuil1!$1:$1048576,9,FALSE)</f>
        <v>NO</v>
      </c>
      <c r="R133" s="6" t="str">
        <f>VLOOKUP(Tableau1[[#This Row],[SITES NAMES]],[1]Feuil1!$1:$1048576,10,FALSE)</f>
        <v>NO</v>
      </c>
      <c r="S133" s="6" t="s">
        <v>2469</v>
      </c>
      <c r="T133" s="6" t="s">
        <v>2470</v>
      </c>
      <c r="U133" s="6" t="s">
        <v>2480</v>
      </c>
      <c r="V133" s="6" t="s">
        <v>2464</v>
      </c>
      <c r="W133" s="6" t="s">
        <v>2476</v>
      </c>
      <c r="X133" s="8"/>
      <c r="Y133" s="6" t="s">
        <v>3238</v>
      </c>
      <c r="Z133" s="6" t="s">
        <v>3262</v>
      </c>
      <c r="AA133" s="35" t="s">
        <v>3621</v>
      </c>
      <c r="AB133" s="35" t="s">
        <v>3608</v>
      </c>
      <c r="AC133" s="35" t="s">
        <v>3624</v>
      </c>
      <c r="AD133" s="35" t="s">
        <v>3610</v>
      </c>
      <c r="AE133" s="35" t="s">
        <v>3610</v>
      </c>
      <c r="AF133" s="35" t="s">
        <v>3611</v>
      </c>
      <c r="AG133" s="35" t="s">
        <v>3612</v>
      </c>
      <c r="AH133" s="35" t="s">
        <v>3625</v>
      </c>
    </row>
    <row r="134" spans="1:34" ht="14.45" hidden="1" customHeight="1" x14ac:dyDescent="0.25">
      <c r="A134" s="6" t="s">
        <v>1867</v>
      </c>
      <c r="B134" s="7">
        <v>45113</v>
      </c>
      <c r="C134" s="6" t="s">
        <v>1866</v>
      </c>
      <c r="D134" s="6" t="s">
        <v>66</v>
      </c>
      <c r="E134" s="6" t="s">
        <v>3232</v>
      </c>
      <c r="F134" s="6" t="s">
        <v>3229</v>
      </c>
      <c r="G134" s="8">
        <v>1.2510810000000001</v>
      </c>
      <c r="H134" s="8">
        <v>6.1390000000000002</v>
      </c>
      <c r="I134" s="14" t="s">
        <v>2475</v>
      </c>
      <c r="J134" s="6" t="s">
        <v>2459</v>
      </c>
      <c r="K134" s="6" t="s">
        <v>2460</v>
      </c>
      <c r="L134" s="6" t="s">
        <v>3345</v>
      </c>
      <c r="M134" s="6"/>
      <c r="N134" s="6" t="s">
        <v>3268</v>
      </c>
      <c r="O134" s="6" t="s">
        <v>7</v>
      </c>
      <c r="P134" s="6" t="str">
        <f>VLOOKUP(Tableau1[[#This Row],[SITES NAMES]],[1]Feuil1!$1:$1048576,8,FALSE)</f>
        <v>OK</v>
      </c>
      <c r="Q134" s="6" t="str">
        <f>VLOOKUP(Tableau1[[#This Row],[SITES NAMES]],[1]Feuil1!$1:$1048576,9,FALSE)</f>
        <v>NO</v>
      </c>
      <c r="R134" s="6" t="str">
        <f>VLOOKUP(Tableau1[[#This Row],[SITES NAMES]],[1]Feuil1!$1:$1048576,10,FALSE)</f>
        <v>NO</v>
      </c>
      <c r="S134" s="6" t="s">
        <v>2469</v>
      </c>
      <c r="T134" s="6" t="s">
        <v>2470</v>
      </c>
      <c r="U134" s="6" t="s">
        <v>2480</v>
      </c>
      <c r="V134" s="6" t="s">
        <v>2472</v>
      </c>
      <c r="W134" s="6" t="s">
        <v>2476</v>
      </c>
      <c r="X134" s="8">
        <v>70997319</v>
      </c>
      <c r="Y134" s="6" t="s">
        <v>3238</v>
      </c>
      <c r="Z134" s="6" t="s">
        <v>3262</v>
      </c>
      <c r="AA134" s="35" t="s">
        <v>3621</v>
      </c>
      <c r="AB134" s="35" t="s">
        <v>3608</v>
      </c>
      <c r="AC134" s="35" t="s">
        <v>3624</v>
      </c>
      <c r="AD134" s="35" t="s">
        <v>3610</v>
      </c>
      <c r="AE134" s="35" t="s">
        <v>3610</v>
      </c>
      <c r="AF134" s="35" t="s">
        <v>3611</v>
      </c>
      <c r="AG134" s="35" t="s">
        <v>3612</v>
      </c>
      <c r="AH134" s="35" t="s">
        <v>3625</v>
      </c>
    </row>
    <row r="135" spans="1:34" ht="14.45" hidden="1" customHeight="1" x14ac:dyDescent="0.3">
      <c r="A135" s="6" t="s">
        <v>175</v>
      </c>
      <c r="B135" s="7">
        <v>44009</v>
      </c>
      <c r="C135" s="6" t="s">
        <v>174</v>
      </c>
      <c r="D135" s="6" t="s">
        <v>132</v>
      </c>
      <c r="E135" s="6" t="s">
        <v>133</v>
      </c>
      <c r="F135" s="6" t="s">
        <v>3229</v>
      </c>
      <c r="G135" s="8">
        <v>1.5917429999999999</v>
      </c>
      <c r="H135" s="8">
        <v>7.4631639999999999</v>
      </c>
      <c r="I135" s="6" t="s">
        <v>2467</v>
      </c>
      <c r="J135" s="6" t="s">
        <v>2459</v>
      </c>
      <c r="K135" s="6" t="s">
        <v>2460</v>
      </c>
      <c r="L135" s="6" t="s">
        <v>137</v>
      </c>
      <c r="M135" s="6"/>
      <c r="N135" s="6" t="s">
        <v>3268</v>
      </c>
      <c r="O135" s="6" t="s">
        <v>37</v>
      </c>
      <c r="P135" s="6" t="str">
        <f>VLOOKUP(Tableau1[[#This Row],[SITES NAMES]],[1]Feuil1!$1:$1048576,8,FALSE)</f>
        <v>OK</v>
      </c>
      <c r="Q135" s="6" t="str">
        <f>VLOOKUP(Tableau1[[#This Row],[SITES NAMES]],[1]Feuil1!$1:$1048576,9,FALSE)</f>
        <v>NO</v>
      </c>
      <c r="R135" s="6" t="str">
        <f>VLOOKUP(Tableau1[[#This Row],[SITES NAMES]],[1]Feuil1!$1:$1048576,10,FALSE)</f>
        <v>NO</v>
      </c>
      <c r="S135" s="6" t="s">
        <v>2469</v>
      </c>
      <c r="T135" s="6" t="s">
        <v>2470</v>
      </c>
      <c r="U135" s="6" t="s">
        <v>2480</v>
      </c>
      <c r="V135" s="6" t="s">
        <v>2472</v>
      </c>
      <c r="W135" s="6" t="s">
        <v>2473</v>
      </c>
      <c r="X135" s="8" t="s">
        <v>2534</v>
      </c>
      <c r="Y135" s="6" t="s">
        <v>3238</v>
      </c>
      <c r="Z135" s="6" t="s">
        <v>3258</v>
      </c>
      <c r="AA135" s="37" t="s">
        <v>3643</v>
      </c>
      <c r="AB135" s="39" t="s">
        <v>3644</v>
      </c>
      <c r="AC135" s="37" t="s">
        <v>3645</v>
      </c>
      <c r="AD135" s="39" t="s">
        <v>3646</v>
      </c>
      <c r="AE135" s="39" t="s">
        <v>3647</v>
      </c>
      <c r="AF135" s="39" t="s">
        <v>3648</v>
      </c>
      <c r="AG135" s="37" t="s">
        <v>3649</v>
      </c>
      <c r="AH135" s="37" t="s">
        <v>3650</v>
      </c>
    </row>
    <row r="136" spans="1:34" ht="14.45" hidden="1" customHeight="1" x14ac:dyDescent="0.25">
      <c r="A136" s="6" t="s">
        <v>1602</v>
      </c>
      <c r="B136" s="7">
        <v>46022</v>
      </c>
      <c r="C136" s="6" t="s">
        <v>1601</v>
      </c>
      <c r="D136" s="6" t="s">
        <v>66</v>
      </c>
      <c r="E136" s="6" t="s">
        <v>3236</v>
      </c>
      <c r="F136" s="6" t="s">
        <v>3229</v>
      </c>
      <c r="G136" s="8">
        <v>1.1643600000000001</v>
      </c>
      <c r="H136" s="8">
        <v>6.2707249999999997</v>
      </c>
      <c r="I136" s="14" t="e">
        <v>#N/A</v>
      </c>
      <c r="J136" s="6" t="s">
        <v>2459</v>
      </c>
      <c r="K136" s="6" t="s">
        <v>2468</v>
      </c>
      <c r="L136" s="6"/>
      <c r="M136" s="6"/>
      <c r="N136" s="6" t="s">
        <v>2468</v>
      </c>
      <c r="O136" s="6" t="s">
        <v>47</v>
      </c>
      <c r="P136" s="6"/>
      <c r="Q136" s="6"/>
      <c r="R136" s="6"/>
      <c r="S136" s="6"/>
      <c r="T136" s="6"/>
      <c r="U136" s="6"/>
      <c r="V136" s="6"/>
      <c r="W136" s="6"/>
      <c r="X136" s="8"/>
      <c r="Y136" s="6" t="s">
        <v>3238</v>
      </c>
      <c r="Z136" s="6" t="s">
        <v>3263</v>
      </c>
      <c r="AA136" s="35" t="s">
        <v>3616</v>
      </c>
      <c r="AB136" s="35" t="s">
        <v>3608</v>
      </c>
      <c r="AC136" s="35" t="s">
        <v>3619</v>
      </c>
      <c r="AD136" s="35" t="s">
        <v>3610</v>
      </c>
      <c r="AE136" s="35" t="s">
        <v>3610</v>
      </c>
      <c r="AF136" s="35" t="s">
        <v>3611</v>
      </c>
      <c r="AG136" s="35" t="s">
        <v>3612</v>
      </c>
      <c r="AH136" s="35" t="s">
        <v>3620</v>
      </c>
    </row>
    <row r="137" spans="1:34" ht="14.45" hidden="1" customHeight="1" x14ac:dyDescent="0.3">
      <c r="A137" s="6" t="s">
        <v>287</v>
      </c>
      <c r="B137" s="7">
        <v>40673</v>
      </c>
      <c r="C137" s="6" t="s">
        <v>286</v>
      </c>
      <c r="D137" s="6" t="s">
        <v>132</v>
      </c>
      <c r="E137" s="6" t="s">
        <v>251</v>
      </c>
      <c r="F137" s="6" t="s">
        <v>3229</v>
      </c>
      <c r="G137" s="8">
        <v>0.66122999999999998</v>
      </c>
      <c r="H137" s="8">
        <v>7.8089700000000004</v>
      </c>
      <c r="I137" s="6" t="s">
        <v>2467</v>
      </c>
      <c r="J137" s="6" t="s">
        <v>2459</v>
      </c>
      <c r="K137" s="6" t="s">
        <v>2468</v>
      </c>
      <c r="L137" s="6" t="s">
        <v>309</v>
      </c>
      <c r="M137" s="6"/>
      <c r="N137" s="6" t="s">
        <v>2468</v>
      </c>
      <c r="O137" s="6" t="s">
        <v>40</v>
      </c>
      <c r="P137" s="6" t="str">
        <f>VLOOKUP(Tableau1[[#This Row],[SITES NAMES]],[1]Feuil1!$1:$1048576,8,FALSE)</f>
        <v>OK</v>
      </c>
      <c r="Q137" s="6" t="str">
        <f>VLOOKUP(Tableau1[[#This Row],[SITES NAMES]],[1]Feuil1!$1:$1048576,9,FALSE)</f>
        <v>NO</v>
      </c>
      <c r="R137" s="6" t="str">
        <f>VLOOKUP(Tableau1[[#This Row],[SITES NAMES]],[1]Feuil1!$1:$1048576,10,FALSE)</f>
        <v>NO</v>
      </c>
      <c r="S137" s="6" t="s">
        <v>2461</v>
      </c>
      <c r="T137" s="6" t="s">
        <v>2470</v>
      </c>
      <c r="U137" s="6" t="s">
        <v>2463</v>
      </c>
      <c r="V137" s="6" t="s">
        <v>2472</v>
      </c>
      <c r="W137" s="6" t="s">
        <v>2473</v>
      </c>
      <c r="X137" s="8" t="s">
        <v>2577</v>
      </c>
      <c r="Y137" s="6" t="s">
        <v>3238</v>
      </c>
      <c r="Z137" s="6"/>
      <c r="AA137" s="37" t="s">
        <v>3651</v>
      </c>
      <c r="AB137" s="39" t="s">
        <v>3644</v>
      </c>
      <c r="AC137" s="45" t="s">
        <v>3652</v>
      </c>
      <c r="AD137" s="39" t="s">
        <v>3646</v>
      </c>
      <c r="AE137" s="37" t="s">
        <v>3653</v>
      </c>
      <c r="AF137" s="37" t="s">
        <v>3654</v>
      </c>
      <c r="AG137" s="37" t="s">
        <v>3649</v>
      </c>
      <c r="AH137" s="37" t="s">
        <v>3655</v>
      </c>
    </row>
    <row r="138" spans="1:34" ht="14.45" hidden="1" customHeight="1" x14ac:dyDescent="0.3">
      <c r="A138" s="6" t="s">
        <v>646</v>
      </c>
      <c r="B138" s="7">
        <v>39975</v>
      </c>
      <c r="C138" s="6" t="s">
        <v>645</v>
      </c>
      <c r="D138" s="6" t="s">
        <v>132</v>
      </c>
      <c r="E138" s="6" t="s">
        <v>565</v>
      </c>
      <c r="F138" s="6" t="s">
        <v>3229</v>
      </c>
      <c r="G138" s="8">
        <v>1.0481100000000001</v>
      </c>
      <c r="H138" s="8">
        <v>7.9497900000000001</v>
      </c>
      <c r="I138" s="6" t="s">
        <v>2467</v>
      </c>
      <c r="J138" s="6" t="s">
        <v>2459</v>
      </c>
      <c r="K138" s="6" t="s">
        <v>2468</v>
      </c>
      <c r="L138" s="6" t="s">
        <v>3346</v>
      </c>
      <c r="M138" s="6"/>
      <c r="N138" s="6" t="s">
        <v>2468</v>
      </c>
      <c r="O138" s="6" t="s">
        <v>40</v>
      </c>
      <c r="P138" s="6" t="str">
        <f>VLOOKUP(Tableau1[[#This Row],[SITES NAMES]],[1]Feuil1!$1:$1048576,8,FALSE)</f>
        <v>NOK</v>
      </c>
      <c r="Q138" s="6" t="str">
        <f>VLOOKUP(Tableau1[[#This Row],[SITES NAMES]],[1]Feuil1!$1:$1048576,9,FALSE)</f>
        <v>NO</v>
      </c>
      <c r="R138" s="6" t="str">
        <f>VLOOKUP(Tableau1[[#This Row],[SITES NAMES]],[1]Feuil1!$1:$1048576,10,FALSE)</f>
        <v>NO</v>
      </c>
      <c r="S138" s="6" t="s">
        <v>2469</v>
      </c>
      <c r="T138" s="6" t="s">
        <v>2470</v>
      </c>
      <c r="U138" s="6" t="s">
        <v>2471</v>
      </c>
      <c r="V138" s="6" t="s">
        <v>2472</v>
      </c>
      <c r="W138" s="6" t="s">
        <v>2473</v>
      </c>
      <c r="X138" s="8" t="s">
        <v>2708</v>
      </c>
      <c r="Y138" s="6" t="s">
        <v>3238</v>
      </c>
      <c r="Z138" s="6" t="s">
        <v>3254</v>
      </c>
      <c r="AA138" s="37" t="s">
        <v>3660</v>
      </c>
      <c r="AB138" s="39" t="s">
        <v>3644</v>
      </c>
      <c r="AC138" s="37" t="s">
        <v>3661</v>
      </c>
      <c r="AD138" s="39" t="s">
        <v>3646</v>
      </c>
      <c r="AE138" s="39" t="s">
        <v>3647</v>
      </c>
      <c r="AF138" s="39" t="s">
        <v>3662</v>
      </c>
      <c r="AG138" s="37" t="s">
        <v>3649</v>
      </c>
      <c r="AH138" s="37" t="s">
        <v>3663</v>
      </c>
    </row>
    <row r="139" spans="1:34" ht="15.75" hidden="1" x14ac:dyDescent="0.3">
      <c r="A139" s="6" t="s">
        <v>2179</v>
      </c>
      <c r="B139" s="7">
        <v>40714</v>
      </c>
      <c r="C139" s="6" t="s">
        <v>2178</v>
      </c>
      <c r="D139" s="6" t="s">
        <v>320</v>
      </c>
      <c r="E139" s="6" t="s">
        <v>2141</v>
      </c>
      <c r="F139" s="6" t="s">
        <v>3229</v>
      </c>
      <c r="G139" s="8">
        <v>1.1242293000000001</v>
      </c>
      <c r="H139" s="8">
        <v>8.9999503999999995</v>
      </c>
      <c r="I139" s="6" t="s">
        <v>2486</v>
      </c>
      <c r="J139" s="6" t="s">
        <v>2459</v>
      </c>
      <c r="K139" s="6" t="s">
        <v>2460</v>
      </c>
      <c r="L139" s="6"/>
      <c r="M139" s="6"/>
      <c r="N139" s="21" t="s">
        <v>3269</v>
      </c>
      <c r="O139" s="6" t="s">
        <v>291</v>
      </c>
      <c r="P139" s="6" t="str">
        <f>VLOOKUP(Tableau1[[#This Row],[SITES NAMES]],[1]Feuil1!$1:$1048576,8,FALSE)</f>
        <v>OK</v>
      </c>
      <c r="Q139" s="6" t="str">
        <f>VLOOKUP(Tableau1[[#This Row],[SITES NAMES]],[1]Feuil1!$1:$1048576,9,FALSE)</f>
        <v>NO</v>
      </c>
      <c r="R139" s="6" t="str">
        <f>VLOOKUP(Tableau1[[#This Row],[SITES NAMES]],[1]Feuil1!$1:$1048576,10,FALSE)</f>
        <v>NO</v>
      </c>
      <c r="S139" s="6" t="s">
        <v>2469</v>
      </c>
      <c r="T139" s="6" t="s">
        <v>2470</v>
      </c>
      <c r="U139" s="6" t="s">
        <v>2471</v>
      </c>
      <c r="V139" s="6" t="s">
        <v>2478</v>
      </c>
      <c r="W139" s="6" t="s">
        <v>2473</v>
      </c>
      <c r="X139" s="8"/>
      <c r="Y139" s="6" t="s">
        <v>3238</v>
      </c>
      <c r="Z139" s="6" t="s">
        <v>3254</v>
      </c>
      <c r="AA139" s="37" t="s">
        <v>3672</v>
      </c>
      <c r="AB139" s="39" t="s">
        <v>3665</v>
      </c>
      <c r="AC139" s="37" t="s">
        <v>3673</v>
      </c>
      <c r="AD139" s="37" t="s">
        <v>3674</v>
      </c>
      <c r="AE139" s="37" t="s">
        <v>3675</v>
      </c>
      <c r="AF139" s="39" t="s">
        <v>3676</v>
      </c>
      <c r="AG139" s="37" t="s">
        <v>3670</v>
      </c>
      <c r="AH139" s="37" t="s">
        <v>3677</v>
      </c>
    </row>
    <row r="140" spans="1:34" ht="14.45" hidden="1" customHeight="1" x14ac:dyDescent="0.3">
      <c r="A140" s="6" t="s">
        <v>2181</v>
      </c>
      <c r="B140" s="7">
        <v>44644</v>
      </c>
      <c r="C140" s="6" t="s">
        <v>2180</v>
      </c>
      <c r="D140" s="6" t="s">
        <v>320</v>
      </c>
      <c r="E140" s="6" t="s">
        <v>2141</v>
      </c>
      <c r="F140" s="6" t="s">
        <v>3229</v>
      </c>
      <c r="G140" s="8">
        <v>1.116101</v>
      </c>
      <c r="H140" s="8">
        <v>8.9920120000000008</v>
      </c>
      <c r="I140" s="6" t="s">
        <v>2475</v>
      </c>
      <c r="J140" s="6" t="s">
        <v>2459</v>
      </c>
      <c r="K140" s="6" t="s">
        <v>2460</v>
      </c>
      <c r="L140" s="6" t="s">
        <v>3347</v>
      </c>
      <c r="M140" s="6"/>
      <c r="N140" s="6" t="s">
        <v>3268</v>
      </c>
      <c r="O140" s="6" t="s">
        <v>7</v>
      </c>
      <c r="P140" s="6" t="str">
        <f>VLOOKUP(Tableau1[[#This Row],[SITES NAMES]],[1]Feuil1!$1:$1048576,8,FALSE)</f>
        <v>OK</v>
      </c>
      <c r="Q140" s="6" t="str">
        <f>VLOOKUP(Tableau1[[#This Row],[SITES NAMES]],[1]Feuil1!$1:$1048576,9,FALSE)</f>
        <v>NO</v>
      </c>
      <c r="R140" s="6" t="str">
        <f>VLOOKUP(Tableau1[[#This Row],[SITES NAMES]],[1]Feuil1!$1:$1048576,10,FALSE)</f>
        <v>YES</v>
      </c>
      <c r="S140" s="6" t="s">
        <v>2469</v>
      </c>
      <c r="T140" s="6" t="s">
        <v>2470</v>
      </c>
      <c r="U140" s="6" t="s">
        <v>2480</v>
      </c>
      <c r="V140" s="6" t="s">
        <v>2472</v>
      </c>
      <c r="W140" s="6" t="s">
        <v>2476</v>
      </c>
      <c r="X140" s="8" t="s">
        <v>3147</v>
      </c>
      <c r="Y140" s="6" t="s">
        <v>3238</v>
      </c>
      <c r="Z140" s="6" t="s">
        <v>3254</v>
      </c>
      <c r="AA140" s="37" t="s">
        <v>3672</v>
      </c>
      <c r="AB140" s="39" t="s">
        <v>3665</v>
      </c>
      <c r="AC140" s="37" t="s">
        <v>3673</v>
      </c>
      <c r="AD140" s="37" t="s">
        <v>3674</v>
      </c>
      <c r="AE140" s="37" t="s">
        <v>3675</v>
      </c>
      <c r="AF140" s="39" t="s">
        <v>3676</v>
      </c>
      <c r="AG140" s="37" t="s">
        <v>3670</v>
      </c>
      <c r="AH140" s="37" t="s">
        <v>3677</v>
      </c>
    </row>
    <row r="141" spans="1:34" ht="14.45" hidden="1" customHeight="1" x14ac:dyDescent="0.25">
      <c r="A141" s="6" t="s">
        <v>1745</v>
      </c>
      <c r="B141" s="7">
        <v>44611</v>
      </c>
      <c r="C141" s="6" t="s">
        <v>1744</v>
      </c>
      <c r="D141" s="6" t="s">
        <v>66</v>
      </c>
      <c r="E141" s="6" t="s">
        <v>3234</v>
      </c>
      <c r="F141" s="6" t="s">
        <v>3229</v>
      </c>
      <c r="G141" s="8">
        <v>1.1116999999999999</v>
      </c>
      <c r="H141" s="8">
        <v>6.1794900000000004</v>
      </c>
      <c r="I141" s="6" t="s">
        <v>2475</v>
      </c>
      <c r="J141" s="6" t="s">
        <v>2459</v>
      </c>
      <c r="K141" s="6" t="s">
        <v>2460</v>
      </c>
      <c r="L141" s="6"/>
      <c r="M141" s="6"/>
      <c r="N141" s="6" t="s">
        <v>3268</v>
      </c>
      <c r="O141" s="6" t="s">
        <v>7</v>
      </c>
      <c r="P141" s="6" t="str">
        <f>VLOOKUP(Tableau1[[#This Row],[SITES NAMES]],[1]Feuil1!$1:$1048576,8,FALSE)</f>
        <v>OK</v>
      </c>
      <c r="Q141" s="6" t="str">
        <f>VLOOKUP(Tableau1[[#This Row],[SITES NAMES]],[1]Feuil1!$1:$1048576,9,FALSE)</f>
        <v>NO</v>
      </c>
      <c r="R141" s="6" t="str">
        <f>VLOOKUP(Tableau1[[#This Row],[SITES NAMES]],[1]Feuil1!$1:$1048576,10,FALSE)</f>
        <v>YES</v>
      </c>
      <c r="S141" s="6" t="s">
        <v>2469</v>
      </c>
      <c r="T141" s="6" t="s">
        <v>2470</v>
      </c>
      <c r="U141" s="6" t="s">
        <v>2471</v>
      </c>
      <c r="V141" s="6" t="s">
        <v>2464</v>
      </c>
      <c r="W141" s="6" t="s">
        <v>2465</v>
      </c>
      <c r="X141" s="8" t="s">
        <v>3012</v>
      </c>
      <c r="Y141" s="6" t="s">
        <v>3238</v>
      </c>
      <c r="Z141" s="6" t="s">
        <v>3265</v>
      </c>
      <c r="AA141" s="35" t="s">
        <v>3607</v>
      </c>
      <c r="AB141" s="35" t="s">
        <v>3608</v>
      </c>
      <c r="AC141" s="35" t="s">
        <v>3614</v>
      </c>
      <c r="AD141" s="35" t="s">
        <v>3610</v>
      </c>
      <c r="AE141" s="35" t="s">
        <v>3610</v>
      </c>
      <c r="AF141" s="35" t="s">
        <v>3611</v>
      </c>
      <c r="AG141" s="35" t="s">
        <v>3612</v>
      </c>
      <c r="AH141" s="35" t="s">
        <v>3615</v>
      </c>
    </row>
    <row r="142" spans="1:34" ht="14.45" hidden="1" customHeight="1" x14ac:dyDescent="0.3">
      <c r="A142" s="6" t="s">
        <v>2298</v>
      </c>
      <c r="B142" s="7">
        <v>45022</v>
      </c>
      <c r="C142" s="6" t="s">
        <v>2297</v>
      </c>
      <c r="D142" s="6" t="s">
        <v>320</v>
      </c>
      <c r="E142" s="6" t="s">
        <v>2274</v>
      </c>
      <c r="F142" s="6" t="s">
        <v>3229</v>
      </c>
      <c r="G142" s="8">
        <v>1.5924830000000001</v>
      </c>
      <c r="H142" s="8">
        <v>8.4647830000000006</v>
      </c>
      <c r="I142" s="6" t="s">
        <v>2477</v>
      </c>
      <c r="J142" s="6" t="s">
        <v>2459</v>
      </c>
      <c r="K142" s="6" t="s">
        <v>2468</v>
      </c>
      <c r="L142" s="6" t="s">
        <v>3330</v>
      </c>
      <c r="M142" s="6"/>
      <c r="N142" s="6" t="s">
        <v>2468</v>
      </c>
      <c r="O142" s="6" t="s">
        <v>40</v>
      </c>
      <c r="P142" s="6" t="str">
        <f>VLOOKUP(Tableau1[[#This Row],[SITES NAMES]],[1]Feuil1!$1:$1048576,8,FALSE)</f>
        <v>NOK</v>
      </c>
      <c r="Q142" s="6" t="str">
        <f>VLOOKUP(Tableau1[[#This Row],[SITES NAMES]],[1]Feuil1!$1:$1048576,9,FALSE)</f>
        <v>NO</v>
      </c>
      <c r="R142" s="6" t="str">
        <f>VLOOKUP(Tableau1[[#This Row],[SITES NAMES]],[1]Feuil1!$1:$1048576,10,FALSE)</f>
        <v>YES</v>
      </c>
      <c r="S142" s="6" t="s">
        <v>2469</v>
      </c>
      <c r="T142" s="6" t="s">
        <v>2470</v>
      </c>
      <c r="U142" s="6" t="s">
        <v>2471</v>
      </c>
      <c r="V142" s="6" t="s">
        <v>2472</v>
      </c>
      <c r="W142" s="6" t="s">
        <v>2473</v>
      </c>
      <c r="X142" s="8">
        <v>70997263</v>
      </c>
      <c r="Y142" s="6" t="s">
        <v>3238</v>
      </c>
      <c r="Z142" s="6" t="s">
        <v>3254</v>
      </c>
      <c r="AA142" s="37" t="s">
        <v>3678</v>
      </c>
      <c r="AB142" s="39" t="s">
        <v>3665</v>
      </c>
      <c r="AC142" s="37" t="s">
        <v>3679</v>
      </c>
      <c r="AD142" s="37" t="s">
        <v>3678</v>
      </c>
      <c r="AE142" s="37" t="s">
        <v>3680</v>
      </c>
      <c r="AF142" s="39" t="s">
        <v>3676</v>
      </c>
      <c r="AG142" s="37" t="s">
        <v>3670</v>
      </c>
      <c r="AH142" s="37" t="s">
        <v>3681</v>
      </c>
    </row>
    <row r="143" spans="1:34" ht="14.45" hidden="1" customHeight="1" x14ac:dyDescent="0.25">
      <c r="A143" s="6" t="s">
        <v>1616</v>
      </c>
      <c r="B143" s="7">
        <v>44065</v>
      </c>
      <c r="C143" s="6" t="s">
        <v>1615</v>
      </c>
      <c r="D143" s="6" t="s">
        <v>66</v>
      </c>
      <c r="E143" s="6" t="s">
        <v>3236</v>
      </c>
      <c r="F143" s="6" t="s">
        <v>3229</v>
      </c>
      <c r="G143" s="8">
        <v>1.056497</v>
      </c>
      <c r="H143" s="8">
        <v>6.2428999999999997</v>
      </c>
      <c r="I143" s="6" t="s">
        <v>2475</v>
      </c>
      <c r="J143" s="6" t="s">
        <v>2459</v>
      </c>
      <c r="K143" s="6" t="s">
        <v>2460</v>
      </c>
      <c r="L143" s="6"/>
      <c r="M143" s="6"/>
      <c r="N143" s="6" t="s">
        <v>3268</v>
      </c>
      <c r="O143" s="6" t="s">
        <v>7</v>
      </c>
      <c r="P143" s="6" t="str">
        <f>VLOOKUP(Tableau1[[#This Row],[SITES NAMES]],[1]Feuil1!$1:$1048576,8,FALSE)</f>
        <v>OK</v>
      </c>
      <c r="Q143" s="6" t="str">
        <f>VLOOKUP(Tableau1[[#This Row],[SITES NAMES]],[1]Feuil1!$1:$1048576,9,FALSE)</f>
        <v>NO</v>
      </c>
      <c r="R143" s="6" t="str">
        <f>VLOOKUP(Tableau1[[#This Row],[SITES NAMES]],[1]Feuil1!$1:$1048576,10,FALSE)</f>
        <v>NO</v>
      </c>
      <c r="S143" s="6" t="s">
        <v>2461</v>
      </c>
      <c r="T143" s="6" t="s">
        <v>2470</v>
      </c>
      <c r="U143" s="6" t="s">
        <v>2463</v>
      </c>
      <c r="V143" s="6" t="s">
        <v>2464</v>
      </c>
      <c r="W143" s="6" t="s">
        <v>2465</v>
      </c>
      <c r="X143" s="8" t="s">
        <v>2984</v>
      </c>
      <c r="Y143" s="6" t="s">
        <v>3238</v>
      </c>
      <c r="Z143" s="6" t="s">
        <v>3263</v>
      </c>
      <c r="AA143" s="35" t="s">
        <v>3616</v>
      </c>
      <c r="AB143" s="35" t="s">
        <v>3608</v>
      </c>
      <c r="AC143" s="35" t="s">
        <v>3619</v>
      </c>
      <c r="AD143" s="35" t="s">
        <v>3610</v>
      </c>
      <c r="AE143" s="35" t="s">
        <v>3610</v>
      </c>
      <c r="AF143" s="35" t="s">
        <v>3611</v>
      </c>
      <c r="AG143" s="35" t="s">
        <v>3612</v>
      </c>
      <c r="AH143" s="35" t="s">
        <v>3620</v>
      </c>
    </row>
    <row r="144" spans="1:34" ht="14.45" hidden="1" customHeight="1" x14ac:dyDescent="0.25">
      <c r="A144" s="6" t="s">
        <v>1618</v>
      </c>
      <c r="B144" s="7">
        <v>44548</v>
      </c>
      <c r="C144" s="6" t="s">
        <v>1617</v>
      </c>
      <c r="D144" s="6" t="s">
        <v>66</v>
      </c>
      <c r="E144" s="6" t="s">
        <v>3236</v>
      </c>
      <c r="F144" s="6" t="s">
        <v>3229</v>
      </c>
      <c r="G144" s="8">
        <v>1.0915950000000001</v>
      </c>
      <c r="H144" s="8">
        <v>6.2594029999999998</v>
      </c>
      <c r="I144" s="6" t="s">
        <v>2475</v>
      </c>
      <c r="J144" s="6" t="s">
        <v>2459</v>
      </c>
      <c r="K144" s="6" t="s">
        <v>2460</v>
      </c>
      <c r="L144" s="6"/>
      <c r="M144" s="6"/>
      <c r="N144" s="6" t="s">
        <v>3268</v>
      </c>
      <c r="O144" s="6" t="s">
        <v>7</v>
      </c>
      <c r="P144" s="6" t="str">
        <f>VLOOKUP(Tableau1[[#This Row],[SITES NAMES]],[1]Feuil1!$1:$1048576,8,FALSE)</f>
        <v>OK</v>
      </c>
      <c r="Q144" s="6" t="str">
        <f>VLOOKUP(Tableau1[[#This Row],[SITES NAMES]],[1]Feuil1!$1:$1048576,9,FALSE)</f>
        <v>NO</v>
      </c>
      <c r="R144" s="6" t="str">
        <f>VLOOKUP(Tableau1[[#This Row],[SITES NAMES]],[1]Feuil1!$1:$1048576,10,FALSE)</f>
        <v>YES</v>
      </c>
      <c r="S144" s="6" t="s">
        <v>2461</v>
      </c>
      <c r="T144" s="6" t="s">
        <v>2462</v>
      </c>
      <c r="U144" s="6" t="s">
        <v>2463</v>
      </c>
      <c r="V144" s="6" t="s">
        <v>2464</v>
      </c>
      <c r="W144" s="6" t="s">
        <v>2465</v>
      </c>
      <c r="X144" s="8" t="s">
        <v>2985</v>
      </c>
      <c r="Y144" s="6" t="s">
        <v>3238</v>
      </c>
      <c r="Z144" s="6" t="s">
        <v>3263</v>
      </c>
      <c r="AA144" s="35" t="s">
        <v>3616</v>
      </c>
      <c r="AB144" s="35" t="s">
        <v>3608</v>
      </c>
      <c r="AC144" s="35" t="s">
        <v>3619</v>
      </c>
      <c r="AD144" s="35" t="s">
        <v>3610</v>
      </c>
      <c r="AE144" s="35" t="s">
        <v>3610</v>
      </c>
      <c r="AF144" s="35" t="s">
        <v>3611</v>
      </c>
      <c r="AG144" s="35" t="s">
        <v>3612</v>
      </c>
      <c r="AH144" s="35" t="s">
        <v>3620</v>
      </c>
    </row>
    <row r="145" spans="1:34" ht="14.45" hidden="1" customHeight="1" x14ac:dyDescent="0.3">
      <c r="A145" s="6" t="s">
        <v>59</v>
      </c>
      <c r="B145" s="7">
        <v>45259</v>
      </c>
      <c r="C145" s="6" t="s">
        <v>58</v>
      </c>
      <c r="D145" s="6" t="s">
        <v>5</v>
      </c>
      <c r="E145" s="6" t="s">
        <v>6</v>
      </c>
      <c r="F145" s="6" t="s">
        <v>3229</v>
      </c>
      <c r="G145" s="8">
        <v>1.1791700000000001</v>
      </c>
      <c r="H145" s="8">
        <v>6.1814900000000002</v>
      </c>
      <c r="I145" s="6" t="s">
        <v>2477</v>
      </c>
      <c r="J145" s="6" t="s">
        <v>2459</v>
      </c>
      <c r="K145" s="6" t="s">
        <v>2468</v>
      </c>
      <c r="L145" s="6"/>
      <c r="M145" s="6"/>
      <c r="N145" s="6" t="s">
        <v>2468</v>
      </c>
      <c r="O145" s="6" t="s">
        <v>40</v>
      </c>
      <c r="P145" s="6" t="str">
        <f>VLOOKUP(Tableau1[[#This Row],[SITES NAMES]],[1]Feuil1!$1:$1048576,8,FALSE)</f>
        <v>OK</v>
      </c>
      <c r="Q145" s="6" t="str">
        <f>VLOOKUP(Tableau1[[#This Row],[SITES NAMES]],[1]Feuil1!$1:$1048576,9,FALSE)</f>
        <v>NO</v>
      </c>
      <c r="R145" s="6" t="str">
        <f>VLOOKUP(Tableau1[[#This Row],[SITES NAMES]],[1]Feuil1!$1:$1048576,10,FALSE)</f>
        <v>NO</v>
      </c>
      <c r="S145" s="6" t="s">
        <v>2469</v>
      </c>
      <c r="T145" s="6" t="s">
        <v>2470</v>
      </c>
      <c r="U145" s="6" t="s">
        <v>2480</v>
      </c>
      <c r="V145" s="6" t="s">
        <v>2472</v>
      </c>
      <c r="W145" s="6" t="s">
        <v>2493</v>
      </c>
      <c r="X145" s="8">
        <v>70997393</v>
      </c>
      <c r="Y145" s="6" t="s">
        <v>3241</v>
      </c>
      <c r="Z145" t="e">
        <f>VLOOKUP(Tableau1[[#This Row],[SITES NAMES]],#REF!,3,FALSE)</f>
        <v>#REF!</v>
      </c>
      <c r="AA145" s="37" t="s">
        <v>3626</v>
      </c>
      <c r="AB145" s="38" t="s">
        <v>3627</v>
      </c>
      <c r="AC145" s="37" t="s">
        <v>3633</v>
      </c>
      <c r="AD145" s="37" t="s">
        <v>3628</v>
      </c>
      <c r="AE145" s="37" t="s">
        <v>3629</v>
      </c>
      <c r="AF145" s="39" t="s">
        <v>3630</v>
      </c>
      <c r="AG145" s="37" t="s">
        <v>3631</v>
      </c>
      <c r="AH145" s="37" t="s">
        <v>3632</v>
      </c>
    </row>
    <row r="146" spans="1:34" ht="14.45" hidden="1" customHeight="1" x14ac:dyDescent="0.3">
      <c r="A146" s="6" t="s">
        <v>61</v>
      </c>
      <c r="B146" s="7">
        <v>38322</v>
      </c>
      <c r="C146" s="6" t="s">
        <v>60</v>
      </c>
      <c r="D146" s="6" t="s">
        <v>5</v>
      </c>
      <c r="E146" s="6" t="s">
        <v>6</v>
      </c>
      <c r="F146" s="6" t="s">
        <v>3229</v>
      </c>
      <c r="G146" s="8">
        <v>1.70384</v>
      </c>
      <c r="H146" s="8">
        <v>6.3291300000000001</v>
      </c>
      <c r="I146" s="6" t="s">
        <v>2479</v>
      </c>
      <c r="J146" s="6" t="s">
        <v>2459</v>
      </c>
      <c r="K146" s="6" t="s">
        <v>2460</v>
      </c>
      <c r="L146" s="6"/>
      <c r="M146" s="6"/>
      <c r="N146" s="6" t="s">
        <v>3268</v>
      </c>
      <c r="O146" s="6" t="s">
        <v>7</v>
      </c>
      <c r="P146" s="6" t="str">
        <f>VLOOKUP(Tableau1[[#This Row],[SITES NAMES]],[1]Feuil1!$1:$1048576,8,FALSE)</f>
        <v>OK</v>
      </c>
      <c r="Q146" s="6" t="str">
        <f>VLOOKUP(Tableau1[[#This Row],[SITES NAMES]],[1]Feuil1!$1:$1048576,9,FALSE)</f>
        <v>NO</v>
      </c>
      <c r="R146" s="6" t="str">
        <f>VLOOKUP(Tableau1[[#This Row],[SITES NAMES]],[1]Feuil1!$1:$1048576,10,FALSE)</f>
        <v>NO</v>
      </c>
      <c r="S146" s="6" t="s">
        <v>2469</v>
      </c>
      <c r="T146" s="6" t="s">
        <v>2470</v>
      </c>
      <c r="U146" s="6" t="s">
        <v>2471</v>
      </c>
      <c r="V146" s="6" t="s">
        <v>2472</v>
      </c>
      <c r="W146" s="6" t="s">
        <v>2465</v>
      </c>
      <c r="X146" s="8" t="s">
        <v>2494</v>
      </c>
      <c r="Y146" s="6" t="s">
        <v>3241</v>
      </c>
      <c r="Z146" t="e">
        <f>VLOOKUP(Tableau1[[#This Row],[SITES NAMES]],#REF!,3,FALSE)</f>
        <v>#REF!</v>
      </c>
      <c r="AA146" s="37" t="s">
        <v>3626</v>
      </c>
      <c r="AB146" s="38" t="s">
        <v>3627</v>
      </c>
      <c r="AC146" s="37" t="s">
        <v>3633</v>
      </c>
      <c r="AD146" s="37" t="s">
        <v>3628</v>
      </c>
      <c r="AE146" s="37" t="s">
        <v>3629</v>
      </c>
      <c r="AF146" s="39" t="s">
        <v>3630</v>
      </c>
      <c r="AG146" s="37" t="s">
        <v>3631</v>
      </c>
      <c r="AH146" s="37" t="s">
        <v>3632</v>
      </c>
    </row>
    <row r="147" spans="1:34" ht="14.45" hidden="1" customHeight="1" x14ac:dyDescent="0.25">
      <c r="A147" s="6" t="s">
        <v>1364</v>
      </c>
      <c r="B147" s="7">
        <v>39417</v>
      </c>
      <c r="C147" s="6" t="s">
        <v>1363</v>
      </c>
      <c r="D147" s="6" t="s">
        <v>66</v>
      </c>
      <c r="E147" s="6" t="s">
        <v>3231</v>
      </c>
      <c r="F147" s="6" t="s">
        <v>3229</v>
      </c>
      <c r="G147" s="8">
        <v>1.2655430000000001</v>
      </c>
      <c r="H147" s="8">
        <v>6.1513540000000004</v>
      </c>
      <c r="I147" s="6" t="s">
        <v>2497</v>
      </c>
      <c r="J147" s="6" t="s">
        <v>2459</v>
      </c>
      <c r="K147" s="6" t="s">
        <v>2460</v>
      </c>
      <c r="L147" s="6"/>
      <c r="M147" s="6"/>
      <c r="N147" s="6" t="s">
        <v>3268</v>
      </c>
      <c r="O147" s="6" t="s">
        <v>7</v>
      </c>
      <c r="P147" s="6" t="str">
        <f>VLOOKUP(Tableau1[[#This Row],[SITES NAMES]],[1]Feuil1!$1:$1048576,8,FALSE)</f>
        <v>NOK</v>
      </c>
      <c r="Q147" s="6" t="str">
        <f>VLOOKUP(Tableau1[[#This Row],[SITES NAMES]],[1]Feuil1!$1:$1048576,9,FALSE)</f>
        <v>NO</v>
      </c>
      <c r="R147" s="6" t="str">
        <f>VLOOKUP(Tableau1[[#This Row],[SITES NAMES]],[1]Feuil1!$1:$1048576,10,FALSE)</f>
        <v>YES</v>
      </c>
      <c r="S147" s="6" t="s">
        <v>2469</v>
      </c>
      <c r="T147" s="6" t="s">
        <v>2470</v>
      </c>
      <c r="U147" s="6" t="s">
        <v>2471</v>
      </c>
      <c r="V147" s="6" t="s">
        <v>2498</v>
      </c>
      <c r="W147" s="6" t="s">
        <v>2476</v>
      </c>
      <c r="X147" s="8" t="s">
        <v>2933</v>
      </c>
      <c r="Y147" s="6" t="s">
        <v>3238</v>
      </c>
      <c r="Z147" s="6"/>
      <c r="AA147" s="35" t="s">
        <v>3621</v>
      </c>
      <c r="AB147" s="35" t="s">
        <v>3608</v>
      </c>
      <c r="AC147" s="35" t="s">
        <v>3622</v>
      </c>
      <c r="AD147" s="35" t="s">
        <v>3610</v>
      </c>
      <c r="AE147" s="35" t="s">
        <v>3610</v>
      </c>
      <c r="AF147" s="35" t="s">
        <v>3611</v>
      </c>
      <c r="AG147" s="35" t="s">
        <v>3612</v>
      </c>
      <c r="AH147" s="35" t="s">
        <v>3623</v>
      </c>
    </row>
    <row r="148" spans="1:34" ht="14.45" hidden="1" customHeight="1" x14ac:dyDescent="0.25">
      <c r="A148" s="6" t="s">
        <v>1440</v>
      </c>
      <c r="B148" s="7">
        <v>44787</v>
      </c>
      <c r="C148" s="6" t="s">
        <v>1439</v>
      </c>
      <c r="D148" s="6" t="s">
        <v>66</v>
      </c>
      <c r="E148" s="6" t="s">
        <v>3233</v>
      </c>
      <c r="F148" s="6" t="s">
        <v>3229</v>
      </c>
      <c r="G148" s="8">
        <v>1.2008799999999999</v>
      </c>
      <c r="H148" s="8">
        <v>6.26973</v>
      </c>
      <c r="I148" s="6" t="s">
        <v>2479</v>
      </c>
      <c r="J148" s="6" t="s">
        <v>2459</v>
      </c>
      <c r="K148" s="6" t="s">
        <v>2460</v>
      </c>
      <c r="L148" s="6"/>
      <c r="M148" s="6"/>
      <c r="N148" s="6" t="s">
        <v>3268</v>
      </c>
      <c r="O148" s="6" t="s">
        <v>7</v>
      </c>
      <c r="P148" s="6" t="str">
        <f>VLOOKUP(Tableau1[[#This Row],[SITES NAMES]],[1]Feuil1!$1:$1048576,8,FALSE)</f>
        <v>OK</v>
      </c>
      <c r="Q148" s="6" t="str">
        <f>VLOOKUP(Tableau1[[#This Row],[SITES NAMES]],[1]Feuil1!$1:$1048576,9,FALSE)</f>
        <v>NO</v>
      </c>
      <c r="R148" s="6" t="str">
        <f>VLOOKUP(Tableau1[[#This Row],[SITES NAMES]],[1]Feuil1!$1:$1048576,10,FALSE)</f>
        <v>YES</v>
      </c>
      <c r="S148" s="6" t="s">
        <v>2469</v>
      </c>
      <c r="T148" s="6" t="s">
        <v>2470</v>
      </c>
      <c r="U148" s="6" t="s">
        <v>2471</v>
      </c>
      <c r="V148" s="6" t="s">
        <v>2478</v>
      </c>
      <c r="W148" s="6" t="s">
        <v>2465</v>
      </c>
      <c r="X148" s="8" t="s">
        <v>2949</v>
      </c>
      <c r="Y148" s="6" t="s">
        <v>3238</v>
      </c>
      <c r="Z148" s="6"/>
      <c r="AA148" s="35" t="s">
        <v>3616</v>
      </c>
      <c r="AB148" s="35" t="s">
        <v>3608</v>
      </c>
      <c r="AC148" s="35" t="s">
        <v>3617</v>
      </c>
      <c r="AD148" s="35" t="s">
        <v>3610</v>
      </c>
      <c r="AE148" s="35" t="s">
        <v>3610</v>
      </c>
      <c r="AF148" s="35" t="s">
        <v>3611</v>
      </c>
      <c r="AG148" s="35" t="s">
        <v>3612</v>
      </c>
      <c r="AH148" s="35" t="s">
        <v>3618</v>
      </c>
    </row>
    <row r="149" spans="1:34" ht="14.45" hidden="1" customHeight="1" x14ac:dyDescent="0.3">
      <c r="A149" s="6" t="s">
        <v>63</v>
      </c>
      <c r="B149" s="7">
        <v>40760</v>
      </c>
      <c r="C149" s="6" t="s">
        <v>62</v>
      </c>
      <c r="D149" s="6" t="s">
        <v>5</v>
      </c>
      <c r="E149" s="6" t="s">
        <v>6</v>
      </c>
      <c r="F149" s="6" t="s">
        <v>3229</v>
      </c>
      <c r="G149" s="8">
        <v>1.4517199999999999</v>
      </c>
      <c r="H149" s="8">
        <v>6.3874199999999997</v>
      </c>
      <c r="I149" s="6" t="s">
        <v>2479</v>
      </c>
      <c r="J149" s="6" t="s">
        <v>2459</v>
      </c>
      <c r="K149" s="6" t="s">
        <v>2460</v>
      </c>
      <c r="L149" s="6"/>
      <c r="M149" s="6"/>
      <c r="N149" s="6" t="s">
        <v>3268</v>
      </c>
      <c r="O149" s="6" t="s">
        <v>7</v>
      </c>
      <c r="P149" s="6" t="str">
        <f>VLOOKUP(Tableau1[[#This Row],[SITES NAMES]],[1]Feuil1!$1:$1048576,8,FALSE)</f>
        <v>OK</v>
      </c>
      <c r="Q149" s="6" t="str">
        <f>VLOOKUP(Tableau1[[#This Row],[SITES NAMES]],[1]Feuil1!$1:$1048576,9,FALSE)</f>
        <v>NO</v>
      </c>
      <c r="R149" s="6" t="str">
        <f>VLOOKUP(Tableau1[[#This Row],[SITES NAMES]],[1]Feuil1!$1:$1048576,10,FALSE)</f>
        <v>NO</v>
      </c>
      <c r="S149" s="6" t="s">
        <v>2461</v>
      </c>
      <c r="T149" s="6" t="s">
        <v>2462</v>
      </c>
      <c r="U149" s="6" t="s">
        <v>2463</v>
      </c>
      <c r="V149" s="6" t="s">
        <v>2472</v>
      </c>
      <c r="W149" s="6" t="s">
        <v>2473</v>
      </c>
      <c r="X149" s="8" t="s">
        <v>2495</v>
      </c>
      <c r="Y149" s="6" t="s">
        <v>3241</v>
      </c>
      <c r="Z149" t="e">
        <f>VLOOKUP(Tableau1[[#This Row],[SITES NAMES]],#REF!,3,FALSE)</f>
        <v>#REF!</v>
      </c>
      <c r="AA149" s="37" t="s">
        <v>3626</v>
      </c>
      <c r="AB149" s="38" t="s">
        <v>3627</v>
      </c>
      <c r="AC149" s="37" t="s">
        <v>3633</v>
      </c>
      <c r="AD149" s="37" t="s">
        <v>3628</v>
      </c>
      <c r="AE149" s="37" t="s">
        <v>3629</v>
      </c>
      <c r="AF149" s="39" t="s">
        <v>3630</v>
      </c>
      <c r="AG149" s="37" t="s">
        <v>3631</v>
      </c>
      <c r="AH149" s="37" t="s">
        <v>3632</v>
      </c>
    </row>
    <row r="150" spans="1:34" ht="14.45" hidden="1" customHeight="1" x14ac:dyDescent="0.3">
      <c r="A150" s="6" t="s">
        <v>139</v>
      </c>
      <c r="B150" s="7">
        <v>38457</v>
      </c>
      <c r="C150" s="6" t="s">
        <v>138</v>
      </c>
      <c r="D150" s="6" t="s">
        <v>132</v>
      </c>
      <c r="E150" s="6" t="s">
        <v>133</v>
      </c>
      <c r="F150" s="6" t="s">
        <v>3229</v>
      </c>
      <c r="G150" s="8">
        <v>1.3161099999999999</v>
      </c>
      <c r="H150" s="8">
        <v>7.4750800000000002</v>
      </c>
      <c r="I150" s="6" t="s">
        <v>2467</v>
      </c>
      <c r="J150" s="6" t="s">
        <v>2459</v>
      </c>
      <c r="K150" s="6" t="s">
        <v>2468</v>
      </c>
      <c r="L150" s="6" t="s">
        <v>3348</v>
      </c>
      <c r="M150" s="6"/>
      <c r="N150" s="6" t="s">
        <v>2468</v>
      </c>
      <c r="O150" s="6" t="s">
        <v>18</v>
      </c>
      <c r="P150" s="6" t="str">
        <f>VLOOKUP(Tableau1[[#This Row],[SITES NAMES]],[1]Feuil1!$1:$1048576,8,FALSE)</f>
        <v>NOK</v>
      </c>
      <c r="Q150" s="6" t="str">
        <f>VLOOKUP(Tableau1[[#This Row],[SITES NAMES]],[1]Feuil1!$1:$1048576,9,FALSE)</f>
        <v>NO</v>
      </c>
      <c r="R150" s="6" t="str">
        <f>VLOOKUP(Tableau1[[#This Row],[SITES NAMES]],[1]Feuil1!$1:$1048576,10,FALSE)</f>
        <v>NO</v>
      </c>
      <c r="S150" s="6" t="s">
        <v>2469</v>
      </c>
      <c r="T150" s="6" t="s">
        <v>2470</v>
      </c>
      <c r="U150" s="6" t="s">
        <v>2480</v>
      </c>
      <c r="V150" s="6" t="s">
        <v>2472</v>
      </c>
      <c r="W150" s="6" t="s">
        <v>2473</v>
      </c>
      <c r="X150" s="8" t="s">
        <v>2524</v>
      </c>
      <c r="Y150" s="6" t="s">
        <v>3238</v>
      </c>
      <c r="Z150" s="6" t="s">
        <v>3258</v>
      </c>
      <c r="AA150" s="37" t="s">
        <v>3643</v>
      </c>
      <c r="AB150" s="39" t="s">
        <v>3644</v>
      </c>
      <c r="AC150" s="37" t="s">
        <v>3645</v>
      </c>
      <c r="AD150" s="39" t="s">
        <v>3646</v>
      </c>
      <c r="AE150" s="39" t="s">
        <v>3647</v>
      </c>
      <c r="AF150" s="39" t="s">
        <v>3648</v>
      </c>
      <c r="AG150" s="37" t="s">
        <v>3649</v>
      </c>
      <c r="AH150" s="37" t="s">
        <v>3650</v>
      </c>
    </row>
    <row r="151" spans="1:34" ht="14.45" hidden="1" customHeight="1" x14ac:dyDescent="0.25">
      <c r="A151" s="6" t="s">
        <v>1576</v>
      </c>
      <c r="B151" s="7">
        <v>44702</v>
      </c>
      <c r="C151" s="6" t="s">
        <v>1575</v>
      </c>
      <c r="D151" s="6" t="s">
        <v>66</v>
      </c>
      <c r="E151" s="6" t="s">
        <v>3236</v>
      </c>
      <c r="F151" s="6" t="s">
        <v>3229</v>
      </c>
      <c r="G151" s="8">
        <v>1.0644</v>
      </c>
      <c r="H151" s="8">
        <v>6.2639899999999997</v>
      </c>
      <c r="I151" s="6" t="s">
        <v>2477</v>
      </c>
      <c r="J151" s="6" t="s">
        <v>2459</v>
      </c>
      <c r="K151" s="6" t="s">
        <v>2460</v>
      </c>
      <c r="L151" s="6"/>
      <c r="M151" s="6"/>
      <c r="N151" s="6" t="s">
        <v>3268</v>
      </c>
      <c r="O151" s="6" t="s">
        <v>7</v>
      </c>
      <c r="P151" s="6" t="str">
        <f>VLOOKUP(Tableau1[[#This Row],[SITES NAMES]],[1]Feuil1!$1:$1048576,8,FALSE)</f>
        <v>OK</v>
      </c>
      <c r="Q151" s="6" t="str">
        <f>VLOOKUP(Tableau1[[#This Row],[SITES NAMES]],[1]Feuil1!$1:$1048576,9,FALSE)</f>
        <v>NO</v>
      </c>
      <c r="R151" s="6" t="str">
        <f>VLOOKUP(Tableau1[[#This Row],[SITES NAMES]],[1]Feuil1!$1:$1048576,10,FALSE)</f>
        <v>YES</v>
      </c>
      <c r="S151" s="6" t="s">
        <v>2469</v>
      </c>
      <c r="T151" s="6" t="s">
        <v>2470</v>
      </c>
      <c r="U151" s="6" t="s">
        <v>2480</v>
      </c>
      <c r="V151" s="6" t="s">
        <v>2472</v>
      </c>
      <c r="W151" s="6" t="s">
        <v>2465</v>
      </c>
      <c r="X151" s="8" t="s">
        <v>2973</v>
      </c>
      <c r="Y151" s="6" t="s">
        <v>3238</v>
      </c>
      <c r="Z151" s="6" t="s">
        <v>3263</v>
      </c>
      <c r="AA151" s="35" t="s">
        <v>3616</v>
      </c>
      <c r="AB151" s="35" t="s">
        <v>3608</v>
      </c>
      <c r="AC151" s="35" t="s">
        <v>3619</v>
      </c>
      <c r="AD151" s="35" t="s">
        <v>3610</v>
      </c>
      <c r="AE151" s="35" t="s">
        <v>3610</v>
      </c>
      <c r="AF151" s="35" t="s">
        <v>3611</v>
      </c>
      <c r="AG151" s="35" t="s">
        <v>3612</v>
      </c>
      <c r="AH151" s="35" t="s">
        <v>3620</v>
      </c>
    </row>
    <row r="152" spans="1:34" ht="14.45" hidden="1" customHeight="1" x14ac:dyDescent="0.3">
      <c r="A152" s="6" t="s">
        <v>1993</v>
      </c>
      <c r="B152" s="7">
        <v>43869</v>
      </c>
      <c r="C152" s="6" t="s">
        <v>1992</v>
      </c>
      <c r="D152" s="6" t="s">
        <v>395</v>
      </c>
      <c r="E152" s="6" t="s">
        <v>1965</v>
      </c>
      <c r="F152" s="6" t="s">
        <v>3229</v>
      </c>
      <c r="G152" s="8">
        <v>0.42499999999999999</v>
      </c>
      <c r="H152" s="8">
        <v>10.415805000000001</v>
      </c>
      <c r="I152" s="6" t="s">
        <v>2477</v>
      </c>
      <c r="J152" s="6" t="s">
        <v>2459</v>
      </c>
      <c r="K152" s="6" t="s">
        <v>2460</v>
      </c>
      <c r="L152" s="6" t="s">
        <v>3349</v>
      </c>
      <c r="M152" s="6"/>
      <c r="N152" s="6" t="s">
        <v>3268</v>
      </c>
      <c r="O152" s="6" t="s">
        <v>7</v>
      </c>
      <c r="P152" s="6" t="str">
        <f>VLOOKUP(Tableau1[[#This Row],[SITES NAMES]],[1]Feuil1!$1:$1048576,8,FALSE)</f>
        <v>OK</v>
      </c>
      <c r="Q152" s="6" t="str">
        <f>VLOOKUP(Tableau1[[#This Row],[SITES NAMES]],[1]Feuil1!$1:$1048576,9,FALSE)</f>
        <v>NO</v>
      </c>
      <c r="R152" s="6" t="str">
        <f>VLOOKUP(Tableau1[[#This Row],[SITES NAMES]],[1]Feuil1!$1:$1048576,10,FALSE)</f>
        <v>YES</v>
      </c>
      <c r="S152" s="6" t="s">
        <v>2469</v>
      </c>
      <c r="T152" s="6" t="s">
        <v>2470</v>
      </c>
      <c r="U152" s="6" t="s">
        <v>2480</v>
      </c>
      <c r="V152" s="6" t="s">
        <v>2472</v>
      </c>
      <c r="W152" s="6" t="s">
        <v>2473</v>
      </c>
      <c r="X152" s="8" t="s">
        <v>3076</v>
      </c>
      <c r="Y152" s="6" t="s">
        <v>3240</v>
      </c>
      <c r="Z152" s="6" t="s">
        <v>3255</v>
      </c>
      <c r="AA152" s="37" t="s">
        <v>3712</v>
      </c>
      <c r="AB152" s="39" t="s">
        <v>3705</v>
      </c>
      <c r="AC152" s="37" t="s">
        <v>3713</v>
      </c>
      <c r="AD152" s="37" t="s">
        <v>3712</v>
      </c>
      <c r="AE152" s="37" t="s">
        <v>3712</v>
      </c>
      <c r="AF152" s="37" t="s">
        <v>3712</v>
      </c>
      <c r="AG152" s="40" t="s">
        <v>3714</v>
      </c>
      <c r="AH152" s="37" t="s">
        <v>3715</v>
      </c>
    </row>
    <row r="153" spans="1:34" ht="14.45" hidden="1" customHeight="1" x14ac:dyDescent="0.3">
      <c r="A153" s="6" t="s">
        <v>289</v>
      </c>
      <c r="B153" s="7">
        <v>44035</v>
      </c>
      <c r="C153" s="6" t="s">
        <v>288</v>
      </c>
      <c r="D153" s="6" t="s">
        <v>132</v>
      </c>
      <c r="E153" s="6" t="s">
        <v>251</v>
      </c>
      <c r="F153" s="6" t="s">
        <v>3229</v>
      </c>
      <c r="G153" s="8">
        <v>0.90340399999999998</v>
      </c>
      <c r="H153" s="8">
        <v>7.7319290000000001</v>
      </c>
      <c r="I153" s="6" t="s">
        <v>2477</v>
      </c>
      <c r="J153" s="6" t="s">
        <v>2459</v>
      </c>
      <c r="K153" s="6" t="s">
        <v>2468</v>
      </c>
      <c r="L153" s="6" t="s">
        <v>297</v>
      </c>
      <c r="M153" s="6"/>
      <c r="N153" s="6" t="s">
        <v>2468</v>
      </c>
      <c r="O153" s="6" t="s">
        <v>40</v>
      </c>
      <c r="P153" s="6" t="str">
        <f>VLOOKUP(Tableau1[[#This Row],[SITES NAMES]],[1]Feuil1!$1:$1048576,8,FALSE)</f>
        <v>OK</v>
      </c>
      <c r="Q153" s="6" t="str">
        <f>VLOOKUP(Tableau1[[#This Row],[SITES NAMES]],[1]Feuil1!$1:$1048576,9,FALSE)</f>
        <v>NO</v>
      </c>
      <c r="R153" s="6" t="str">
        <f>VLOOKUP(Tableau1[[#This Row],[SITES NAMES]],[1]Feuil1!$1:$1048576,10,FALSE)</f>
        <v>YES</v>
      </c>
      <c r="S153" s="6" t="s">
        <v>2469</v>
      </c>
      <c r="T153" s="6" t="s">
        <v>2470</v>
      </c>
      <c r="U153" s="6" t="s">
        <v>2471</v>
      </c>
      <c r="V153" s="6" t="s">
        <v>2472</v>
      </c>
      <c r="W153" s="6" t="s">
        <v>2473</v>
      </c>
      <c r="X153" s="8" t="s">
        <v>2578</v>
      </c>
      <c r="Y153" s="6" t="s">
        <v>3238</v>
      </c>
      <c r="Z153" s="6" t="s">
        <v>3256</v>
      </c>
      <c r="AA153" s="37" t="s">
        <v>3651</v>
      </c>
      <c r="AB153" s="39" t="s">
        <v>3644</v>
      </c>
      <c r="AC153" s="45" t="s">
        <v>3652</v>
      </c>
      <c r="AD153" s="39" t="s">
        <v>3646</v>
      </c>
      <c r="AE153" s="37" t="s">
        <v>3653</v>
      </c>
      <c r="AF153" s="37" t="s">
        <v>3654</v>
      </c>
      <c r="AG153" s="37" t="s">
        <v>3649</v>
      </c>
      <c r="AH153" s="37" t="s">
        <v>3655</v>
      </c>
    </row>
    <row r="154" spans="1:34" ht="14.45" hidden="1" customHeight="1" x14ac:dyDescent="0.3">
      <c r="A154" s="6" t="s">
        <v>935</v>
      </c>
      <c r="B154" s="7">
        <v>0</v>
      </c>
      <c r="C154" s="6" t="s">
        <v>934</v>
      </c>
      <c r="D154" s="6" t="s">
        <v>657</v>
      </c>
      <c r="E154" s="6" t="s">
        <v>3235</v>
      </c>
      <c r="F154" s="6" t="s">
        <v>3229</v>
      </c>
      <c r="G154" s="8">
        <v>1.2039200000000001</v>
      </c>
      <c r="H154" s="8">
        <v>9.2504200000000001</v>
      </c>
      <c r="I154" s="6" t="s">
        <v>2467</v>
      </c>
      <c r="J154" s="6" t="s">
        <v>2459</v>
      </c>
      <c r="K154" s="6" t="s">
        <v>2460</v>
      </c>
      <c r="L154" s="6"/>
      <c r="M154" s="6"/>
      <c r="N154" s="6" t="s">
        <v>3268</v>
      </c>
      <c r="O154" s="6" t="s">
        <v>7</v>
      </c>
      <c r="P154" s="6" t="str">
        <f>VLOOKUP(Tableau1[[#This Row],[SITES NAMES]],[1]Feuil1!$1:$1048576,8,FALSE)</f>
        <v>NOK</v>
      </c>
      <c r="Q154" s="6" t="str">
        <f>VLOOKUP(Tableau1[[#This Row],[SITES NAMES]],[1]Feuil1!$1:$1048576,9,FALSE)</f>
        <v>NO</v>
      </c>
      <c r="R154" s="6" t="str">
        <f>VLOOKUP(Tableau1[[#This Row],[SITES NAMES]],[1]Feuil1!$1:$1048576,10,FALSE)</f>
        <v>YES</v>
      </c>
      <c r="S154" s="6" t="s">
        <v>2469</v>
      </c>
      <c r="T154" s="6" t="s">
        <v>2470</v>
      </c>
      <c r="U154" s="6" t="s">
        <v>2480</v>
      </c>
      <c r="V154" s="6" t="s">
        <v>2472</v>
      </c>
      <c r="W154" s="6" t="s">
        <v>2473</v>
      </c>
      <c r="X154" s="8" t="s">
        <v>2814</v>
      </c>
      <c r="Y154" s="6" t="s">
        <v>3239</v>
      </c>
      <c r="Z154" s="6" t="s">
        <v>3253</v>
      </c>
      <c r="AA154" s="37" t="s">
        <v>3698</v>
      </c>
      <c r="AB154" s="38" t="s">
        <v>3683</v>
      </c>
      <c r="AC154" s="39" t="s">
        <v>3699</v>
      </c>
      <c r="AD154" s="39" t="s">
        <v>3700</v>
      </c>
      <c r="AE154" s="37" t="s">
        <v>3701</v>
      </c>
      <c r="AF154" s="39" t="s">
        <v>3702</v>
      </c>
      <c r="AG154" s="40" t="s">
        <v>3685</v>
      </c>
      <c r="AH154" s="37" t="s">
        <v>3703</v>
      </c>
    </row>
    <row r="155" spans="1:34" ht="14.45" hidden="1" customHeight="1" x14ac:dyDescent="0.3">
      <c r="A155" s="6" t="s">
        <v>2183</v>
      </c>
      <c r="B155" s="7">
        <v>40635</v>
      </c>
      <c r="C155" s="6" t="s">
        <v>2182</v>
      </c>
      <c r="D155" s="6" t="s">
        <v>320</v>
      </c>
      <c r="E155" s="6" t="s">
        <v>2141</v>
      </c>
      <c r="F155" s="6" t="s">
        <v>3229</v>
      </c>
      <c r="G155" s="8">
        <v>1.1982699999999999</v>
      </c>
      <c r="H155" s="8">
        <v>9.2023499999999991</v>
      </c>
      <c r="I155" s="6" t="s">
        <v>2479</v>
      </c>
      <c r="J155" s="6" t="s">
        <v>2459</v>
      </c>
      <c r="K155" s="6" t="s">
        <v>2460</v>
      </c>
      <c r="L155" s="6"/>
      <c r="M155" s="6"/>
      <c r="N155" s="6" t="s">
        <v>3268</v>
      </c>
      <c r="O155" s="6" t="s">
        <v>7</v>
      </c>
      <c r="P155" s="6" t="str">
        <f>VLOOKUP(Tableau1[[#This Row],[SITES NAMES]],[1]Feuil1!$1:$1048576,8,FALSE)</f>
        <v>NOK</v>
      </c>
      <c r="Q155" s="6" t="str">
        <f>VLOOKUP(Tableau1[[#This Row],[SITES NAMES]],[1]Feuil1!$1:$1048576,9,FALSE)</f>
        <v>NO</v>
      </c>
      <c r="R155" s="6" t="str">
        <f>VLOOKUP(Tableau1[[#This Row],[SITES NAMES]],[1]Feuil1!$1:$1048576,10,FALSE)</f>
        <v>NO</v>
      </c>
      <c r="S155" s="6" t="s">
        <v>2469</v>
      </c>
      <c r="T155" s="6" t="s">
        <v>2470</v>
      </c>
      <c r="U155" s="6" t="s">
        <v>2471</v>
      </c>
      <c r="V155" s="6" t="s">
        <v>2464</v>
      </c>
      <c r="W155" s="6" t="s">
        <v>2473</v>
      </c>
      <c r="X155" s="8" t="s">
        <v>3148</v>
      </c>
      <c r="Y155" s="6" t="s">
        <v>3238</v>
      </c>
      <c r="Z155" s="6" t="s">
        <v>3254</v>
      </c>
      <c r="AA155" s="37" t="s">
        <v>3672</v>
      </c>
      <c r="AB155" s="39" t="s">
        <v>3665</v>
      </c>
      <c r="AC155" s="37" t="s">
        <v>3673</v>
      </c>
      <c r="AD155" s="37" t="s">
        <v>3674</v>
      </c>
      <c r="AE155" s="37" t="s">
        <v>3675</v>
      </c>
      <c r="AF155" s="39" t="s">
        <v>3676</v>
      </c>
      <c r="AG155" s="37" t="s">
        <v>3670</v>
      </c>
      <c r="AH155" s="37" t="s">
        <v>3677</v>
      </c>
    </row>
    <row r="156" spans="1:34" ht="14.45" hidden="1" customHeight="1" x14ac:dyDescent="0.3">
      <c r="A156" s="6" t="s">
        <v>2300</v>
      </c>
      <c r="B156" s="7">
        <v>40148</v>
      </c>
      <c r="C156" s="6" t="s">
        <v>2299</v>
      </c>
      <c r="D156" s="6" t="s">
        <v>320</v>
      </c>
      <c r="E156" s="6" t="s">
        <v>2274</v>
      </c>
      <c r="F156" s="6" t="s">
        <v>3229</v>
      </c>
      <c r="G156" s="8">
        <v>1.4169666000000001</v>
      </c>
      <c r="H156" s="8">
        <v>8.9340306999999992</v>
      </c>
      <c r="I156" s="6" t="s">
        <v>2477</v>
      </c>
      <c r="J156" s="6" t="s">
        <v>2459</v>
      </c>
      <c r="K156" s="6" t="s">
        <v>2468</v>
      </c>
      <c r="L156" s="6" t="s">
        <v>3350</v>
      </c>
      <c r="M156" s="6"/>
      <c r="N156" s="6" t="s">
        <v>2468</v>
      </c>
      <c r="O156" s="6" t="s">
        <v>40</v>
      </c>
      <c r="P156" s="6" t="str">
        <f>VLOOKUP(Tableau1[[#This Row],[SITES NAMES]],[1]Feuil1!$1:$1048576,8,FALSE)</f>
        <v>OK</v>
      </c>
      <c r="Q156" s="6" t="str">
        <f>VLOOKUP(Tableau1[[#This Row],[SITES NAMES]],[1]Feuil1!$1:$1048576,9,FALSE)</f>
        <v>NO</v>
      </c>
      <c r="R156" s="6" t="str">
        <f>VLOOKUP(Tableau1[[#This Row],[SITES NAMES]],[1]Feuil1!$1:$1048576,10,FALSE)</f>
        <v>NO</v>
      </c>
      <c r="S156" s="6" t="s">
        <v>2469</v>
      </c>
      <c r="T156" s="6" t="s">
        <v>2470</v>
      </c>
      <c r="U156" s="6" t="s">
        <v>2471</v>
      </c>
      <c r="V156" s="6" t="s">
        <v>2472</v>
      </c>
      <c r="W156" s="6" t="s">
        <v>2473</v>
      </c>
      <c r="X156" s="8" t="s">
        <v>3187</v>
      </c>
      <c r="Y156" s="6" t="s">
        <v>3238</v>
      </c>
      <c r="Z156" s="6" t="s">
        <v>3254</v>
      </c>
      <c r="AA156" s="37" t="s">
        <v>3678</v>
      </c>
      <c r="AB156" s="39" t="s">
        <v>3665</v>
      </c>
      <c r="AC156" s="37" t="s">
        <v>3679</v>
      </c>
      <c r="AD156" s="37" t="s">
        <v>3678</v>
      </c>
      <c r="AE156" s="37" t="s">
        <v>3680</v>
      </c>
      <c r="AF156" s="39" t="s">
        <v>3676</v>
      </c>
      <c r="AG156" s="37" t="s">
        <v>3670</v>
      </c>
      <c r="AH156" s="37" t="s">
        <v>3681</v>
      </c>
    </row>
    <row r="157" spans="1:34" ht="14.45" hidden="1" customHeight="1" x14ac:dyDescent="0.3">
      <c r="A157" s="6" t="s">
        <v>2302</v>
      </c>
      <c r="B157" s="7">
        <v>39417</v>
      </c>
      <c r="C157" s="6" t="s">
        <v>2301</v>
      </c>
      <c r="D157" s="6" t="s">
        <v>320</v>
      </c>
      <c r="E157" s="6" t="s">
        <v>2274</v>
      </c>
      <c r="F157" s="6" t="s">
        <v>3229</v>
      </c>
      <c r="G157" s="8">
        <v>1.2961400000000001</v>
      </c>
      <c r="H157" s="8">
        <v>8.9631399999999992</v>
      </c>
      <c r="I157" s="6" t="s">
        <v>2479</v>
      </c>
      <c r="J157" s="6" t="s">
        <v>2459</v>
      </c>
      <c r="K157" s="6" t="s">
        <v>2460</v>
      </c>
      <c r="L157" s="6"/>
      <c r="M157" s="6"/>
      <c r="N157" s="6" t="s">
        <v>3268</v>
      </c>
      <c r="O157" s="6" t="s">
        <v>18</v>
      </c>
      <c r="P157" s="6" t="str">
        <f>VLOOKUP(Tableau1[[#This Row],[SITES NAMES]],[1]Feuil1!$1:$1048576,8,FALSE)</f>
        <v>OK</v>
      </c>
      <c r="Q157" s="6" t="str">
        <f>VLOOKUP(Tableau1[[#This Row],[SITES NAMES]],[1]Feuil1!$1:$1048576,9,FALSE)</f>
        <v>NO</v>
      </c>
      <c r="R157" s="6" t="str">
        <f>VLOOKUP(Tableau1[[#This Row],[SITES NAMES]],[1]Feuil1!$1:$1048576,10,FALSE)</f>
        <v>NO</v>
      </c>
      <c r="S157" s="6" t="s">
        <v>2469</v>
      </c>
      <c r="T157" s="6" t="s">
        <v>2470</v>
      </c>
      <c r="U157" s="6" t="s">
        <v>2480</v>
      </c>
      <c r="V157" s="6" t="s">
        <v>2464</v>
      </c>
      <c r="W157" s="6" t="s">
        <v>2473</v>
      </c>
      <c r="X157" s="8" t="s">
        <v>3188</v>
      </c>
      <c r="Y157" s="6" t="s">
        <v>3238</v>
      </c>
      <c r="Z157" s="6" t="s">
        <v>3254</v>
      </c>
      <c r="AA157" s="37" t="s">
        <v>3678</v>
      </c>
      <c r="AB157" s="39" t="s">
        <v>3665</v>
      </c>
      <c r="AC157" s="37" t="s">
        <v>3679</v>
      </c>
      <c r="AD157" s="37" t="s">
        <v>3678</v>
      </c>
      <c r="AE157" s="37" t="s">
        <v>3680</v>
      </c>
      <c r="AF157" s="39" t="s">
        <v>3676</v>
      </c>
      <c r="AG157" s="37" t="s">
        <v>3670</v>
      </c>
      <c r="AH157" s="37" t="s">
        <v>3681</v>
      </c>
    </row>
    <row r="158" spans="1:34" ht="14.45" hidden="1" customHeight="1" x14ac:dyDescent="0.3">
      <c r="A158" s="6" t="s">
        <v>1109</v>
      </c>
      <c r="B158" s="7" t="s">
        <v>2839</v>
      </c>
      <c r="C158" s="6" t="s">
        <v>1008</v>
      </c>
      <c r="D158" s="6" t="s">
        <v>5</v>
      </c>
      <c r="E158" s="6" t="s">
        <v>1003</v>
      </c>
      <c r="F158" s="6" t="s">
        <v>3229</v>
      </c>
      <c r="G158" s="8">
        <v>0.81747999999999998</v>
      </c>
      <c r="H158" s="8">
        <v>6.7436699999999998</v>
      </c>
      <c r="I158" s="6" t="s">
        <v>2467</v>
      </c>
      <c r="J158" s="6" t="s">
        <v>2459</v>
      </c>
      <c r="K158" s="6" t="s">
        <v>2460</v>
      </c>
      <c r="L158" s="6"/>
      <c r="M158" s="6"/>
      <c r="N158" s="6" t="s">
        <v>3268</v>
      </c>
      <c r="O158" s="6" t="s">
        <v>7</v>
      </c>
      <c r="P158" s="6" t="str">
        <f>VLOOKUP(Tableau1[[#This Row],[SITES NAMES]],[1]Feuil1!$1:$1048576,8,FALSE)</f>
        <v>NOK</v>
      </c>
      <c r="Q158" s="6" t="str">
        <f>VLOOKUP(Tableau1[[#This Row],[SITES NAMES]],[1]Feuil1!$1:$1048576,9,FALSE)</f>
        <v>NO</v>
      </c>
      <c r="R158" s="6" t="str">
        <f>VLOOKUP(Tableau1[[#This Row],[SITES NAMES]],[1]Feuil1!$1:$1048576,10,FALSE)</f>
        <v>NO</v>
      </c>
      <c r="S158" s="6" t="s">
        <v>2469</v>
      </c>
      <c r="T158" s="6" t="s">
        <v>2470</v>
      </c>
      <c r="U158" s="6" t="s">
        <v>2471</v>
      </c>
      <c r="V158" s="6" t="s">
        <v>2472</v>
      </c>
      <c r="W158" s="6" t="s">
        <v>2473</v>
      </c>
      <c r="X158" s="8" t="s">
        <v>2840</v>
      </c>
      <c r="Y158" s="6" t="s">
        <v>3241</v>
      </c>
      <c r="Z158" s="6"/>
      <c r="AA158" s="37" t="s">
        <v>3634</v>
      </c>
      <c r="AB158" s="38" t="s">
        <v>3627</v>
      </c>
      <c r="AC158" s="37" t="s">
        <v>3635</v>
      </c>
      <c r="AD158" s="37" t="s">
        <v>3636</v>
      </c>
      <c r="AE158" s="37" t="s">
        <v>3637</v>
      </c>
      <c r="AF158" s="37" t="s">
        <v>3636</v>
      </c>
      <c r="AG158" s="37" t="s">
        <v>3638</v>
      </c>
      <c r="AH158" s="37" t="s">
        <v>3639</v>
      </c>
    </row>
    <row r="159" spans="1:34" ht="14.45" hidden="1" customHeight="1" x14ac:dyDescent="0.25">
      <c r="A159" s="6" t="s">
        <v>1620</v>
      </c>
      <c r="B159" s="7">
        <v>40562</v>
      </c>
      <c r="C159" s="6" t="s">
        <v>1619</v>
      </c>
      <c r="D159" s="6" t="s">
        <v>66</v>
      </c>
      <c r="E159" s="6" t="s">
        <v>3236</v>
      </c>
      <c r="F159" s="6" t="s">
        <v>3229</v>
      </c>
      <c r="G159" s="8">
        <v>1.181886</v>
      </c>
      <c r="H159" s="8">
        <v>6.2589307639999996</v>
      </c>
      <c r="I159" s="6" t="s">
        <v>2497</v>
      </c>
      <c r="J159" s="6" t="s">
        <v>2459</v>
      </c>
      <c r="K159" s="6" t="s">
        <v>2460</v>
      </c>
      <c r="L159" s="6" t="s">
        <v>3351</v>
      </c>
      <c r="M159" s="6"/>
      <c r="N159" s="6" t="s">
        <v>3268</v>
      </c>
      <c r="O159" s="6" t="s">
        <v>7</v>
      </c>
      <c r="P159" s="6" t="str">
        <f>VLOOKUP(Tableau1[[#This Row],[SITES NAMES]],[1]Feuil1!$1:$1048576,8,FALSE)</f>
        <v>OK</v>
      </c>
      <c r="Q159" s="6" t="str">
        <f>VLOOKUP(Tableau1[[#This Row],[SITES NAMES]],[1]Feuil1!$1:$1048576,9,FALSE)</f>
        <v>NO</v>
      </c>
      <c r="R159" s="6" t="str">
        <f>VLOOKUP(Tableau1[[#This Row],[SITES NAMES]],[1]Feuil1!$1:$1048576,10,FALSE)</f>
        <v>YES</v>
      </c>
      <c r="S159" s="6" t="s">
        <v>2469</v>
      </c>
      <c r="T159" s="6" t="s">
        <v>2470</v>
      </c>
      <c r="U159" s="6" t="s">
        <v>2480</v>
      </c>
      <c r="V159" s="6" t="s">
        <v>2464</v>
      </c>
      <c r="W159" s="6" t="s">
        <v>2476</v>
      </c>
      <c r="X159" s="8" t="s">
        <v>2986</v>
      </c>
      <c r="Y159" s="6" t="s">
        <v>3238</v>
      </c>
      <c r="Z159" s="6" t="s">
        <v>3263</v>
      </c>
      <c r="AA159" s="35" t="s">
        <v>3616</v>
      </c>
      <c r="AB159" s="35" t="s">
        <v>3608</v>
      </c>
      <c r="AC159" s="35" t="s">
        <v>3619</v>
      </c>
      <c r="AD159" s="35" t="s">
        <v>3610</v>
      </c>
      <c r="AE159" s="35" t="s">
        <v>3610</v>
      </c>
      <c r="AF159" s="35" t="s">
        <v>3611</v>
      </c>
      <c r="AG159" s="35" t="s">
        <v>3612</v>
      </c>
      <c r="AH159" s="35" t="s">
        <v>3620</v>
      </c>
    </row>
    <row r="160" spans="1:34" ht="14.45" hidden="1" customHeight="1" x14ac:dyDescent="0.25">
      <c r="A160" s="6" t="s">
        <v>1506</v>
      </c>
      <c r="B160" s="7">
        <v>43891</v>
      </c>
      <c r="C160" s="6" t="s">
        <v>1505</v>
      </c>
      <c r="D160" s="6" t="s">
        <v>66</v>
      </c>
      <c r="E160" s="6" t="s">
        <v>3233</v>
      </c>
      <c r="F160" s="6" t="s">
        <v>3229</v>
      </c>
      <c r="G160" s="8">
        <v>1.187335</v>
      </c>
      <c r="H160" s="8">
        <v>6.267023</v>
      </c>
      <c r="I160" s="6" t="s">
        <v>2497</v>
      </c>
      <c r="J160" s="6" t="s">
        <v>2459</v>
      </c>
      <c r="K160" s="6" t="s">
        <v>2460</v>
      </c>
      <c r="L160" s="6"/>
      <c r="M160" s="6"/>
      <c r="N160" s="6" t="s">
        <v>3268</v>
      </c>
      <c r="O160" s="6" t="s">
        <v>40</v>
      </c>
      <c r="P160" s="6" t="str">
        <f>VLOOKUP(Tableau1[[#This Row],[SITES NAMES]],[1]Feuil1!$1:$1048576,8,FALSE)</f>
        <v>NOK</v>
      </c>
      <c r="Q160" s="6" t="str">
        <f>VLOOKUP(Tableau1[[#This Row],[SITES NAMES]],[1]Feuil1!$1:$1048576,9,FALSE)</f>
        <v>NO</v>
      </c>
      <c r="R160" s="6" t="str">
        <f>VLOOKUP(Tableau1[[#This Row],[SITES NAMES]],[1]Feuil1!$1:$1048576,10,FALSE)</f>
        <v>YES</v>
      </c>
      <c r="S160" s="6" t="s">
        <v>2469</v>
      </c>
      <c r="T160" s="6" t="s">
        <v>2470</v>
      </c>
      <c r="U160" s="6" t="s">
        <v>2471</v>
      </c>
      <c r="V160" s="6" t="s">
        <v>2464</v>
      </c>
      <c r="W160" s="6" t="s">
        <v>2476</v>
      </c>
      <c r="X160" s="8"/>
      <c r="Y160" s="6" t="s">
        <v>3238</v>
      </c>
      <c r="Z160" s="6"/>
      <c r="AA160" s="35" t="s">
        <v>3616</v>
      </c>
      <c r="AB160" s="35" t="s">
        <v>3608</v>
      </c>
      <c r="AC160" s="35" t="s">
        <v>3617</v>
      </c>
      <c r="AD160" s="35" t="s">
        <v>3610</v>
      </c>
      <c r="AE160" s="35" t="s">
        <v>3610</v>
      </c>
      <c r="AF160" s="35" t="s">
        <v>3611</v>
      </c>
      <c r="AG160" s="35" t="s">
        <v>3612</v>
      </c>
      <c r="AH160" s="35" t="s">
        <v>3618</v>
      </c>
    </row>
    <row r="161" spans="1:34" ht="14.45" hidden="1" customHeight="1" x14ac:dyDescent="0.25">
      <c r="A161" s="6" t="s">
        <v>1442</v>
      </c>
      <c r="B161" s="7">
        <v>45135</v>
      </c>
      <c r="C161" s="6" t="s">
        <v>1441</v>
      </c>
      <c r="D161" s="6" t="s">
        <v>66</v>
      </c>
      <c r="E161" s="6" t="s">
        <v>3233</v>
      </c>
      <c r="F161" s="6" t="s">
        <v>3229</v>
      </c>
      <c r="G161" s="8">
        <v>1.1878660000000001</v>
      </c>
      <c r="H161" s="8">
        <v>6.27942</v>
      </c>
      <c r="I161" s="14" t="s">
        <v>2479</v>
      </c>
      <c r="J161" s="6" t="s">
        <v>2459</v>
      </c>
      <c r="K161" s="6" t="s">
        <v>2460</v>
      </c>
      <c r="L161" s="6" t="s">
        <v>3352</v>
      </c>
      <c r="M161" s="6"/>
      <c r="N161" s="6" t="s">
        <v>3268</v>
      </c>
      <c r="O161" s="6" t="s">
        <v>7</v>
      </c>
      <c r="P161" s="6" t="str">
        <f>VLOOKUP(Tableau1[[#This Row],[SITES NAMES]],[1]Feuil1!$1:$1048576,8,FALSE)</f>
        <v>NOK</v>
      </c>
      <c r="Q161" s="6" t="str">
        <f>VLOOKUP(Tableau1[[#This Row],[SITES NAMES]],[1]Feuil1!$1:$1048576,9,FALSE)</f>
        <v>NO</v>
      </c>
      <c r="R161" s="6" t="str">
        <f>VLOOKUP(Tableau1[[#This Row],[SITES NAMES]],[1]Feuil1!$1:$1048576,10,FALSE)</f>
        <v>NO</v>
      </c>
      <c r="S161" s="6" t="s">
        <v>2469</v>
      </c>
      <c r="T161" s="6" t="s">
        <v>2470</v>
      </c>
      <c r="U161" s="6" t="s">
        <v>2471</v>
      </c>
      <c r="V161" s="6" t="s">
        <v>2478</v>
      </c>
      <c r="W161" s="6" t="s">
        <v>2476</v>
      </c>
      <c r="X161" s="8"/>
      <c r="Y161" s="6" t="s">
        <v>3238</v>
      </c>
      <c r="Z161" s="6"/>
      <c r="AA161" s="35" t="s">
        <v>3616</v>
      </c>
      <c r="AB161" s="35" t="s">
        <v>3608</v>
      </c>
      <c r="AC161" s="35" t="s">
        <v>3617</v>
      </c>
      <c r="AD161" s="35" t="s">
        <v>3610</v>
      </c>
      <c r="AE161" s="35" t="s">
        <v>3610</v>
      </c>
      <c r="AF161" s="35" t="s">
        <v>3611</v>
      </c>
      <c r="AG161" s="35" t="s">
        <v>3612</v>
      </c>
      <c r="AH161" s="35" t="s">
        <v>3618</v>
      </c>
    </row>
    <row r="162" spans="1:34" ht="14.45" hidden="1" customHeight="1" x14ac:dyDescent="0.25">
      <c r="A162" s="6" t="s">
        <v>1304</v>
      </c>
      <c r="B162" s="7">
        <v>44852</v>
      </c>
      <c r="C162" s="6" t="s">
        <v>1303</v>
      </c>
      <c r="D162" s="6" t="s">
        <v>66</v>
      </c>
      <c r="E162" s="6" t="s">
        <v>3231</v>
      </c>
      <c r="F162" s="6" t="s">
        <v>3229</v>
      </c>
      <c r="G162" s="8">
        <v>1.472395149</v>
      </c>
      <c r="H162" s="8">
        <v>6.2069589839999999</v>
      </c>
      <c r="I162" s="6" t="s">
        <v>2479</v>
      </c>
      <c r="J162" s="6" t="s">
        <v>2459</v>
      </c>
      <c r="K162" s="6" t="s">
        <v>2460</v>
      </c>
      <c r="L162" s="6" t="s">
        <v>3477</v>
      </c>
      <c r="M162" s="6"/>
      <c r="N162" s="6" t="s">
        <v>3268</v>
      </c>
      <c r="O162" s="6" t="s">
        <v>7</v>
      </c>
      <c r="P162" s="6" t="str">
        <f>VLOOKUP(Tableau1[[#This Row],[SITES NAMES]],[1]Feuil1!$1:$1048576,8,FALSE)</f>
        <v>OK</v>
      </c>
      <c r="Q162" s="6" t="str">
        <f>VLOOKUP(Tableau1[[#This Row],[SITES NAMES]],[1]Feuil1!$1:$1048576,9,FALSE)</f>
        <v>NO</v>
      </c>
      <c r="R162" s="6" t="str">
        <f>VLOOKUP(Tableau1[[#This Row],[SITES NAMES]],[1]Feuil1!$1:$1048576,10,FALSE)</f>
        <v>YES</v>
      </c>
      <c r="S162" s="6" t="s">
        <v>2469</v>
      </c>
      <c r="T162" s="6" t="s">
        <v>2470</v>
      </c>
      <c r="U162" s="6" t="s">
        <v>2480</v>
      </c>
      <c r="V162" s="6" t="s">
        <v>2464</v>
      </c>
      <c r="W162" s="6" t="s">
        <v>2465</v>
      </c>
      <c r="X162" s="8">
        <v>70996540</v>
      </c>
      <c r="Y162" s="6" t="s">
        <v>3238</v>
      </c>
      <c r="Z162" s="6"/>
      <c r="AA162" s="35" t="s">
        <v>3621</v>
      </c>
      <c r="AB162" s="35" t="s">
        <v>3608</v>
      </c>
      <c r="AC162" s="35" t="s">
        <v>3622</v>
      </c>
      <c r="AD162" s="35" t="s">
        <v>3610</v>
      </c>
      <c r="AE162" s="35" t="s">
        <v>3610</v>
      </c>
      <c r="AF162" s="35" t="s">
        <v>3611</v>
      </c>
      <c r="AG162" s="35" t="s">
        <v>3612</v>
      </c>
      <c r="AH162" s="35" t="s">
        <v>3623</v>
      </c>
    </row>
    <row r="163" spans="1:34" ht="14.45" hidden="1" customHeight="1" x14ac:dyDescent="0.3">
      <c r="A163" s="6" t="s">
        <v>2365</v>
      </c>
      <c r="B163" s="7">
        <v>39919</v>
      </c>
      <c r="C163" s="6" t="s">
        <v>2364</v>
      </c>
      <c r="D163" s="6" t="s">
        <v>5</v>
      </c>
      <c r="E163" s="6" t="s">
        <v>2333</v>
      </c>
      <c r="F163" s="6" t="s">
        <v>3229</v>
      </c>
      <c r="G163" s="8">
        <v>1.087089</v>
      </c>
      <c r="H163" s="8">
        <v>6.4447619999999999</v>
      </c>
      <c r="I163" s="6" t="s">
        <v>2467</v>
      </c>
      <c r="J163" s="6" t="s">
        <v>2459</v>
      </c>
      <c r="K163" s="6" t="s">
        <v>2468</v>
      </c>
      <c r="L163" s="6" t="s">
        <v>3353</v>
      </c>
      <c r="M163" s="6"/>
      <c r="N163" s="6" t="s">
        <v>2468</v>
      </c>
      <c r="O163" s="6" t="s">
        <v>18</v>
      </c>
      <c r="P163" s="6" t="str">
        <f>VLOOKUP(Tableau1[[#This Row],[SITES NAMES]],[1]Feuil1!$1:$1048576,8,FALSE)</f>
        <v>OK</v>
      </c>
      <c r="Q163" s="6" t="str">
        <f>VLOOKUP(Tableau1[[#This Row],[SITES NAMES]],[1]Feuil1!$1:$1048576,9,FALSE)</f>
        <v>NO</v>
      </c>
      <c r="R163" s="6" t="str">
        <f>VLOOKUP(Tableau1[[#This Row],[SITES NAMES]],[1]Feuil1!$1:$1048576,10,FALSE)</f>
        <v>NO</v>
      </c>
      <c r="S163" s="6" t="s">
        <v>2461</v>
      </c>
      <c r="T163" s="6" t="s">
        <v>2462</v>
      </c>
      <c r="U163" s="6" t="s">
        <v>2463</v>
      </c>
      <c r="V163" s="6" t="s">
        <v>2472</v>
      </c>
      <c r="W163" s="6" t="s">
        <v>2473</v>
      </c>
      <c r="X163" s="8" t="s">
        <v>3206</v>
      </c>
      <c r="Y163" s="6" t="s">
        <v>3241</v>
      </c>
      <c r="Z163" t="e">
        <f>VLOOKUP(Tableau1[[#This Row],[SITES NAMES]],#REF!,3,FALSE)</f>
        <v>#REF!</v>
      </c>
      <c r="AA163" s="37"/>
      <c r="AB163" s="38" t="s">
        <v>3627</v>
      </c>
      <c r="AC163" s="37" t="s">
        <v>3640</v>
      </c>
      <c r="AD163" s="39" t="s">
        <v>3641</v>
      </c>
      <c r="AE163" s="37"/>
      <c r="AF163" s="39" t="s">
        <v>3641</v>
      </c>
      <c r="AG163" s="37"/>
      <c r="AH163" s="37" t="s">
        <v>3642</v>
      </c>
    </row>
    <row r="164" spans="1:34" ht="14.45" hidden="1" customHeight="1" x14ac:dyDescent="0.3">
      <c r="A164" s="6" t="s">
        <v>634</v>
      </c>
      <c r="B164" s="7">
        <v>0</v>
      </c>
      <c r="C164" s="6" t="s">
        <v>633</v>
      </c>
      <c r="D164" s="6" t="s">
        <v>132</v>
      </c>
      <c r="E164" s="6" t="s">
        <v>565</v>
      </c>
      <c r="F164" s="6" t="s">
        <v>3229</v>
      </c>
      <c r="G164" s="8">
        <v>1.56732</v>
      </c>
      <c r="H164" s="8">
        <v>8.2695699999999999</v>
      </c>
      <c r="I164" s="6" t="s">
        <v>2477</v>
      </c>
      <c r="J164" s="6" t="s">
        <v>2459</v>
      </c>
      <c r="K164" s="6" t="s">
        <v>2468</v>
      </c>
      <c r="L164" s="6"/>
      <c r="M164" s="6"/>
      <c r="N164" s="6" t="s">
        <v>2468</v>
      </c>
      <c r="O164" s="6" t="s">
        <v>40</v>
      </c>
      <c r="P164" s="6" t="str">
        <f>VLOOKUP(Tableau1[[#This Row],[SITES NAMES]],[1]Feuil1!$1:$1048576,8,FALSE)</f>
        <v>OK</v>
      </c>
      <c r="Q164" s="6" t="str">
        <f>VLOOKUP(Tableau1[[#This Row],[SITES NAMES]],[1]Feuil1!$1:$1048576,9,FALSE)</f>
        <v>NO</v>
      </c>
      <c r="R164" s="6" t="str">
        <f>VLOOKUP(Tableau1[[#This Row],[SITES NAMES]],[1]Feuil1!$1:$1048576,10,FALSE)</f>
        <v>YES</v>
      </c>
      <c r="S164" s="6" t="s">
        <v>2461</v>
      </c>
      <c r="T164" s="6" t="s">
        <v>2462</v>
      </c>
      <c r="U164" s="6" t="s">
        <v>2463</v>
      </c>
      <c r="V164" s="6" t="s">
        <v>2472</v>
      </c>
      <c r="W164" s="6" t="s">
        <v>2473</v>
      </c>
      <c r="X164" s="8">
        <v>70996618</v>
      </c>
      <c r="Y164" s="6" t="s">
        <v>3238</v>
      </c>
      <c r="Z164" s="6" t="s">
        <v>3254</v>
      </c>
      <c r="AA164" s="37" t="s">
        <v>3660</v>
      </c>
      <c r="AB164" s="39" t="s">
        <v>3644</v>
      </c>
      <c r="AC164" s="37" t="s">
        <v>3661</v>
      </c>
      <c r="AD164" s="39" t="s">
        <v>3646</v>
      </c>
      <c r="AE164" s="39" t="s">
        <v>3647</v>
      </c>
      <c r="AF164" s="39" t="s">
        <v>3662</v>
      </c>
      <c r="AG164" s="37" t="s">
        <v>3649</v>
      </c>
      <c r="AH164" s="37" t="s">
        <v>3663</v>
      </c>
    </row>
    <row r="165" spans="1:34" ht="14.45" hidden="1" customHeight="1" x14ac:dyDescent="0.25">
      <c r="A165" s="6" t="s">
        <v>1747</v>
      </c>
      <c r="B165" s="7">
        <v>39843</v>
      </c>
      <c r="C165" s="6" t="s">
        <v>1746</v>
      </c>
      <c r="D165" s="6" t="s">
        <v>66</v>
      </c>
      <c r="E165" s="6" t="s">
        <v>3234</v>
      </c>
      <c r="F165" s="6" t="s">
        <v>3229</v>
      </c>
      <c r="G165" s="8">
        <v>1.1620299999999999</v>
      </c>
      <c r="H165" s="8">
        <v>6.2090199999999998</v>
      </c>
      <c r="I165" s="6" t="s">
        <v>2475</v>
      </c>
      <c r="J165" s="6" t="s">
        <v>2459</v>
      </c>
      <c r="K165" s="6" t="s">
        <v>2460</v>
      </c>
      <c r="L165" s="6"/>
      <c r="M165" s="6"/>
      <c r="N165" s="6" t="s">
        <v>3268</v>
      </c>
      <c r="O165" s="6" t="s">
        <v>7</v>
      </c>
      <c r="P165" s="6" t="str">
        <f>VLOOKUP(Tableau1[[#This Row],[SITES NAMES]],[1]Feuil1!$1:$1048576,8,FALSE)</f>
        <v>OK</v>
      </c>
      <c r="Q165" s="6" t="str">
        <f>VLOOKUP(Tableau1[[#This Row],[SITES NAMES]],[1]Feuil1!$1:$1048576,9,FALSE)</f>
        <v>NO</v>
      </c>
      <c r="R165" s="6" t="str">
        <f>VLOOKUP(Tableau1[[#This Row],[SITES NAMES]],[1]Feuil1!$1:$1048576,10,FALSE)</f>
        <v>NO</v>
      </c>
      <c r="S165" s="6" t="s">
        <v>2469</v>
      </c>
      <c r="T165" s="6" t="s">
        <v>2470</v>
      </c>
      <c r="U165" s="6" t="s">
        <v>2471</v>
      </c>
      <c r="V165" s="6" t="s">
        <v>2464</v>
      </c>
      <c r="W165" s="6" t="s">
        <v>2476</v>
      </c>
      <c r="X165" s="8" t="s">
        <v>3013</v>
      </c>
      <c r="Y165" s="6" t="s">
        <v>3238</v>
      </c>
      <c r="Z165" s="6" t="s">
        <v>3265</v>
      </c>
      <c r="AA165" s="35" t="s">
        <v>3607</v>
      </c>
      <c r="AB165" s="35" t="s">
        <v>3608</v>
      </c>
      <c r="AC165" s="35" t="s">
        <v>3614</v>
      </c>
      <c r="AD165" s="35" t="s">
        <v>3610</v>
      </c>
      <c r="AE165" s="35" t="s">
        <v>3610</v>
      </c>
      <c r="AF165" s="35" t="s">
        <v>3611</v>
      </c>
      <c r="AG165" s="35" t="s">
        <v>3612</v>
      </c>
      <c r="AH165" s="35" t="s">
        <v>3615</v>
      </c>
    </row>
    <row r="166" spans="1:34" ht="14.45" hidden="1" customHeight="1" x14ac:dyDescent="0.25">
      <c r="A166" s="6" t="s">
        <v>1749</v>
      </c>
      <c r="B166" s="7">
        <v>41165</v>
      </c>
      <c r="C166" s="6" t="s">
        <v>1748</v>
      </c>
      <c r="D166" s="6" t="s">
        <v>66</v>
      </c>
      <c r="E166" s="6" t="s">
        <v>3234</v>
      </c>
      <c r="F166" s="6" t="s">
        <v>3229</v>
      </c>
      <c r="G166" s="8">
        <v>1.1472222219999999</v>
      </c>
      <c r="H166" s="8">
        <v>6.204010201</v>
      </c>
      <c r="I166" s="6" t="s">
        <v>2475</v>
      </c>
      <c r="J166" s="6" t="s">
        <v>2459</v>
      </c>
      <c r="K166" s="6" t="s">
        <v>2460</v>
      </c>
      <c r="L166" s="6"/>
      <c r="M166" s="6"/>
      <c r="N166" s="6" t="s">
        <v>3268</v>
      </c>
      <c r="O166" s="6" t="s">
        <v>7</v>
      </c>
      <c r="P166" s="6" t="str">
        <f>VLOOKUP(Tableau1[[#This Row],[SITES NAMES]],[1]Feuil1!$1:$1048576,8,FALSE)</f>
        <v>OK</v>
      </c>
      <c r="Q166" s="6" t="str">
        <f>VLOOKUP(Tableau1[[#This Row],[SITES NAMES]],[1]Feuil1!$1:$1048576,9,FALSE)</f>
        <v>NO</v>
      </c>
      <c r="R166" s="6" t="str">
        <f>VLOOKUP(Tableau1[[#This Row],[SITES NAMES]],[1]Feuil1!$1:$1048576,10,FALSE)</f>
        <v>NO</v>
      </c>
      <c r="S166" s="6" t="s">
        <v>2469</v>
      </c>
      <c r="T166" s="6" t="s">
        <v>2470</v>
      </c>
      <c r="U166" s="6" t="s">
        <v>2480</v>
      </c>
      <c r="V166" s="6" t="s">
        <v>2478</v>
      </c>
      <c r="W166" s="6" t="s">
        <v>2476</v>
      </c>
      <c r="X166" s="8" t="s">
        <v>3014</v>
      </c>
      <c r="Y166" s="6" t="s">
        <v>3238</v>
      </c>
      <c r="Z166" s="6" t="s">
        <v>3265</v>
      </c>
      <c r="AA166" s="35" t="s">
        <v>3607</v>
      </c>
      <c r="AB166" s="35" t="s">
        <v>3608</v>
      </c>
      <c r="AC166" s="35" t="s">
        <v>3614</v>
      </c>
      <c r="AD166" s="35" t="s">
        <v>3610</v>
      </c>
      <c r="AE166" s="35" t="s">
        <v>3610</v>
      </c>
      <c r="AF166" s="35" t="s">
        <v>3611</v>
      </c>
      <c r="AG166" s="35" t="s">
        <v>3612</v>
      </c>
      <c r="AH166" s="35" t="s">
        <v>3615</v>
      </c>
    </row>
    <row r="167" spans="1:34" ht="14.45" hidden="1" customHeight="1" x14ac:dyDescent="0.25">
      <c r="A167" s="6" t="s">
        <v>1751</v>
      </c>
      <c r="B167" s="7">
        <v>44612</v>
      </c>
      <c r="C167" s="6" t="s">
        <v>1750</v>
      </c>
      <c r="D167" s="6" t="s">
        <v>66</v>
      </c>
      <c r="E167" s="6" t="s">
        <v>3234</v>
      </c>
      <c r="F167" s="6" t="s">
        <v>3229</v>
      </c>
      <c r="G167" s="8">
        <v>1.1573799899999999</v>
      </c>
      <c r="H167" s="8">
        <v>6.2024899900000001</v>
      </c>
      <c r="I167" s="6" t="s">
        <v>2475</v>
      </c>
      <c r="J167" s="6" t="s">
        <v>2459</v>
      </c>
      <c r="K167" s="6" t="s">
        <v>2460</v>
      </c>
      <c r="L167" s="6"/>
      <c r="M167" s="6"/>
      <c r="N167" s="6" t="s">
        <v>3268</v>
      </c>
      <c r="O167" s="6" t="s">
        <v>7</v>
      </c>
      <c r="P167" s="6" t="str">
        <f>VLOOKUP(Tableau1[[#This Row],[SITES NAMES]],[1]Feuil1!$1:$1048576,8,FALSE)</f>
        <v>OK</v>
      </c>
      <c r="Q167" s="6" t="str">
        <f>VLOOKUP(Tableau1[[#This Row],[SITES NAMES]],[1]Feuil1!$1:$1048576,9,FALSE)</f>
        <v>NO</v>
      </c>
      <c r="R167" s="6" t="str">
        <f>VLOOKUP(Tableau1[[#This Row],[SITES NAMES]],[1]Feuil1!$1:$1048576,10,FALSE)</f>
        <v>YES</v>
      </c>
      <c r="S167" s="6" t="s">
        <v>2469</v>
      </c>
      <c r="T167" s="6" t="s">
        <v>2470</v>
      </c>
      <c r="U167" s="6" t="s">
        <v>2480</v>
      </c>
      <c r="V167" s="6" t="s">
        <v>2464</v>
      </c>
      <c r="W167" s="6" t="s">
        <v>2476</v>
      </c>
      <c r="X167" s="8"/>
      <c r="Y167" s="6" t="s">
        <v>3238</v>
      </c>
      <c r="Z167" s="6" t="s">
        <v>3265</v>
      </c>
      <c r="AA167" s="35" t="s">
        <v>3607</v>
      </c>
      <c r="AB167" s="35" t="s">
        <v>3608</v>
      </c>
      <c r="AC167" s="35" t="s">
        <v>3614</v>
      </c>
      <c r="AD167" s="35" t="s">
        <v>3610</v>
      </c>
      <c r="AE167" s="35" t="s">
        <v>3610</v>
      </c>
      <c r="AF167" s="35" t="s">
        <v>3611</v>
      </c>
      <c r="AG167" s="35" t="s">
        <v>3612</v>
      </c>
      <c r="AH167" s="35" t="s">
        <v>3615</v>
      </c>
    </row>
    <row r="168" spans="1:34" ht="14.45" hidden="1" customHeight="1" x14ac:dyDescent="0.3">
      <c r="A168" s="6" t="s">
        <v>2153</v>
      </c>
      <c r="B168" s="7">
        <v>39975</v>
      </c>
      <c r="C168" s="6" t="s">
        <v>2152</v>
      </c>
      <c r="D168" s="6" t="s">
        <v>320</v>
      </c>
      <c r="E168" s="6" t="s">
        <v>2141</v>
      </c>
      <c r="F168" s="6" t="s">
        <v>3229</v>
      </c>
      <c r="G168" s="8">
        <v>1.15195</v>
      </c>
      <c r="H168" s="8">
        <v>9.1364599999999996</v>
      </c>
      <c r="I168" s="6" t="s">
        <v>2488</v>
      </c>
      <c r="J168" s="6" t="s">
        <v>2459</v>
      </c>
      <c r="K168" s="6" t="s">
        <v>2460</v>
      </c>
      <c r="L168" s="6"/>
      <c r="M168" s="6"/>
      <c r="N168" s="6" t="s">
        <v>3268</v>
      </c>
      <c r="O168" s="6" t="s">
        <v>7</v>
      </c>
      <c r="P168" s="6" t="str">
        <f>VLOOKUP(Tableau1[[#This Row],[SITES NAMES]],[1]Feuil1!$1:$1048576,8,FALSE)</f>
        <v>OK</v>
      </c>
      <c r="Q168" s="6" t="str">
        <f>VLOOKUP(Tableau1[[#This Row],[SITES NAMES]],[1]Feuil1!$1:$1048576,9,FALSE)</f>
        <v>NO</v>
      </c>
      <c r="R168" s="6" t="str">
        <f>VLOOKUP(Tableau1[[#This Row],[SITES NAMES]],[1]Feuil1!$1:$1048576,10,FALSE)</f>
        <v>NO</v>
      </c>
      <c r="S168" s="6" t="s">
        <v>2461</v>
      </c>
      <c r="T168" s="6" t="s">
        <v>2462</v>
      </c>
      <c r="U168" s="6" t="s">
        <v>2463</v>
      </c>
      <c r="V168" s="6" t="s">
        <v>2464</v>
      </c>
      <c r="W168" s="6" t="s">
        <v>2473</v>
      </c>
      <c r="X168" s="8" t="s">
        <v>3138</v>
      </c>
      <c r="Y168" s="6" t="s">
        <v>3238</v>
      </c>
      <c r="Z168" s="6" t="s">
        <v>3254</v>
      </c>
      <c r="AA168" s="37" t="s">
        <v>3672</v>
      </c>
      <c r="AB168" s="39" t="s">
        <v>3665</v>
      </c>
      <c r="AC168" s="37" t="s">
        <v>3673</v>
      </c>
      <c r="AD168" s="37" t="s">
        <v>3674</v>
      </c>
      <c r="AE168" s="37" t="s">
        <v>3675</v>
      </c>
      <c r="AF168" s="39" t="s">
        <v>3676</v>
      </c>
      <c r="AG168" s="37" t="s">
        <v>3670</v>
      </c>
      <c r="AH168" s="37" t="s">
        <v>3677</v>
      </c>
    </row>
    <row r="169" spans="1:34" ht="14.45" hidden="1" customHeight="1" x14ac:dyDescent="0.25">
      <c r="A169" s="6" t="s">
        <v>1622</v>
      </c>
      <c r="B169" s="7">
        <v>41443</v>
      </c>
      <c r="C169" s="6" t="s">
        <v>1621</v>
      </c>
      <c r="D169" s="6" t="s">
        <v>66</v>
      </c>
      <c r="E169" s="6" t="s">
        <v>3236</v>
      </c>
      <c r="F169" s="6" t="s">
        <v>3229</v>
      </c>
      <c r="G169" s="8">
        <v>1.1413611109999999</v>
      </c>
      <c r="H169" s="8">
        <v>6.2480704869999997</v>
      </c>
      <c r="I169" s="6" t="s">
        <v>2486</v>
      </c>
      <c r="J169" s="6" t="s">
        <v>2459</v>
      </c>
      <c r="K169" s="6" t="s">
        <v>2460</v>
      </c>
      <c r="L169" s="6"/>
      <c r="M169" s="6"/>
      <c r="N169" s="6" t="s">
        <v>3268</v>
      </c>
      <c r="O169" s="6" t="s">
        <v>7</v>
      </c>
      <c r="P169" s="6" t="str">
        <f>VLOOKUP(Tableau1[[#This Row],[SITES NAMES]],[1]Feuil1!$1:$1048576,8,FALSE)</f>
        <v>NOK</v>
      </c>
      <c r="Q169" s="6" t="str">
        <f>VLOOKUP(Tableau1[[#This Row],[SITES NAMES]],[1]Feuil1!$1:$1048576,9,FALSE)</f>
        <v>NO</v>
      </c>
      <c r="R169" s="6" t="str">
        <f>VLOOKUP(Tableau1[[#This Row],[SITES NAMES]],[1]Feuil1!$1:$1048576,10,FALSE)</f>
        <v>NO</v>
      </c>
      <c r="S169" s="6" t="s">
        <v>2469</v>
      </c>
      <c r="T169" s="6" t="s">
        <v>2470</v>
      </c>
      <c r="U169" s="6" t="s">
        <v>2480</v>
      </c>
      <c r="V169" s="6" t="s">
        <v>2478</v>
      </c>
      <c r="W169" s="6" t="s">
        <v>2476</v>
      </c>
      <c r="X169" s="8" t="s">
        <v>2987</v>
      </c>
      <c r="Y169" s="6" t="s">
        <v>3238</v>
      </c>
      <c r="Z169" s="6" t="s">
        <v>3263</v>
      </c>
      <c r="AA169" s="35" t="s">
        <v>3616</v>
      </c>
      <c r="AB169" s="35" t="s">
        <v>3608</v>
      </c>
      <c r="AC169" s="35" t="s">
        <v>3619</v>
      </c>
      <c r="AD169" s="35" t="s">
        <v>3610</v>
      </c>
      <c r="AE169" s="35" t="s">
        <v>3610</v>
      </c>
      <c r="AF169" s="35" t="s">
        <v>3611</v>
      </c>
      <c r="AG169" s="35" t="s">
        <v>3612</v>
      </c>
      <c r="AH169" s="35" t="s">
        <v>3620</v>
      </c>
    </row>
    <row r="170" spans="1:34" ht="14.45" hidden="1" customHeight="1" x14ac:dyDescent="0.3">
      <c r="A170" s="6" t="s">
        <v>65</v>
      </c>
      <c r="B170" s="7">
        <v>44840</v>
      </c>
      <c r="C170" s="6" t="s">
        <v>64</v>
      </c>
      <c r="D170" s="6" t="s">
        <v>5</v>
      </c>
      <c r="E170" s="6" t="s">
        <v>6</v>
      </c>
      <c r="F170" s="6" t="s">
        <v>3229</v>
      </c>
      <c r="G170" s="8">
        <v>1.5221070000000001</v>
      </c>
      <c r="H170" s="8">
        <v>6.2173619999999996</v>
      </c>
      <c r="I170" s="6" t="s">
        <v>2479</v>
      </c>
      <c r="J170" s="6" t="s">
        <v>2459</v>
      </c>
      <c r="K170" s="6" t="s">
        <v>2460</v>
      </c>
      <c r="L170" s="6"/>
      <c r="M170" s="6"/>
      <c r="N170" s="6" t="s">
        <v>3268</v>
      </c>
      <c r="O170" s="6" t="s">
        <v>7</v>
      </c>
      <c r="P170" s="6" t="str">
        <f>VLOOKUP(Tableau1[[#This Row],[SITES NAMES]],[1]Feuil1!$1:$1048576,8,FALSE)</f>
        <v>OK</v>
      </c>
      <c r="Q170" s="6" t="str">
        <f>VLOOKUP(Tableau1[[#This Row],[SITES NAMES]],[1]Feuil1!$1:$1048576,9,FALSE)</f>
        <v>NO</v>
      </c>
      <c r="R170" s="6" t="str">
        <f>VLOOKUP(Tableau1[[#This Row],[SITES NAMES]],[1]Feuil1!$1:$1048576,10,FALSE)</f>
        <v>YES</v>
      </c>
      <c r="S170" s="6" t="s">
        <v>2469</v>
      </c>
      <c r="T170" s="6" t="s">
        <v>2470</v>
      </c>
      <c r="U170" s="6" t="s">
        <v>2480</v>
      </c>
      <c r="V170" s="6" t="s">
        <v>2472</v>
      </c>
      <c r="W170" s="6" t="s">
        <v>2465</v>
      </c>
      <c r="X170" s="8"/>
      <c r="Y170" s="6" t="s">
        <v>3241</v>
      </c>
      <c r="Z170" s="6"/>
      <c r="AA170" s="37" t="s">
        <v>3626</v>
      </c>
      <c r="AB170" s="38" t="s">
        <v>3627</v>
      </c>
      <c r="AC170" s="37" t="s">
        <v>3633</v>
      </c>
      <c r="AD170" s="37" t="s">
        <v>3628</v>
      </c>
      <c r="AE170" s="37" t="s">
        <v>3629</v>
      </c>
      <c r="AF170" s="39" t="s">
        <v>3630</v>
      </c>
      <c r="AG170" s="37" t="s">
        <v>3631</v>
      </c>
      <c r="AH170" s="37" t="s">
        <v>3632</v>
      </c>
    </row>
    <row r="171" spans="1:34" ht="14.45" hidden="1" customHeight="1" x14ac:dyDescent="0.3">
      <c r="A171" s="6" t="s">
        <v>68</v>
      </c>
      <c r="B171" s="7">
        <v>41541</v>
      </c>
      <c r="C171" s="6" t="s">
        <v>67</v>
      </c>
      <c r="D171" s="6" t="s">
        <v>5</v>
      </c>
      <c r="E171" s="6" t="s">
        <v>6</v>
      </c>
      <c r="F171" s="6" t="s">
        <v>3229</v>
      </c>
      <c r="G171" s="8">
        <v>1.5642499999999999</v>
      </c>
      <c r="H171" s="8">
        <v>6.4819440000000004</v>
      </c>
      <c r="I171" s="6" t="s">
        <v>2486</v>
      </c>
      <c r="J171" s="6" t="s">
        <v>2459</v>
      </c>
      <c r="K171" s="6" t="s">
        <v>2460</v>
      </c>
      <c r="L171" s="6"/>
      <c r="M171" s="6"/>
      <c r="N171" s="6" t="s">
        <v>3268</v>
      </c>
      <c r="O171" s="6" t="s">
        <v>18</v>
      </c>
      <c r="P171" s="6" t="str">
        <f>VLOOKUP(Tableau1[[#This Row],[SITES NAMES]],[1]Feuil1!$1:$1048576,8,FALSE)</f>
        <v>OK</v>
      </c>
      <c r="Q171" s="6" t="str">
        <f>VLOOKUP(Tableau1[[#This Row],[SITES NAMES]],[1]Feuil1!$1:$1048576,9,FALSE)</f>
        <v>NO</v>
      </c>
      <c r="R171" s="6" t="str">
        <f>VLOOKUP(Tableau1[[#This Row],[SITES NAMES]],[1]Feuil1!$1:$1048576,10,FALSE)</f>
        <v>NO</v>
      </c>
      <c r="S171" s="6" t="s">
        <v>2469</v>
      </c>
      <c r="T171" s="6" t="s">
        <v>2470</v>
      </c>
      <c r="U171" s="6" t="s">
        <v>2480</v>
      </c>
      <c r="V171" s="6" t="s">
        <v>2464</v>
      </c>
      <c r="W171" s="6" t="s">
        <v>2473</v>
      </c>
      <c r="X171" s="8" t="s">
        <v>2496</v>
      </c>
      <c r="Y171" s="6" t="s">
        <v>3241</v>
      </c>
      <c r="Z171" t="e">
        <f>VLOOKUP(Tableau1[[#This Row],[SITES NAMES]],#REF!,3,FALSE)</f>
        <v>#REF!</v>
      </c>
      <c r="AA171" s="37" t="s">
        <v>3626</v>
      </c>
      <c r="AB171" s="38" t="s">
        <v>3627</v>
      </c>
      <c r="AC171" s="37" t="s">
        <v>3633</v>
      </c>
      <c r="AD171" s="37" t="s">
        <v>3628</v>
      </c>
      <c r="AE171" s="37" t="s">
        <v>3629</v>
      </c>
      <c r="AF171" s="39" t="s">
        <v>3630</v>
      </c>
      <c r="AG171" s="37" t="s">
        <v>3631</v>
      </c>
      <c r="AH171" s="37" t="s">
        <v>3632</v>
      </c>
    </row>
    <row r="172" spans="1:34" ht="14.45" hidden="1" customHeight="1" x14ac:dyDescent="0.3">
      <c r="A172" s="6" t="s">
        <v>177</v>
      </c>
      <c r="B172" s="7">
        <v>37653</v>
      </c>
      <c r="C172" s="6" t="s">
        <v>176</v>
      </c>
      <c r="D172" s="6" t="s">
        <v>132</v>
      </c>
      <c r="E172" s="6" t="s">
        <v>133</v>
      </c>
      <c r="F172" s="6" t="s">
        <v>3229</v>
      </c>
      <c r="G172" s="8">
        <v>0.90002899999999997</v>
      </c>
      <c r="H172" s="8">
        <v>7.4683450000000002</v>
      </c>
      <c r="I172" s="6" t="s">
        <v>2497</v>
      </c>
      <c r="J172" s="6" t="s">
        <v>2459</v>
      </c>
      <c r="K172" s="6" t="s">
        <v>2460</v>
      </c>
      <c r="L172" s="6"/>
      <c r="M172" s="6"/>
      <c r="N172" s="6" t="s">
        <v>3268</v>
      </c>
      <c r="O172" s="6" t="s">
        <v>7</v>
      </c>
      <c r="P172" s="6" t="str">
        <f>VLOOKUP(Tableau1[[#This Row],[SITES NAMES]],[1]Feuil1!$1:$1048576,8,FALSE)</f>
        <v>OK</v>
      </c>
      <c r="Q172" s="6" t="str">
        <f>VLOOKUP(Tableau1[[#This Row],[SITES NAMES]],[1]Feuil1!$1:$1048576,9,FALSE)</f>
        <v>NO</v>
      </c>
      <c r="R172" s="6" t="str">
        <f>VLOOKUP(Tableau1[[#This Row],[SITES NAMES]],[1]Feuil1!$1:$1048576,10,FALSE)</f>
        <v>NO</v>
      </c>
      <c r="S172" s="6" t="s">
        <v>2469</v>
      </c>
      <c r="T172" s="6" t="s">
        <v>2470</v>
      </c>
      <c r="U172" s="6" t="s">
        <v>2480</v>
      </c>
      <c r="V172" s="6" t="s">
        <v>2472</v>
      </c>
      <c r="W172" s="6" t="s">
        <v>2476</v>
      </c>
      <c r="X172" s="8" t="s">
        <v>2535</v>
      </c>
      <c r="Y172" s="6" t="s">
        <v>3238</v>
      </c>
      <c r="Z172" s="6" t="s">
        <v>3258</v>
      </c>
      <c r="AA172" s="37" t="s">
        <v>3643</v>
      </c>
      <c r="AB172" s="39" t="s">
        <v>3644</v>
      </c>
      <c r="AC172" s="37" t="s">
        <v>3645</v>
      </c>
      <c r="AD172" s="39" t="s">
        <v>3646</v>
      </c>
      <c r="AE172" s="39" t="s">
        <v>3647</v>
      </c>
      <c r="AF172" s="39" t="s">
        <v>3648</v>
      </c>
      <c r="AG172" s="37" t="s">
        <v>3649</v>
      </c>
      <c r="AH172" s="37" t="s">
        <v>3650</v>
      </c>
    </row>
    <row r="173" spans="1:34" ht="14.45" hidden="1" customHeight="1" x14ac:dyDescent="0.3">
      <c r="A173" s="6" t="s">
        <v>179</v>
      </c>
      <c r="B173" s="7">
        <v>44853</v>
      </c>
      <c r="C173" s="6" t="s">
        <v>178</v>
      </c>
      <c r="D173" s="6" t="s">
        <v>132</v>
      </c>
      <c r="E173" s="6" t="s">
        <v>133</v>
      </c>
      <c r="F173" s="6" t="s">
        <v>3229</v>
      </c>
      <c r="G173" s="8">
        <v>0.90139999999999998</v>
      </c>
      <c r="H173" s="8">
        <v>7.4555899999999999</v>
      </c>
      <c r="I173" s="6" t="s">
        <v>2475</v>
      </c>
      <c r="J173" s="6" t="s">
        <v>2459</v>
      </c>
      <c r="K173" s="6" t="s">
        <v>2460</v>
      </c>
      <c r="L173" s="6"/>
      <c r="M173" s="6"/>
      <c r="N173" s="6" t="s">
        <v>3268</v>
      </c>
      <c r="O173" s="6" t="s">
        <v>7</v>
      </c>
      <c r="P173" s="6" t="str">
        <f>VLOOKUP(Tableau1[[#This Row],[SITES NAMES]],[1]Feuil1!$1:$1048576,8,FALSE)</f>
        <v>OK</v>
      </c>
      <c r="Q173" s="6" t="str">
        <f>VLOOKUP(Tableau1[[#This Row],[SITES NAMES]],[1]Feuil1!$1:$1048576,9,FALSE)</f>
        <v>NO</v>
      </c>
      <c r="R173" s="6" t="str">
        <f>VLOOKUP(Tableau1[[#This Row],[SITES NAMES]],[1]Feuil1!$1:$1048576,10,FALSE)</f>
        <v>YES</v>
      </c>
      <c r="S173" s="6" t="s">
        <v>2461</v>
      </c>
      <c r="T173" s="6" t="s">
        <v>2462</v>
      </c>
      <c r="U173" s="6" t="s">
        <v>2463</v>
      </c>
      <c r="V173" s="6" t="s">
        <v>2472</v>
      </c>
      <c r="W173" s="6" t="s">
        <v>2476</v>
      </c>
      <c r="X173" s="8"/>
      <c r="Y173" s="6" t="s">
        <v>3238</v>
      </c>
      <c r="Z173" s="6" t="s">
        <v>3258</v>
      </c>
      <c r="AA173" s="37" t="s">
        <v>3643</v>
      </c>
      <c r="AB173" s="39" t="s">
        <v>3644</v>
      </c>
      <c r="AC173" s="37" t="s">
        <v>3645</v>
      </c>
      <c r="AD173" s="39" t="s">
        <v>3646</v>
      </c>
      <c r="AE173" s="39" t="s">
        <v>3647</v>
      </c>
      <c r="AF173" s="39" t="s">
        <v>3648</v>
      </c>
      <c r="AG173" s="37" t="s">
        <v>3649</v>
      </c>
      <c r="AH173" s="37" t="s">
        <v>3650</v>
      </c>
    </row>
    <row r="174" spans="1:34" ht="14.45" hidden="1" customHeight="1" x14ac:dyDescent="0.3">
      <c r="A174" s="6" t="s">
        <v>181</v>
      </c>
      <c r="B174" s="7">
        <v>40878</v>
      </c>
      <c r="C174" s="6" t="s">
        <v>180</v>
      </c>
      <c r="D174" s="6" t="s">
        <v>132</v>
      </c>
      <c r="E174" s="6" t="s">
        <v>133</v>
      </c>
      <c r="F174" s="6" t="s">
        <v>3229</v>
      </c>
      <c r="G174" s="8">
        <v>0.91056700000000002</v>
      </c>
      <c r="H174" s="8">
        <v>7.4619299999999997</v>
      </c>
      <c r="I174" s="6" t="s">
        <v>2486</v>
      </c>
      <c r="J174" s="6" t="s">
        <v>2459</v>
      </c>
      <c r="K174" s="6" t="s">
        <v>2460</v>
      </c>
      <c r="L174" s="6"/>
      <c r="M174" s="6"/>
      <c r="N174" s="6" t="s">
        <v>3268</v>
      </c>
      <c r="O174" s="6" t="s">
        <v>7</v>
      </c>
      <c r="P174" s="6" t="str">
        <f>VLOOKUP(Tableau1[[#This Row],[SITES NAMES]],[1]Feuil1!$1:$1048576,8,FALSE)</f>
        <v>OK</v>
      </c>
      <c r="Q174" s="6" t="str">
        <f>VLOOKUP(Tableau1[[#This Row],[SITES NAMES]],[1]Feuil1!$1:$1048576,9,FALSE)</f>
        <v>NO</v>
      </c>
      <c r="R174" s="6" t="str">
        <f>VLOOKUP(Tableau1[[#This Row],[SITES NAMES]],[1]Feuil1!$1:$1048576,10,FALSE)</f>
        <v>NO</v>
      </c>
      <c r="S174" s="6" t="s">
        <v>2461</v>
      </c>
      <c r="T174" s="6" t="s">
        <v>2462</v>
      </c>
      <c r="U174" s="6" t="s">
        <v>2463</v>
      </c>
      <c r="V174" s="6" t="s">
        <v>2472</v>
      </c>
      <c r="W174" s="6" t="s">
        <v>2476</v>
      </c>
      <c r="X174" s="8" t="s">
        <v>2536</v>
      </c>
      <c r="Y174" s="6" t="s">
        <v>3238</v>
      </c>
      <c r="Z174" s="6" t="s">
        <v>3258</v>
      </c>
      <c r="AA174" s="37" t="s">
        <v>3643</v>
      </c>
      <c r="AB174" s="39" t="s">
        <v>3644</v>
      </c>
      <c r="AC174" s="37" t="s">
        <v>3645</v>
      </c>
      <c r="AD174" s="39" t="s">
        <v>3646</v>
      </c>
      <c r="AE174" s="39" t="s">
        <v>3647</v>
      </c>
      <c r="AF174" s="39" t="s">
        <v>3648</v>
      </c>
      <c r="AG174" s="37" t="s">
        <v>3649</v>
      </c>
      <c r="AH174" s="37" t="s">
        <v>3650</v>
      </c>
    </row>
    <row r="175" spans="1:34" ht="14.45" hidden="1" customHeight="1" x14ac:dyDescent="0.3">
      <c r="A175" s="6" t="s">
        <v>1010</v>
      </c>
      <c r="B175" s="7">
        <v>40926</v>
      </c>
      <c r="C175" s="6" t="s">
        <v>1009</v>
      </c>
      <c r="D175" s="6" t="s">
        <v>5</v>
      </c>
      <c r="E175" s="6" t="s">
        <v>1003</v>
      </c>
      <c r="F175" s="6" t="s">
        <v>3229</v>
      </c>
      <c r="G175" s="8">
        <v>0.86886099999999999</v>
      </c>
      <c r="H175" s="8">
        <v>7.3886399999999997</v>
      </c>
      <c r="I175" s="6" t="s">
        <v>2486</v>
      </c>
      <c r="J175" s="6" t="s">
        <v>2459</v>
      </c>
      <c r="K175" s="6" t="s">
        <v>2460</v>
      </c>
      <c r="L175" s="6"/>
      <c r="M175" s="6"/>
      <c r="N175" s="6" t="s">
        <v>3268</v>
      </c>
      <c r="O175" s="6" t="s">
        <v>7</v>
      </c>
      <c r="P175" s="6" t="str">
        <f>VLOOKUP(Tableau1[[#This Row],[SITES NAMES]],[1]Feuil1!$1:$1048576,8,FALSE)</f>
        <v>OK</v>
      </c>
      <c r="Q175" s="6" t="str">
        <f>VLOOKUP(Tableau1[[#This Row],[SITES NAMES]],[1]Feuil1!$1:$1048576,9,FALSE)</f>
        <v>NO</v>
      </c>
      <c r="R175" s="6" t="str">
        <f>VLOOKUP(Tableau1[[#This Row],[SITES NAMES]],[1]Feuil1!$1:$1048576,10,FALSE)</f>
        <v>NO</v>
      </c>
      <c r="S175" s="6" t="s">
        <v>2469</v>
      </c>
      <c r="T175" s="6" t="s">
        <v>2470</v>
      </c>
      <c r="U175" s="6" t="s">
        <v>2480</v>
      </c>
      <c r="V175" s="6" t="s">
        <v>2464</v>
      </c>
      <c r="W175" s="6" t="s">
        <v>2465</v>
      </c>
      <c r="X175" s="8" t="e">
        <f>VLOOKUP(Tableau1[[#This Row],[SITES NAMES]],[2]Feuil1!$1:$1048576,5,FALSE)</f>
        <v>#N/A</v>
      </c>
      <c r="Y175" s="6" t="s">
        <v>3241</v>
      </c>
      <c r="Z175" s="6"/>
      <c r="AA175" s="37" t="s">
        <v>3634</v>
      </c>
      <c r="AB175" s="38" t="s">
        <v>3627</v>
      </c>
      <c r="AC175" s="37" t="s">
        <v>3635</v>
      </c>
      <c r="AD175" s="37" t="s">
        <v>3636</v>
      </c>
      <c r="AE175" s="37" t="s">
        <v>3637</v>
      </c>
      <c r="AF175" s="37" t="s">
        <v>3636</v>
      </c>
      <c r="AG175" s="37" t="s">
        <v>3638</v>
      </c>
      <c r="AH175" s="37" t="s">
        <v>3639</v>
      </c>
    </row>
    <row r="176" spans="1:34" ht="14.45" hidden="1" customHeight="1" x14ac:dyDescent="0.3">
      <c r="A176" s="6" t="s">
        <v>1012</v>
      </c>
      <c r="B176" s="7">
        <v>41101</v>
      </c>
      <c r="C176" s="6" t="s">
        <v>1011</v>
      </c>
      <c r="D176" s="6" t="s">
        <v>5</v>
      </c>
      <c r="E176" s="6" t="s">
        <v>1003</v>
      </c>
      <c r="F176" s="6" t="s">
        <v>3229</v>
      </c>
      <c r="G176" s="8">
        <v>0.84030000000000005</v>
      </c>
      <c r="H176" s="8">
        <v>6.6726200000000002</v>
      </c>
      <c r="I176" s="6" t="s">
        <v>2477</v>
      </c>
      <c r="J176" s="6" t="s">
        <v>2459</v>
      </c>
      <c r="K176" s="6" t="s">
        <v>2460</v>
      </c>
      <c r="L176" s="6"/>
      <c r="M176" s="6"/>
      <c r="N176" s="6" t="s">
        <v>3268</v>
      </c>
      <c r="O176" s="6" t="s">
        <v>7</v>
      </c>
      <c r="P176" s="6" t="str">
        <f>VLOOKUP(Tableau1[[#This Row],[SITES NAMES]],[1]Feuil1!$1:$1048576,8,FALSE)</f>
        <v>OK</v>
      </c>
      <c r="Q176" s="6" t="str">
        <f>VLOOKUP(Tableau1[[#This Row],[SITES NAMES]],[1]Feuil1!$1:$1048576,9,FALSE)</f>
        <v>NO</v>
      </c>
      <c r="R176" s="6" t="str">
        <f>VLOOKUP(Tableau1[[#This Row],[SITES NAMES]],[1]Feuil1!$1:$1048576,10,FALSE)</f>
        <v>NO</v>
      </c>
      <c r="S176" s="6" t="s">
        <v>2469</v>
      </c>
      <c r="T176" s="6" t="s">
        <v>2470</v>
      </c>
      <c r="U176" s="6" t="s">
        <v>2480</v>
      </c>
      <c r="V176" s="6" t="s">
        <v>2464</v>
      </c>
      <c r="W176" s="6" t="s">
        <v>2473</v>
      </c>
      <c r="X176" s="8" t="s">
        <v>2841</v>
      </c>
      <c r="Y176" s="6" t="s">
        <v>3241</v>
      </c>
      <c r="Z176" s="6"/>
      <c r="AA176" s="37" t="s">
        <v>3634</v>
      </c>
      <c r="AB176" s="38" t="s">
        <v>3627</v>
      </c>
      <c r="AC176" s="37" t="s">
        <v>3635</v>
      </c>
      <c r="AD176" s="37" t="s">
        <v>3636</v>
      </c>
      <c r="AE176" s="37" t="s">
        <v>3637</v>
      </c>
      <c r="AF176" s="37" t="s">
        <v>3636</v>
      </c>
      <c r="AG176" s="37" t="s">
        <v>3638</v>
      </c>
      <c r="AH176" s="37" t="s">
        <v>3639</v>
      </c>
    </row>
    <row r="177" spans="1:34" ht="14.45" hidden="1" customHeight="1" x14ac:dyDescent="0.3">
      <c r="A177" s="6" t="s">
        <v>183</v>
      </c>
      <c r="B177" s="7">
        <v>41609</v>
      </c>
      <c r="C177" s="6" t="s">
        <v>182</v>
      </c>
      <c r="D177" s="6" t="s">
        <v>132</v>
      </c>
      <c r="E177" s="6" t="s">
        <v>133</v>
      </c>
      <c r="F177" s="6" t="s">
        <v>3229</v>
      </c>
      <c r="G177" s="8">
        <v>1.173119</v>
      </c>
      <c r="H177" s="8">
        <v>7.372071</v>
      </c>
      <c r="I177" s="6" t="s">
        <v>2477</v>
      </c>
      <c r="J177" s="6" t="s">
        <v>2459</v>
      </c>
      <c r="K177" s="6" t="s">
        <v>2460</v>
      </c>
      <c r="L177" s="6" t="s">
        <v>3354</v>
      </c>
      <c r="M177" s="6"/>
      <c r="N177" s="6" t="s">
        <v>3268</v>
      </c>
      <c r="O177" s="6" t="s">
        <v>18</v>
      </c>
      <c r="P177" s="6" t="str">
        <f>VLOOKUP(Tableau1[[#This Row],[SITES NAMES]],[1]Feuil1!$1:$1048576,8,FALSE)</f>
        <v>NOK</v>
      </c>
      <c r="Q177" s="6" t="str">
        <f>VLOOKUP(Tableau1[[#This Row],[SITES NAMES]],[1]Feuil1!$1:$1048576,9,FALSE)</f>
        <v>NO</v>
      </c>
      <c r="R177" s="6" t="str">
        <f>VLOOKUP(Tableau1[[#This Row],[SITES NAMES]],[1]Feuil1!$1:$1048576,10,FALSE)</f>
        <v>NO</v>
      </c>
      <c r="S177" s="6" t="s">
        <v>2469</v>
      </c>
      <c r="T177" s="6" t="s">
        <v>2470</v>
      </c>
      <c r="U177" s="6" t="s">
        <v>2471</v>
      </c>
      <c r="V177" s="6" t="s">
        <v>2472</v>
      </c>
      <c r="W177" s="6" t="s">
        <v>2473</v>
      </c>
      <c r="X177" s="8" t="s">
        <v>2537</v>
      </c>
      <c r="Y177" s="6" t="s">
        <v>3238</v>
      </c>
      <c r="Z177" s="6" t="s">
        <v>3258</v>
      </c>
      <c r="AA177" s="37" t="s">
        <v>3643</v>
      </c>
      <c r="AB177" s="39" t="s">
        <v>3644</v>
      </c>
      <c r="AC177" s="37" t="s">
        <v>3645</v>
      </c>
      <c r="AD177" s="39" t="s">
        <v>3646</v>
      </c>
      <c r="AE177" s="39" t="s">
        <v>3647</v>
      </c>
      <c r="AF177" s="39" t="s">
        <v>3648</v>
      </c>
      <c r="AG177" s="37" t="s">
        <v>3649</v>
      </c>
      <c r="AH177" s="37" t="s">
        <v>3650</v>
      </c>
    </row>
    <row r="178" spans="1:34" ht="14.45" hidden="1" customHeight="1" x14ac:dyDescent="0.25">
      <c r="A178" s="6" t="s">
        <v>1845</v>
      </c>
      <c r="B178" s="7">
        <v>46022</v>
      </c>
      <c r="C178" s="6" t="s">
        <v>1844</v>
      </c>
      <c r="D178" s="6" t="s">
        <v>66</v>
      </c>
      <c r="E178" s="6" t="s">
        <v>3232</v>
      </c>
      <c r="F178" s="6" t="s">
        <v>3229</v>
      </c>
      <c r="G178" s="8">
        <v>1.2319983000000001</v>
      </c>
      <c r="H178" s="8">
        <v>6.142385</v>
      </c>
      <c r="I178" s="16" t="s">
        <v>2475</v>
      </c>
      <c r="J178" s="6" t="s">
        <v>2459</v>
      </c>
      <c r="K178" s="6" t="s">
        <v>2468</v>
      </c>
      <c r="L178" s="6"/>
      <c r="M178" s="6"/>
      <c r="N178" s="6" t="s">
        <v>2468</v>
      </c>
      <c r="O178" s="6" t="s">
        <v>7</v>
      </c>
      <c r="P178" s="6"/>
      <c r="Q178" s="6"/>
      <c r="R178" s="6"/>
      <c r="S178" s="6"/>
      <c r="T178" s="6"/>
      <c r="U178" s="6"/>
      <c r="V178" s="6"/>
      <c r="W178" s="6"/>
      <c r="X178" s="8"/>
      <c r="Y178" s="6" t="s">
        <v>3238</v>
      </c>
      <c r="Z178" s="6" t="s">
        <v>3262</v>
      </c>
      <c r="AA178" s="35" t="s">
        <v>3621</v>
      </c>
      <c r="AB178" s="35" t="s">
        <v>3608</v>
      </c>
      <c r="AC178" s="35" t="s">
        <v>3624</v>
      </c>
      <c r="AD178" s="35" t="s">
        <v>3610</v>
      </c>
      <c r="AE178" s="35" t="s">
        <v>3610</v>
      </c>
      <c r="AF178" s="35" t="s">
        <v>3611</v>
      </c>
      <c r="AG178" s="35" t="s">
        <v>3612</v>
      </c>
      <c r="AH178" s="35" t="s">
        <v>3625</v>
      </c>
    </row>
    <row r="179" spans="1:34" ht="15.75" hidden="1" x14ac:dyDescent="0.3">
      <c r="A179" s="6" t="s">
        <v>6</v>
      </c>
      <c r="B179" s="7">
        <v>0</v>
      </c>
      <c r="C179" s="6" t="s">
        <v>69</v>
      </c>
      <c r="D179" s="6" t="s">
        <v>5</v>
      </c>
      <c r="E179" s="6" t="s">
        <v>6</v>
      </c>
      <c r="F179" s="18" t="s">
        <v>3230</v>
      </c>
      <c r="G179" s="8">
        <v>1.6086389999999999</v>
      </c>
      <c r="H179" s="8">
        <v>6.2531109999999996</v>
      </c>
      <c r="I179" s="6" t="s">
        <v>2497</v>
      </c>
      <c r="J179" s="6" t="s">
        <v>2459</v>
      </c>
      <c r="K179" s="6" t="s">
        <v>2460</v>
      </c>
      <c r="L179" s="6"/>
      <c r="M179" s="6"/>
      <c r="N179" s="21" t="s">
        <v>3269</v>
      </c>
      <c r="O179" s="6" t="s">
        <v>7</v>
      </c>
      <c r="P179" s="6" t="str">
        <f>VLOOKUP(Tableau1[[#This Row],[SITES NAMES]],[1]Feuil1!$1:$1048576,8,FALSE)</f>
        <v>OK</v>
      </c>
      <c r="Q179" s="6" t="str">
        <f>VLOOKUP(Tableau1[[#This Row],[SITES NAMES]],[1]Feuil1!$1:$1048576,9,FALSE)</f>
        <v>YES</v>
      </c>
      <c r="R179" s="6" t="str">
        <f>VLOOKUP(Tableau1[[#This Row],[SITES NAMES]],[1]Feuil1!$1:$1048576,10,FALSE)</f>
        <v>YES</v>
      </c>
      <c r="S179" s="6" t="s">
        <v>2461</v>
      </c>
      <c r="T179" s="6" t="s">
        <v>2470</v>
      </c>
      <c r="U179" s="6" t="s">
        <v>2471</v>
      </c>
      <c r="V179" s="6" t="s">
        <v>2498</v>
      </c>
      <c r="W179" s="6" t="s">
        <v>2476</v>
      </c>
      <c r="X179" s="8" t="s">
        <v>2499</v>
      </c>
      <c r="Y179" s="6" t="s">
        <v>3241</v>
      </c>
      <c r="Z179" t="e">
        <f>VLOOKUP(Tableau1[[#This Row],[SITES NAMES]],#REF!,3,FALSE)</f>
        <v>#REF!</v>
      </c>
      <c r="AA179" s="37" t="s">
        <v>3626</v>
      </c>
      <c r="AB179" s="38" t="s">
        <v>3627</v>
      </c>
      <c r="AC179" s="37" t="s">
        <v>3633</v>
      </c>
      <c r="AD179" s="37" t="s">
        <v>3628</v>
      </c>
      <c r="AE179" s="37" t="s">
        <v>3629</v>
      </c>
      <c r="AF179" s="39" t="s">
        <v>3630</v>
      </c>
      <c r="AG179" s="37" t="s">
        <v>3631</v>
      </c>
      <c r="AH179" s="37" t="s">
        <v>3632</v>
      </c>
    </row>
    <row r="180" spans="1:34" ht="14.45" hidden="1" customHeight="1" x14ac:dyDescent="0.3">
      <c r="A180" s="6" t="s">
        <v>46</v>
      </c>
      <c r="B180" s="7">
        <v>46022</v>
      </c>
      <c r="C180" s="6" t="s">
        <v>45</v>
      </c>
      <c r="D180" s="6" t="s">
        <v>5</v>
      </c>
      <c r="E180" s="6" t="s">
        <v>6</v>
      </c>
      <c r="F180" s="6" t="s">
        <v>3229</v>
      </c>
      <c r="G180" s="8">
        <v>1.6017939999999999</v>
      </c>
      <c r="H180" s="8">
        <v>6.2683520000000001</v>
      </c>
      <c r="I180" s="6" t="e">
        <v>#N/A</v>
      </c>
      <c r="J180" s="6" t="s">
        <v>2459</v>
      </c>
      <c r="K180" s="6" t="s">
        <v>2468</v>
      </c>
      <c r="L180" s="6"/>
      <c r="M180" s="6"/>
      <c r="N180" s="6" t="s">
        <v>2468</v>
      </c>
      <c r="O180" s="6" t="s">
        <v>47</v>
      </c>
      <c r="P180" s="6"/>
      <c r="Q180" s="6"/>
      <c r="R180" s="6"/>
      <c r="S180" s="6"/>
      <c r="T180" s="6"/>
      <c r="U180" s="6"/>
      <c r="V180" s="6"/>
      <c r="W180" s="6"/>
      <c r="X180" s="8"/>
      <c r="Y180" s="6" t="s">
        <v>3241</v>
      </c>
      <c r="Z180" s="6"/>
      <c r="AA180" s="37" t="s">
        <v>3626</v>
      </c>
      <c r="AB180" s="38" t="s">
        <v>3627</v>
      </c>
      <c r="AC180" s="37" t="s">
        <v>3633</v>
      </c>
      <c r="AD180" s="37" t="s">
        <v>3628</v>
      </c>
      <c r="AE180" s="37" t="s">
        <v>3629</v>
      </c>
      <c r="AF180" s="39" t="s">
        <v>3630</v>
      </c>
      <c r="AG180" s="37" t="s">
        <v>3631</v>
      </c>
      <c r="AH180" s="37" t="s">
        <v>3632</v>
      </c>
    </row>
    <row r="181" spans="1:34" ht="14.45" hidden="1" customHeight="1" x14ac:dyDescent="0.3">
      <c r="A181" s="6" t="s">
        <v>11</v>
      </c>
      <c r="B181" s="7">
        <v>45103</v>
      </c>
      <c r="C181" s="6" t="s">
        <v>10</v>
      </c>
      <c r="D181" s="6" t="s">
        <v>5</v>
      </c>
      <c r="E181" s="6" t="s">
        <v>6</v>
      </c>
      <c r="F181" s="6" t="s">
        <v>3229</v>
      </c>
      <c r="G181" s="8">
        <v>1.6164400000000001</v>
      </c>
      <c r="H181" s="8">
        <v>6.2461700000000002</v>
      </c>
      <c r="I181" s="6" t="s">
        <v>2475</v>
      </c>
      <c r="J181" s="6" t="s">
        <v>2459</v>
      </c>
      <c r="K181" s="6" t="s">
        <v>2460</v>
      </c>
      <c r="L181" s="6" t="s">
        <v>3355</v>
      </c>
      <c r="M181" s="6"/>
      <c r="N181" s="6" t="s">
        <v>3268</v>
      </c>
      <c r="O181" s="6" t="s">
        <v>7</v>
      </c>
      <c r="P181" s="6" t="str">
        <f>VLOOKUP(Tableau1[[#This Row],[SITES NAMES]],[1]Feuil1!$1:$1048576,8,FALSE)</f>
        <v>OK</v>
      </c>
      <c r="Q181" s="6" t="str">
        <f>VLOOKUP(Tableau1[[#This Row],[SITES NAMES]],[1]Feuil1!$1:$1048576,9,FALSE)</f>
        <v>NO</v>
      </c>
      <c r="R181" s="6" t="str">
        <f>VLOOKUP(Tableau1[[#This Row],[SITES NAMES]],[1]Feuil1!$1:$1048576,10,FALSE)</f>
        <v>NO</v>
      </c>
      <c r="S181" s="6" t="s">
        <v>2469</v>
      </c>
      <c r="T181" s="6" t="s">
        <v>2470</v>
      </c>
      <c r="U181" s="6" t="s">
        <v>2471</v>
      </c>
      <c r="V181" s="6" t="s">
        <v>2464</v>
      </c>
      <c r="W181" s="6" t="s">
        <v>2476</v>
      </c>
      <c r="X181" s="8">
        <v>70997330</v>
      </c>
      <c r="Y181" s="6" t="s">
        <v>3241</v>
      </c>
      <c r="Z181" s="6"/>
      <c r="AA181" s="37" t="s">
        <v>3626</v>
      </c>
      <c r="AB181" s="38" t="s">
        <v>3627</v>
      </c>
      <c r="AC181" s="37" t="s">
        <v>3633</v>
      </c>
      <c r="AD181" s="37" t="s">
        <v>3628</v>
      </c>
      <c r="AE181" s="37" t="s">
        <v>3629</v>
      </c>
      <c r="AF181" s="39" t="s">
        <v>3630</v>
      </c>
      <c r="AG181" s="37" t="s">
        <v>3631</v>
      </c>
      <c r="AH181" s="37" t="s">
        <v>3632</v>
      </c>
    </row>
    <row r="182" spans="1:34" ht="14.45" hidden="1" customHeight="1" x14ac:dyDescent="0.3">
      <c r="A182" s="6" t="s">
        <v>71</v>
      </c>
      <c r="B182" s="7">
        <v>40959</v>
      </c>
      <c r="C182" s="6" t="s">
        <v>70</v>
      </c>
      <c r="D182" s="6" t="s">
        <v>5</v>
      </c>
      <c r="E182" s="6" t="s">
        <v>6</v>
      </c>
      <c r="F182" s="18" t="s">
        <v>3230</v>
      </c>
      <c r="G182" s="8">
        <v>1.6156140000000001</v>
      </c>
      <c r="H182" s="8">
        <v>6.2354529999999997</v>
      </c>
      <c r="I182" s="6" t="s">
        <v>2486</v>
      </c>
      <c r="J182" s="6" t="s">
        <v>2459</v>
      </c>
      <c r="K182" s="6" t="s">
        <v>2460</v>
      </c>
      <c r="L182" s="6"/>
      <c r="M182" s="6"/>
      <c r="N182" s="6" t="s">
        <v>3268</v>
      </c>
      <c r="O182" s="6" t="s">
        <v>7</v>
      </c>
      <c r="P182" s="6" t="str">
        <f>VLOOKUP(Tableau1[[#This Row],[SITES NAMES]],[1]Feuil1!$1:$1048576,8,FALSE)</f>
        <v>NOK</v>
      </c>
      <c r="Q182" s="6" t="str">
        <f>VLOOKUP(Tableau1[[#This Row],[SITES NAMES]],[1]Feuil1!$1:$1048576,9,FALSE)</f>
        <v>NO</v>
      </c>
      <c r="R182" s="6" t="str">
        <f>VLOOKUP(Tableau1[[#This Row],[SITES NAMES]],[1]Feuil1!$1:$1048576,10,FALSE)</f>
        <v>NO</v>
      </c>
      <c r="S182" s="6" t="s">
        <v>2461</v>
      </c>
      <c r="T182" s="6" t="s">
        <v>2462</v>
      </c>
      <c r="U182" s="6" t="s">
        <v>2463</v>
      </c>
      <c r="V182" s="6" t="s">
        <v>2464</v>
      </c>
      <c r="W182" s="6" t="s">
        <v>2476</v>
      </c>
      <c r="X182" s="8" t="s">
        <v>2500</v>
      </c>
      <c r="Y182" s="6" t="s">
        <v>3241</v>
      </c>
      <c r="Z182" s="6"/>
      <c r="AA182" s="37" t="s">
        <v>3626</v>
      </c>
      <c r="AB182" s="38" t="s">
        <v>3627</v>
      </c>
      <c r="AC182" s="37" t="s">
        <v>3633</v>
      </c>
      <c r="AD182" s="37" t="s">
        <v>3628</v>
      </c>
      <c r="AE182" s="37" t="s">
        <v>3629</v>
      </c>
      <c r="AF182" s="39" t="s">
        <v>3630</v>
      </c>
      <c r="AG182" s="37" t="s">
        <v>3631</v>
      </c>
      <c r="AH182" s="37" t="s">
        <v>3632</v>
      </c>
    </row>
    <row r="183" spans="1:34" ht="14.45" hidden="1" customHeight="1" x14ac:dyDescent="0.3">
      <c r="A183" s="6" t="s">
        <v>73</v>
      </c>
      <c r="B183" s="7">
        <v>39783</v>
      </c>
      <c r="C183" s="6" t="s">
        <v>72</v>
      </c>
      <c r="D183" s="6" t="s">
        <v>5</v>
      </c>
      <c r="E183" s="6" t="s">
        <v>6</v>
      </c>
      <c r="F183" s="18" t="s">
        <v>3230</v>
      </c>
      <c r="G183" s="8">
        <v>1.58239</v>
      </c>
      <c r="H183" s="8">
        <v>6.2308500000000002</v>
      </c>
      <c r="I183" s="6" t="s">
        <v>2486</v>
      </c>
      <c r="J183" s="6" t="s">
        <v>2459</v>
      </c>
      <c r="K183" s="6" t="s">
        <v>2460</v>
      </c>
      <c r="L183" s="6"/>
      <c r="M183" s="6"/>
      <c r="N183" s="6" t="s">
        <v>3268</v>
      </c>
      <c r="O183" s="6" t="s">
        <v>7</v>
      </c>
      <c r="P183" s="6" t="str">
        <f>VLOOKUP(Tableau1[[#This Row],[SITES NAMES]],[1]Feuil1!$1:$1048576,8,FALSE)</f>
        <v>OK</v>
      </c>
      <c r="Q183" s="6" t="str">
        <f>VLOOKUP(Tableau1[[#This Row],[SITES NAMES]],[1]Feuil1!$1:$1048576,9,FALSE)</f>
        <v>NO</v>
      </c>
      <c r="R183" s="6" t="str">
        <f>VLOOKUP(Tableau1[[#This Row],[SITES NAMES]],[1]Feuil1!$1:$1048576,10,FALSE)</f>
        <v>NO</v>
      </c>
      <c r="S183" s="6" t="s">
        <v>2461</v>
      </c>
      <c r="T183" s="6" t="s">
        <v>2462</v>
      </c>
      <c r="U183" s="6" t="s">
        <v>2463</v>
      </c>
      <c r="V183" s="6" t="s">
        <v>2464</v>
      </c>
      <c r="W183" s="6" t="s">
        <v>2476</v>
      </c>
      <c r="X183" s="8"/>
      <c r="Y183" s="6" t="s">
        <v>3241</v>
      </c>
      <c r="Z183" s="6"/>
      <c r="AA183" s="37" t="s">
        <v>3626</v>
      </c>
      <c r="AB183" s="38" t="s">
        <v>3627</v>
      </c>
      <c r="AC183" s="37" t="s">
        <v>3633</v>
      </c>
      <c r="AD183" s="37" t="s">
        <v>3628</v>
      </c>
      <c r="AE183" s="37" t="s">
        <v>3629</v>
      </c>
      <c r="AF183" s="39" t="s">
        <v>3630</v>
      </c>
      <c r="AG183" s="37" t="s">
        <v>3631</v>
      </c>
      <c r="AH183" s="37" t="s">
        <v>3632</v>
      </c>
    </row>
    <row r="184" spans="1:34" ht="14.45" hidden="1" customHeight="1" x14ac:dyDescent="0.3">
      <c r="A184" s="6" t="s">
        <v>75</v>
      </c>
      <c r="B184" s="7">
        <v>41974</v>
      </c>
      <c r="C184" s="6" t="s">
        <v>74</v>
      </c>
      <c r="D184" s="6" t="s">
        <v>5</v>
      </c>
      <c r="E184" s="6" t="s">
        <v>6</v>
      </c>
      <c r="F184" s="18" t="s">
        <v>3230</v>
      </c>
      <c r="G184" s="8">
        <v>1.5683400000000001</v>
      </c>
      <c r="H184" s="8">
        <v>6.2275999999999998</v>
      </c>
      <c r="I184" s="6" t="s">
        <v>2486</v>
      </c>
      <c r="J184" s="6" t="s">
        <v>2459</v>
      </c>
      <c r="K184" s="6" t="s">
        <v>2460</v>
      </c>
      <c r="L184" s="6"/>
      <c r="M184" s="6"/>
      <c r="N184" s="6" t="s">
        <v>3268</v>
      </c>
      <c r="O184" s="6" t="s">
        <v>7</v>
      </c>
      <c r="P184" s="6" t="str">
        <f>VLOOKUP(Tableau1[[#This Row],[SITES NAMES]],[1]Feuil1!$1:$1048576,8,FALSE)</f>
        <v>NOK</v>
      </c>
      <c r="Q184" s="6" t="str">
        <f>VLOOKUP(Tableau1[[#This Row],[SITES NAMES]],[1]Feuil1!$1:$1048576,9,FALSE)</f>
        <v>NO</v>
      </c>
      <c r="R184" s="6" t="str">
        <f>VLOOKUP(Tableau1[[#This Row],[SITES NAMES]],[1]Feuil1!$1:$1048576,10,FALSE)</f>
        <v>YES</v>
      </c>
      <c r="S184" s="6" t="s">
        <v>2461</v>
      </c>
      <c r="T184" s="6" t="s">
        <v>2462</v>
      </c>
      <c r="U184" s="6" t="s">
        <v>2463</v>
      </c>
      <c r="V184" s="6" t="s">
        <v>2464</v>
      </c>
      <c r="W184" s="6" t="s">
        <v>2476</v>
      </c>
      <c r="X184" s="8" t="s">
        <v>2501</v>
      </c>
      <c r="Y184" s="6" t="s">
        <v>3241</v>
      </c>
      <c r="Z184" s="6"/>
      <c r="AA184" s="37" t="s">
        <v>3626</v>
      </c>
      <c r="AB184" s="38" t="s">
        <v>3627</v>
      </c>
      <c r="AC184" s="37" t="s">
        <v>3633</v>
      </c>
      <c r="AD184" s="37" t="s">
        <v>3628</v>
      </c>
      <c r="AE184" s="37" t="s">
        <v>3629</v>
      </c>
      <c r="AF184" s="39" t="s">
        <v>3630</v>
      </c>
      <c r="AG184" s="37" t="s">
        <v>3631</v>
      </c>
      <c r="AH184" s="37" t="s">
        <v>3632</v>
      </c>
    </row>
    <row r="185" spans="1:34" ht="14.45" hidden="1" customHeight="1" x14ac:dyDescent="0.3">
      <c r="A185" s="6" t="s">
        <v>13</v>
      </c>
      <c r="B185" s="7">
        <v>43851</v>
      </c>
      <c r="C185" s="6" t="s">
        <v>12</v>
      </c>
      <c r="D185" s="6" t="s">
        <v>5</v>
      </c>
      <c r="E185" s="6" t="s">
        <v>6</v>
      </c>
      <c r="F185" s="6" t="s">
        <v>3229</v>
      </c>
      <c r="G185" s="8">
        <v>1.60945</v>
      </c>
      <c r="H185" s="8">
        <v>6.2368699999999997</v>
      </c>
      <c r="I185" s="6" t="s">
        <v>2477</v>
      </c>
      <c r="J185" s="6" t="s">
        <v>2459</v>
      </c>
      <c r="K185" s="6" t="s">
        <v>2460</v>
      </c>
      <c r="L185" s="6"/>
      <c r="M185" s="6"/>
      <c r="N185" s="6" t="s">
        <v>3268</v>
      </c>
      <c r="O185" s="6" t="s">
        <v>7</v>
      </c>
      <c r="P185" s="6" t="str">
        <f>VLOOKUP(Tableau1[[#This Row],[SITES NAMES]],[1]Feuil1!$1:$1048576,8,FALSE)</f>
        <v>NOK</v>
      </c>
      <c r="Q185" s="6" t="str">
        <f>VLOOKUP(Tableau1[[#This Row],[SITES NAMES]],[1]Feuil1!$1:$1048576,9,FALSE)</f>
        <v>NO</v>
      </c>
      <c r="R185" s="6" t="str">
        <f>VLOOKUP(Tableau1[[#This Row],[SITES NAMES]],[1]Feuil1!$1:$1048576,10,FALSE)</f>
        <v>NO</v>
      </c>
      <c r="S185" s="6" t="s">
        <v>2461</v>
      </c>
      <c r="T185" s="6" t="s">
        <v>2462</v>
      </c>
      <c r="U185" s="6" t="s">
        <v>2463</v>
      </c>
      <c r="V185" s="6" t="s">
        <v>2478</v>
      </c>
      <c r="W185" s="6" t="s">
        <v>2476</v>
      </c>
      <c r="X185" s="8" t="s">
        <v>3242</v>
      </c>
      <c r="Y185" s="6" t="s">
        <v>3241</v>
      </c>
      <c r="Z185" s="6"/>
      <c r="AA185" s="37" t="s">
        <v>3626</v>
      </c>
      <c r="AB185" s="38" t="s">
        <v>3627</v>
      </c>
      <c r="AC185" s="37" t="s">
        <v>3633</v>
      </c>
      <c r="AD185" s="37" t="s">
        <v>3628</v>
      </c>
      <c r="AE185" s="37" t="s">
        <v>3629</v>
      </c>
      <c r="AF185" s="39" t="s">
        <v>3630</v>
      </c>
      <c r="AG185" s="37" t="s">
        <v>3631</v>
      </c>
      <c r="AH185" s="37" t="s">
        <v>3632</v>
      </c>
    </row>
    <row r="186" spans="1:34" ht="14.45" hidden="1" customHeight="1" x14ac:dyDescent="0.3">
      <c r="A186" s="6" t="s">
        <v>15</v>
      </c>
      <c r="B186" s="7">
        <v>45192</v>
      </c>
      <c r="C186" s="6" t="s">
        <v>14</v>
      </c>
      <c r="D186" s="6" t="s">
        <v>5</v>
      </c>
      <c r="E186" s="6" t="s">
        <v>6</v>
      </c>
      <c r="F186" s="6" t="s">
        <v>3229</v>
      </c>
      <c r="G186" s="8">
        <v>1.6082099999999999</v>
      </c>
      <c r="H186" s="8">
        <v>6.2616480000000001</v>
      </c>
      <c r="I186" s="6" t="s">
        <v>2479</v>
      </c>
      <c r="J186" s="6" t="s">
        <v>2459</v>
      </c>
      <c r="K186" s="6" t="s">
        <v>2468</v>
      </c>
      <c r="L186" s="6" t="s">
        <v>3355</v>
      </c>
      <c r="M186" s="6"/>
      <c r="N186" s="6" t="s">
        <v>2468</v>
      </c>
      <c r="O186" s="6" t="s">
        <v>7</v>
      </c>
      <c r="P186" s="6" t="str">
        <f>VLOOKUP(Tableau1[[#This Row],[SITES NAMES]],[1]Feuil1!$1:$1048576,8,FALSE)</f>
        <v>OK</v>
      </c>
      <c r="Q186" s="6" t="str">
        <f>VLOOKUP(Tableau1[[#This Row],[SITES NAMES]],[1]Feuil1!$1:$1048576,9,FALSE)</f>
        <v>NO</v>
      </c>
      <c r="R186" s="6" t="str">
        <f>VLOOKUP(Tableau1[[#This Row],[SITES NAMES]],[1]Feuil1!$1:$1048576,10,FALSE)</f>
        <v>NO</v>
      </c>
      <c r="S186" s="6" t="s">
        <v>2469</v>
      </c>
      <c r="T186" s="6" t="s">
        <v>2470</v>
      </c>
      <c r="U186" s="6" t="s">
        <v>2480</v>
      </c>
      <c r="V186" s="6" t="s">
        <v>2464</v>
      </c>
      <c r="W186" s="6" t="s">
        <v>2465</v>
      </c>
      <c r="X186" s="8"/>
      <c r="Y186" s="6" t="s">
        <v>3241</v>
      </c>
      <c r="Z186" s="6"/>
      <c r="AA186" s="37" t="s">
        <v>3626</v>
      </c>
      <c r="AB186" s="38" t="s">
        <v>3627</v>
      </c>
      <c r="AC186" s="37" t="s">
        <v>3633</v>
      </c>
      <c r="AD186" s="37" t="s">
        <v>3628</v>
      </c>
      <c r="AE186" s="37" t="s">
        <v>3629</v>
      </c>
      <c r="AF186" s="39" t="s">
        <v>3630</v>
      </c>
      <c r="AG186" s="37" t="s">
        <v>3631</v>
      </c>
      <c r="AH186" s="37" t="s">
        <v>3632</v>
      </c>
    </row>
    <row r="187" spans="1:34" ht="14.45" hidden="1" customHeight="1" x14ac:dyDescent="0.25">
      <c r="A187" s="6" t="s">
        <v>1366</v>
      </c>
      <c r="B187" s="7">
        <v>38200</v>
      </c>
      <c r="C187" s="6" t="s">
        <v>1365</v>
      </c>
      <c r="D187" s="6" t="s">
        <v>66</v>
      </c>
      <c r="E187" s="6" t="s">
        <v>3231</v>
      </c>
      <c r="F187" s="6" t="s">
        <v>3229</v>
      </c>
      <c r="G187" s="8">
        <v>1.272273</v>
      </c>
      <c r="H187" s="8">
        <v>6.1598291229999997</v>
      </c>
      <c r="I187" s="6" t="s">
        <v>2497</v>
      </c>
      <c r="J187" s="6" t="s">
        <v>2459</v>
      </c>
      <c r="K187" s="6" t="s">
        <v>2460</v>
      </c>
      <c r="L187" s="6"/>
      <c r="M187" s="6"/>
      <c r="N187" s="6" t="s">
        <v>3268</v>
      </c>
      <c r="O187" s="6" t="s">
        <v>7</v>
      </c>
      <c r="P187" s="6" t="str">
        <f>VLOOKUP(Tableau1[[#This Row],[SITES NAMES]],[1]Feuil1!$1:$1048576,8,FALSE)</f>
        <v>OK</v>
      </c>
      <c r="Q187" s="6" t="str">
        <f>VLOOKUP(Tableau1[[#This Row],[SITES NAMES]],[1]Feuil1!$1:$1048576,9,FALSE)</f>
        <v>NO</v>
      </c>
      <c r="R187" s="6" t="str">
        <f>VLOOKUP(Tableau1[[#This Row],[SITES NAMES]],[1]Feuil1!$1:$1048576,10,FALSE)</f>
        <v>NO</v>
      </c>
      <c r="S187" s="6" t="s">
        <v>2461</v>
      </c>
      <c r="T187" s="6" t="s">
        <v>2462</v>
      </c>
      <c r="U187" s="6" t="s">
        <v>2463</v>
      </c>
      <c r="V187" s="6" t="s">
        <v>2464</v>
      </c>
      <c r="W187" s="6" t="s">
        <v>2476</v>
      </c>
      <c r="X187" s="8" t="s">
        <v>3243</v>
      </c>
      <c r="Y187" s="6" t="s">
        <v>3238</v>
      </c>
      <c r="Z187" s="6"/>
      <c r="AA187" s="35" t="s">
        <v>3621</v>
      </c>
      <c r="AB187" s="35" t="s">
        <v>3608</v>
      </c>
      <c r="AC187" s="35" t="s">
        <v>3622</v>
      </c>
      <c r="AD187" s="35" t="s">
        <v>3610</v>
      </c>
      <c r="AE187" s="35" t="s">
        <v>3610</v>
      </c>
      <c r="AF187" s="35" t="s">
        <v>3611</v>
      </c>
      <c r="AG187" s="35" t="s">
        <v>3612</v>
      </c>
      <c r="AH187" s="35" t="s">
        <v>3623</v>
      </c>
    </row>
    <row r="188" spans="1:34" ht="14.45" hidden="1" customHeight="1" x14ac:dyDescent="0.25">
      <c r="A188" s="6" t="s">
        <v>1316</v>
      </c>
      <c r="B188" s="7">
        <v>44540</v>
      </c>
      <c r="C188" s="6" t="s">
        <v>1315</v>
      </c>
      <c r="D188" s="6" t="s">
        <v>66</v>
      </c>
      <c r="E188" s="6" t="s">
        <v>3231</v>
      </c>
      <c r="F188" s="6" t="s">
        <v>3229</v>
      </c>
      <c r="G188" s="8">
        <v>1.2647200000000001</v>
      </c>
      <c r="H188" s="8">
        <v>6.1581099999999998</v>
      </c>
      <c r="I188" s="6" t="s">
        <v>2475</v>
      </c>
      <c r="J188" s="6" t="s">
        <v>2459</v>
      </c>
      <c r="K188" s="6" t="s">
        <v>2460</v>
      </c>
      <c r="L188" s="6"/>
      <c r="M188" s="6"/>
      <c r="N188" s="6" t="s">
        <v>3268</v>
      </c>
      <c r="O188" s="6" t="s">
        <v>7</v>
      </c>
      <c r="P188" s="6" t="str">
        <f>VLOOKUP(Tableau1[[#This Row],[SITES NAMES]],[1]Feuil1!$1:$1048576,8,FALSE)</f>
        <v>OK</v>
      </c>
      <c r="Q188" s="6" t="str">
        <f>VLOOKUP(Tableau1[[#This Row],[SITES NAMES]],[1]Feuil1!$1:$1048576,9,FALSE)</f>
        <v>NO</v>
      </c>
      <c r="R188" s="6" t="str">
        <f>VLOOKUP(Tableau1[[#This Row],[SITES NAMES]],[1]Feuil1!$1:$1048576,10,FALSE)</f>
        <v>YES</v>
      </c>
      <c r="S188" s="6" t="s">
        <v>2469</v>
      </c>
      <c r="T188" s="6" t="s">
        <v>2470</v>
      </c>
      <c r="U188" s="6" t="s">
        <v>2480</v>
      </c>
      <c r="V188" s="6" t="s">
        <v>2464</v>
      </c>
      <c r="W188" s="6" t="s">
        <v>2476</v>
      </c>
      <c r="X188" s="8"/>
      <c r="Y188" s="6" t="s">
        <v>3238</v>
      </c>
      <c r="Z188" s="6"/>
      <c r="AA188" s="35" t="s">
        <v>3621</v>
      </c>
      <c r="AB188" s="35" t="s">
        <v>3608</v>
      </c>
      <c r="AC188" s="35" t="s">
        <v>3622</v>
      </c>
      <c r="AD188" s="35" t="s">
        <v>3610</v>
      </c>
      <c r="AE188" s="35" t="s">
        <v>3610</v>
      </c>
      <c r="AF188" s="35" t="s">
        <v>3611</v>
      </c>
      <c r="AG188" s="35" t="s">
        <v>3612</v>
      </c>
      <c r="AH188" s="35" t="s">
        <v>3623</v>
      </c>
    </row>
    <row r="189" spans="1:34" ht="14.45" hidden="1" customHeight="1" x14ac:dyDescent="0.25">
      <c r="A189" s="6" t="s">
        <v>1368</v>
      </c>
      <c r="B189" s="7">
        <v>44532</v>
      </c>
      <c r="C189" s="6" t="s">
        <v>1367</v>
      </c>
      <c r="D189" s="6" t="s">
        <v>66</v>
      </c>
      <c r="E189" s="6" t="s">
        <v>3231</v>
      </c>
      <c r="F189" s="6" t="s">
        <v>3229</v>
      </c>
      <c r="G189" s="8">
        <v>1.2666278</v>
      </c>
      <c r="H189" s="8">
        <v>6.1644579999999998</v>
      </c>
      <c r="I189" s="6" t="s">
        <v>2475</v>
      </c>
      <c r="J189" s="6" t="s">
        <v>2459</v>
      </c>
      <c r="K189" s="6" t="s">
        <v>2460</v>
      </c>
      <c r="L189" s="6"/>
      <c r="M189" s="6"/>
      <c r="N189" s="6" t="s">
        <v>3268</v>
      </c>
      <c r="O189" s="6" t="s">
        <v>1206</v>
      </c>
      <c r="P189" s="6"/>
      <c r="Q189" s="6" t="str">
        <f>VLOOKUP(Tableau1[[#This Row],[SITES NAMES]],[1]Feuil1!$1:$1048576,9,FALSE)</f>
        <v>YES</v>
      </c>
      <c r="R189" s="6" t="str">
        <f>VLOOKUP(Tableau1[[#This Row],[SITES NAMES]],[1]Feuil1!$1:$1048576,10,FALSE)</f>
        <v>NO</v>
      </c>
      <c r="S189" s="6" t="s">
        <v>2469</v>
      </c>
      <c r="T189" s="6" t="s">
        <v>2470</v>
      </c>
      <c r="U189" s="6" t="s">
        <v>2480</v>
      </c>
      <c r="V189" s="6" t="s">
        <v>2464</v>
      </c>
      <c r="W189" s="6" t="s">
        <v>2476</v>
      </c>
      <c r="X189" s="8"/>
      <c r="Y189" s="6" t="s">
        <v>3238</v>
      </c>
      <c r="Z189" s="6"/>
      <c r="AA189" s="35" t="s">
        <v>3621</v>
      </c>
      <c r="AB189" s="35" t="s">
        <v>3608</v>
      </c>
      <c r="AC189" s="35" t="s">
        <v>3622</v>
      </c>
      <c r="AD189" s="35" t="s">
        <v>3610</v>
      </c>
      <c r="AE189" s="35" t="s">
        <v>3610</v>
      </c>
      <c r="AF189" s="35" t="s">
        <v>3611</v>
      </c>
      <c r="AG189" s="35" t="s">
        <v>3612</v>
      </c>
      <c r="AH189" s="35" t="s">
        <v>3623</v>
      </c>
    </row>
    <row r="190" spans="1:34" ht="14.45" hidden="1" customHeight="1" x14ac:dyDescent="0.3">
      <c r="A190" s="6" t="s">
        <v>77</v>
      </c>
      <c r="B190" s="7">
        <v>41430</v>
      </c>
      <c r="C190" s="6" t="s">
        <v>76</v>
      </c>
      <c r="D190" s="6" t="s">
        <v>5</v>
      </c>
      <c r="E190" s="6" t="s">
        <v>6</v>
      </c>
      <c r="F190" s="6" t="s">
        <v>3229</v>
      </c>
      <c r="G190" s="8">
        <v>1.6080369999999999</v>
      </c>
      <c r="H190" s="8">
        <v>6.3353260000000002</v>
      </c>
      <c r="I190" s="6" t="s">
        <v>2486</v>
      </c>
      <c r="J190" s="6" t="s">
        <v>2459</v>
      </c>
      <c r="K190" s="6" t="s">
        <v>2460</v>
      </c>
      <c r="L190" s="6"/>
      <c r="M190" s="6"/>
      <c r="N190" s="6" t="s">
        <v>3268</v>
      </c>
      <c r="O190" s="6" t="s">
        <v>7</v>
      </c>
      <c r="P190" s="6" t="str">
        <f>VLOOKUP(Tableau1[[#This Row],[SITES NAMES]],[1]Feuil1!$1:$1048576,8,FALSE)</f>
        <v>NOK</v>
      </c>
      <c r="Q190" s="6" t="str">
        <f>VLOOKUP(Tableau1[[#This Row],[SITES NAMES]],[1]Feuil1!$1:$1048576,9,FALSE)</f>
        <v>NO</v>
      </c>
      <c r="R190" s="6" t="str">
        <f>VLOOKUP(Tableau1[[#This Row],[SITES NAMES]],[1]Feuil1!$1:$1048576,10,FALSE)</f>
        <v>NO</v>
      </c>
      <c r="S190" s="6" t="s">
        <v>2469</v>
      </c>
      <c r="T190" s="6" t="s">
        <v>2470</v>
      </c>
      <c r="U190" s="6" t="s">
        <v>2471</v>
      </c>
      <c r="V190" s="6" t="s">
        <v>2464</v>
      </c>
      <c r="W190" s="6" t="s">
        <v>2465</v>
      </c>
      <c r="X190" s="8" t="s">
        <v>2502</v>
      </c>
      <c r="Y190" s="6" t="s">
        <v>3241</v>
      </c>
      <c r="Z190" t="e">
        <f>VLOOKUP(Tableau1[[#This Row],[SITES NAMES]],#REF!,3,FALSE)</f>
        <v>#REF!</v>
      </c>
      <c r="AA190" s="37" t="s">
        <v>3626</v>
      </c>
      <c r="AB190" s="38" t="s">
        <v>3627</v>
      </c>
      <c r="AC190" s="37" t="s">
        <v>3633</v>
      </c>
      <c r="AD190" s="37" t="s">
        <v>3628</v>
      </c>
      <c r="AE190" s="37" t="s">
        <v>3629</v>
      </c>
      <c r="AF190" s="39" t="s">
        <v>3630</v>
      </c>
      <c r="AG190" s="37" t="s">
        <v>3631</v>
      </c>
      <c r="AH190" s="37" t="s">
        <v>3632</v>
      </c>
    </row>
    <row r="191" spans="1:34" ht="15.75" hidden="1" x14ac:dyDescent="0.3">
      <c r="A191" s="6" t="s">
        <v>590</v>
      </c>
      <c r="B191" s="7">
        <v>0</v>
      </c>
      <c r="C191" s="6" t="s">
        <v>589</v>
      </c>
      <c r="D191" s="6" t="s">
        <v>132</v>
      </c>
      <c r="E191" s="6" t="s">
        <v>565</v>
      </c>
      <c r="F191" s="18" t="s">
        <v>3230</v>
      </c>
      <c r="G191" s="8">
        <v>1.1915899999999999</v>
      </c>
      <c r="H191" s="8">
        <v>7.7683999999999997</v>
      </c>
      <c r="I191" s="6" t="s">
        <v>2475</v>
      </c>
      <c r="J191" s="6" t="s">
        <v>2459</v>
      </c>
      <c r="K191" s="6" t="s">
        <v>2460</v>
      </c>
      <c r="L191" s="6"/>
      <c r="M191" s="6"/>
      <c r="N191" s="21" t="s">
        <v>3269</v>
      </c>
      <c r="O191" s="6" t="s">
        <v>7</v>
      </c>
      <c r="P191" s="6" t="str">
        <f>VLOOKUP(Tableau1[[#This Row],[SITES NAMES]],[1]Feuil1!$1:$1048576,8,FALSE)</f>
        <v>OK</v>
      </c>
      <c r="Q191" s="6" t="str">
        <f>VLOOKUP(Tableau1[[#This Row],[SITES NAMES]],[1]Feuil1!$1:$1048576,9,FALSE)</f>
        <v>NO</v>
      </c>
      <c r="R191" s="6" t="str">
        <f>VLOOKUP(Tableau1[[#This Row],[SITES NAMES]],[1]Feuil1!$1:$1048576,10,FALSE)</f>
        <v>YES</v>
      </c>
      <c r="S191" s="6" t="s">
        <v>2469</v>
      </c>
      <c r="T191" s="6" t="s">
        <v>2470</v>
      </c>
      <c r="U191" s="6" t="s">
        <v>2480</v>
      </c>
      <c r="V191" s="6" t="s">
        <v>2478</v>
      </c>
      <c r="W191" s="6" t="s">
        <v>2476</v>
      </c>
      <c r="X191" s="8" t="s">
        <v>2689</v>
      </c>
      <c r="Y191" s="6" t="s">
        <v>3238</v>
      </c>
      <c r="Z191" s="6"/>
      <c r="AA191" s="37" t="s">
        <v>3660</v>
      </c>
      <c r="AB191" s="39" t="s">
        <v>3644</v>
      </c>
      <c r="AC191" s="37" t="s">
        <v>3661</v>
      </c>
      <c r="AD191" s="39" t="s">
        <v>3646</v>
      </c>
      <c r="AE191" s="39" t="s">
        <v>3647</v>
      </c>
      <c r="AF191" s="39" t="s">
        <v>3662</v>
      </c>
      <c r="AG191" s="37" t="s">
        <v>3649</v>
      </c>
      <c r="AH191" s="37" t="s">
        <v>3663</v>
      </c>
    </row>
    <row r="192" spans="1:34" ht="14.45" hidden="1" customHeight="1" x14ac:dyDescent="0.3">
      <c r="A192" s="6" t="s">
        <v>564</v>
      </c>
      <c r="B192" s="7">
        <v>44855</v>
      </c>
      <c r="C192" s="6" t="s">
        <v>563</v>
      </c>
      <c r="D192" s="6" t="s">
        <v>132</v>
      </c>
      <c r="E192" s="6" t="s">
        <v>565</v>
      </c>
      <c r="F192" s="6" t="s">
        <v>3229</v>
      </c>
      <c r="G192" s="8">
        <v>1.194027803</v>
      </c>
      <c r="H192" s="8">
        <v>7.7819999930000003</v>
      </c>
      <c r="I192" s="16" t="s">
        <v>2477</v>
      </c>
      <c r="J192" s="6" t="s">
        <v>2459</v>
      </c>
      <c r="K192" s="6" t="s">
        <v>2460</v>
      </c>
      <c r="L192" s="6"/>
      <c r="M192" s="6"/>
      <c r="N192" s="6" t="s">
        <v>3268</v>
      </c>
      <c r="O192" s="6" t="s">
        <v>7</v>
      </c>
      <c r="P192" s="6" t="str">
        <f>VLOOKUP(Tableau1[[#This Row],[SITES NAMES]],[1]Feuil1!$1:$1048576,8,FALSE)</f>
        <v>OK</v>
      </c>
      <c r="Q192" s="6" t="str">
        <f>VLOOKUP(Tableau1[[#This Row],[SITES NAMES]],[1]Feuil1!$1:$1048576,9,FALSE)</f>
        <v>NO</v>
      </c>
      <c r="R192" s="6" t="str">
        <f>VLOOKUP(Tableau1[[#This Row],[SITES NAMES]],[1]Feuil1!$1:$1048576,10,FALSE)</f>
        <v>YES</v>
      </c>
      <c r="S192" s="6" t="s">
        <v>2461</v>
      </c>
      <c r="T192" s="6" t="s">
        <v>2462</v>
      </c>
      <c r="U192" s="6" t="s">
        <v>2463</v>
      </c>
      <c r="V192" s="6" t="s">
        <v>2478</v>
      </c>
      <c r="W192" s="6" t="s">
        <v>2465</v>
      </c>
      <c r="X192" s="8" t="s">
        <v>2679</v>
      </c>
      <c r="Y192" s="6" t="s">
        <v>3238</v>
      </c>
      <c r="Z192" s="6"/>
      <c r="AA192" s="37" t="s">
        <v>3660</v>
      </c>
      <c r="AB192" s="39" t="s">
        <v>3644</v>
      </c>
      <c r="AC192" s="37" t="s">
        <v>3661</v>
      </c>
      <c r="AD192" s="39" t="s">
        <v>3646</v>
      </c>
      <c r="AE192" s="39" t="s">
        <v>3647</v>
      </c>
      <c r="AF192" s="39" t="s">
        <v>3662</v>
      </c>
      <c r="AG192" s="37" t="s">
        <v>3649</v>
      </c>
      <c r="AH192" s="37" t="s">
        <v>3663</v>
      </c>
    </row>
    <row r="193" spans="1:34" ht="14.45" hidden="1" customHeight="1" x14ac:dyDescent="0.3">
      <c r="A193" s="6" t="s">
        <v>573</v>
      </c>
      <c r="B193" s="7">
        <v>43868</v>
      </c>
      <c r="C193" s="6" t="s">
        <v>572</v>
      </c>
      <c r="D193" s="6" t="s">
        <v>132</v>
      </c>
      <c r="E193" s="6" t="s">
        <v>565</v>
      </c>
      <c r="F193" s="6" t="s">
        <v>3229</v>
      </c>
      <c r="G193" s="8">
        <v>1.1964699999999999</v>
      </c>
      <c r="H193" s="8">
        <v>7.7380199999999997</v>
      </c>
      <c r="I193" s="6" t="s">
        <v>2486</v>
      </c>
      <c r="J193" s="6" t="s">
        <v>2459</v>
      </c>
      <c r="K193" s="6" t="s">
        <v>2460</v>
      </c>
      <c r="L193" s="6" t="s">
        <v>3356</v>
      </c>
      <c r="M193" s="6"/>
      <c r="N193" s="6" t="s">
        <v>3268</v>
      </c>
      <c r="O193" s="6" t="s">
        <v>37</v>
      </c>
      <c r="P193" s="6" t="str">
        <f>VLOOKUP(Tableau1[[#This Row],[SITES NAMES]],[1]Feuil1!$1:$1048576,8,FALSE)</f>
        <v>OK</v>
      </c>
      <c r="Q193" s="6" t="str">
        <f>VLOOKUP(Tableau1[[#This Row],[SITES NAMES]],[1]Feuil1!$1:$1048576,9,FALSE)</f>
        <v>YES</v>
      </c>
      <c r="R193" s="6" t="str">
        <f>VLOOKUP(Tableau1[[#This Row],[SITES NAMES]],[1]Feuil1!$1:$1048576,10,FALSE)</f>
        <v>YES</v>
      </c>
      <c r="S193" s="6" t="s">
        <v>2469</v>
      </c>
      <c r="T193" s="6" t="s">
        <v>2470</v>
      </c>
      <c r="U193" s="6" t="s">
        <v>2471</v>
      </c>
      <c r="V193" s="6" t="s">
        <v>2464</v>
      </c>
      <c r="W193" s="6" t="s">
        <v>2476</v>
      </c>
      <c r="X193" s="8" t="s">
        <v>2683</v>
      </c>
      <c r="Y193" s="6" t="s">
        <v>3238</v>
      </c>
      <c r="Z193" s="6"/>
      <c r="AA193" s="37" t="s">
        <v>3660</v>
      </c>
      <c r="AB193" s="39" t="s">
        <v>3644</v>
      </c>
      <c r="AC193" s="37" t="s">
        <v>3661</v>
      </c>
      <c r="AD193" s="39" t="s">
        <v>3646</v>
      </c>
      <c r="AE193" s="39" t="s">
        <v>3647</v>
      </c>
      <c r="AF193" s="39" t="s">
        <v>3662</v>
      </c>
      <c r="AG193" s="37" t="s">
        <v>3649</v>
      </c>
      <c r="AH193" s="37" t="s">
        <v>3663</v>
      </c>
    </row>
    <row r="194" spans="1:34" ht="14.45" hidden="1" customHeight="1" x14ac:dyDescent="0.3">
      <c r="A194" s="6" t="s">
        <v>582</v>
      </c>
      <c r="B194" s="7">
        <v>46022</v>
      </c>
      <c r="C194" s="6" t="s">
        <v>581</v>
      </c>
      <c r="D194" s="6" t="s">
        <v>132</v>
      </c>
      <c r="E194" s="6" t="s">
        <v>565</v>
      </c>
      <c r="F194" s="6" t="s">
        <v>3229</v>
      </c>
      <c r="G194" s="8">
        <v>1.1904699999999999</v>
      </c>
      <c r="H194" s="8">
        <v>7.7520230000000003</v>
      </c>
      <c r="I194" s="16" t="s">
        <v>3227</v>
      </c>
      <c r="J194" s="6" t="s">
        <v>2459</v>
      </c>
      <c r="K194" s="6" t="s">
        <v>2460</v>
      </c>
      <c r="L194" s="6"/>
      <c r="M194" s="6"/>
      <c r="N194" s="6" t="s">
        <v>3268</v>
      </c>
      <c r="O194" s="6" t="s">
        <v>7</v>
      </c>
      <c r="P194" s="6"/>
      <c r="Q194" s="6"/>
      <c r="R194" s="6"/>
      <c r="S194" s="6"/>
      <c r="T194" s="6"/>
      <c r="U194" s="6"/>
      <c r="V194" s="6"/>
      <c r="W194" s="6"/>
      <c r="X194" s="8"/>
      <c r="Y194" s="6" t="s">
        <v>3238</v>
      </c>
      <c r="Z194" s="6"/>
      <c r="AA194" s="37" t="s">
        <v>3660</v>
      </c>
      <c r="AB194" s="39" t="s">
        <v>3644</v>
      </c>
      <c r="AC194" s="37" t="s">
        <v>3661</v>
      </c>
      <c r="AD194" s="39" t="s">
        <v>3646</v>
      </c>
      <c r="AE194" s="39" t="s">
        <v>3647</v>
      </c>
      <c r="AF194" s="39" t="s">
        <v>3662</v>
      </c>
      <c r="AG194" s="37" t="s">
        <v>3649</v>
      </c>
      <c r="AH194" s="37" t="s">
        <v>3663</v>
      </c>
    </row>
    <row r="195" spans="1:34" ht="14.45" hidden="1" customHeight="1" x14ac:dyDescent="0.3">
      <c r="A195" s="6" t="s">
        <v>575</v>
      </c>
      <c r="B195" s="7">
        <v>43851</v>
      </c>
      <c r="C195" s="6" t="s">
        <v>574</v>
      </c>
      <c r="D195" s="6" t="s">
        <v>132</v>
      </c>
      <c r="E195" s="6" t="s">
        <v>565</v>
      </c>
      <c r="F195" s="6" t="s">
        <v>3229</v>
      </c>
      <c r="G195" s="8">
        <v>1.1920230000000001</v>
      </c>
      <c r="H195" s="8">
        <v>7.7598159999999998</v>
      </c>
      <c r="I195" s="6" t="s">
        <v>2486</v>
      </c>
      <c r="J195" s="6" t="s">
        <v>2459</v>
      </c>
      <c r="K195" s="6" t="s">
        <v>2460</v>
      </c>
      <c r="L195" s="6"/>
      <c r="M195" s="6"/>
      <c r="N195" s="6" t="s">
        <v>3268</v>
      </c>
      <c r="O195" s="6" t="s">
        <v>7</v>
      </c>
      <c r="P195" s="6" t="str">
        <f>VLOOKUP(Tableau1[[#This Row],[SITES NAMES]],[1]Feuil1!$1:$1048576,8,FALSE)</f>
        <v>OK</v>
      </c>
      <c r="Q195" s="6" t="str">
        <f>VLOOKUP(Tableau1[[#This Row],[SITES NAMES]],[1]Feuil1!$1:$1048576,9,FALSE)</f>
        <v>NO</v>
      </c>
      <c r="R195" s="6" t="str">
        <f>VLOOKUP(Tableau1[[#This Row],[SITES NAMES]],[1]Feuil1!$1:$1048576,10,FALSE)</f>
        <v>YES</v>
      </c>
      <c r="S195" s="6" t="s">
        <v>2469</v>
      </c>
      <c r="T195" s="6" t="s">
        <v>2470</v>
      </c>
      <c r="U195" s="6" t="s">
        <v>2471</v>
      </c>
      <c r="V195" s="6" t="s">
        <v>2478</v>
      </c>
      <c r="W195" s="6" t="s">
        <v>2476</v>
      </c>
      <c r="X195" s="8" t="s">
        <v>2684</v>
      </c>
      <c r="Y195" s="6" t="s">
        <v>3238</v>
      </c>
      <c r="Z195" s="6"/>
      <c r="AA195" s="37" t="s">
        <v>3660</v>
      </c>
      <c r="AB195" s="39" t="s">
        <v>3644</v>
      </c>
      <c r="AC195" s="37" t="s">
        <v>3661</v>
      </c>
      <c r="AD195" s="39" t="s">
        <v>3646</v>
      </c>
      <c r="AE195" s="39" t="s">
        <v>3647</v>
      </c>
      <c r="AF195" s="39" t="s">
        <v>3662</v>
      </c>
      <c r="AG195" s="37" t="s">
        <v>3649</v>
      </c>
      <c r="AH195" s="37" t="s">
        <v>3663</v>
      </c>
    </row>
    <row r="196" spans="1:34" ht="15.75" hidden="1" x14ac:dyDescent="0.3">
      <c r="A196" s="6" t="s">
        <v>592</v>
      </c>
      <c r="B196" s="7">
        <v>40878</v>
      </c>
      <c r="C196" s="6" t="s">
        <v>591</v>
      </c>
      <c r="D196" s="6" t="s">
        <v>132</v>
      </c>
      <c r="E196" s="6" t="s">
        <v>565</v>
      </c>
      <c r="F196" s="6" t="s">
        <v>3229</v>
      </c>
      <c r="G196" s="8">
        <v>1.1976100000000001</v>
      </c>
      <c r="H196" s="8">
        <v>7.7533099999999999</v>
      </c>
      <c r="I196" s="6" t="s">
        <v>2475</v>
      </c>
      <c r="J196" s="6" t="s">
        <v>2459</v>
      </c>
      <c r="K196" s="6" t="s">
        <v>2460</v>
      </c>
      <c r="L196" s="6"/>
      <c r="M196" s="6"/>
      <c r="N196" s="21" t="s">
        <v>3269</v>
      </c>
      <c r="O196" s="6" t="s">
        <v>7</v>
      </c>
      <c r="P196" s="6" t="str">
        <f>VLOOKUP(Tableau1[[#This Row],[SITES NAMES]],[1]Feuil1!$1:$1048576,8,FALSE)</f>
        <v>OK</v>
      </c>
      <c r="Q196" s="6" t="str">
        <f>VLOOKUP(Tableau1[[#This Row],[SITES NAMES]],[1]Feuil1!$1:$1048576,9,FALSE)</f>
        <v>NO</v>
      </c>
      <c r="R196" s="6" t="str">
        <f>VLOOKUP(Tableau1[[#This Row],[SITES NAMES]],[1]Feuil1!$1:$1048576,10,FALSE)</f>
        <v>NO</v>
      </c>
      <c r="S196" s="6" t="s">
        <v>2469</v>
      </c>
      <c r="T196" s="6" t="s">
        <v>2470</v>
      </c>
      <c r="U196" s="6" t="s">
        <v>2463</v>
      </c>
      <c r="V196" s="6" t="s">
        <v>2478</v>
      </c>
      <c r="W196" s="6" t="s">
        <v>2476</v>
      </c>
      <c r="X196" s="8" t="s">
        <v>2690</v>
      </c>
      <c r="Y196" s="6" t="s">
        <v>3238</v>
      </c>
      <c r="Z196" s="6"/>
      <c r="AA196" s="37" t="s">
        <v>3660</v>
      </c>
      <c r="AB196" s="39" t="s">
        <v>3644</v>
      </c>
      <c r="AC196" s="37" t="s">
        <v>3661</v>
      </c>
      <c r="AD196" s="39" t="s">
        <v>3646</v>
      </c>
      <c r="AE196" s="39" t="s">
        <v>3647</v>
      </c>
      <c r="AF196" s="39" t="s">
        <v>3662</v>
      </c>
      <c r="AG196" s="37" t="s">
        <v>3649</v>
      </c>
      <c r="AH196" s="37" t="s">
        <v>3663</v>
      </c>
    </row>
    <row r="197" spans="1:34" ht="14.45" hidden="1" customHeight="1" x14ac:dyDescent="0.3">
      <c r="A197" s="6" t="s">
        <v>155</v>
      </c>
      <c r="B197" s="7">
        <v>46022</v>
      </c>
      <c r="C197" s="6" t="s">
        <v>154</v>
      </c>
      <c r="D197" s="6" t="s">
        <v>132</v>
      </c>
      <c r="E197" s="6" t="s">
        <v>133</v>
      </c>
      <c r="F197" s="6" t="s">
        <v>3229</v>
      </c>
      <c r="G197" s="8">
        <v>1.2045429999999999</v>
      </c>
      <c r="H197" s="8">
        <v>7.7603799999999996</v>
      </c>
      <c r="I197" s="6" t="e">
        <v>#N/A</v>
      </c>
      <c r="J197" s="6" t="s">
        <v>2459</v>
      </c>
      <c r="K197" s="6" t="s">
        <v>2468</v>
      </c>
      <c r="L197" s="6"/>
      <c r="M197" s="6"/>
      <c r="N197" s="6" t="s">
        <v>2468</v>
      </c>
      <c r="O197" s="6" t="s">
        <v>47</v>
      </c>
      <c r="P197" s="6"/>
      <c r="Q197" s="6"/>
      <c r="R197" s="6"/>
      <c r="S197" s="6"/>
      <c r="T197" s="6"/>
      <c r="U197" s="6"/>
      <c r="V197" s="6"/>
      <c r="W197" s="6"/>
      <c r="X197" s="8"/>
      <c r="Y197" s="6" t="s">
        <v>3238</v>
      </c>
      <c r="Z197" s="6" t="s">
        <v>3258</v>
      </c>
      <c r="AA197" s="37" t="s">
        <v>3643</v>
      </c>
      <c r="AB197" s="39" t="s">
        <v>3644</v>
      </c>
      <c r="AC197" s="37" t="s">
        <v>3645</v>
      </c>
      <c r="AD197" s="39" t="s">
        <v>3646</v>
      </c>
      <c r="AE197" s="39" t="s">
        <v>3647</v>
      </c>
      <c r="AF197" s="39" t="s">
        <v>3648</v>
      </c>
      <c r="AG197" s="37" t="s">
        <v>3649</v>
      </c>
      <c r="AH197" s="37" t="s">
        <v>3650</v>
      </c>
    </row>
    <row r="198" spans="1:34" ht="14.45" hidden="1" customHeight="1" x14ac:dyDescent="0.3">
      <c r="A198" s="6" t="s">
        <v>567</v>
      </c>
      <c r="B198" s="7">
        <v>41473</v>
      </c>
      <c r="C198" s="6" t="s">
        <v>566</v>
      </c>
      <c r="D198" s="6" t="s">
        <v>132</v>
      </c>
      <c r="E198" s="6" t="s">
        <v>565</v>
      </c>
      <c r="F198" s="6" t="s">
        <v>3229</v>
      </c>
      <c r="G198" s="8">
        <v>1.2112499999999999</v>
      </c>
      <c r="H198" s="8">
        <v>7.7704700000000004</v>
      </c>
      <c r="I198" s="6" t="s">
        <v>2486</v>
      </c>
      <c r="J198" s="6" t="s">
        <v>2459</v>
      </c>
      <c r="K198" s="6" t="s">
        <v>2460</v>
      </c>
      <c r="L198" s="6"/>
      <c r="M198" s="6"/>
      <c r="N198" s="6" t="s">
        <v>3268</v>
      </c>
      <c r="O198" s="6" t="s">
        <v>7</v>
      </c>
      <c r="P198" s="6" t="str">
        <f>VLOOKUP(Tableau1[[#This Row],[SITES NAMES]],[1]Feuil1!$1:$1048576,8,FALSE)</f>
        <v>OK</v>
      </c>
      <c r="Q198" s="6" t="str">
        <f>VLOOKUP(Tableau1[[#This Row],[SITES NAMES]],[1]Feuil1!$1:$1048576,9,FALSE)</f>
        <v>NO</v>
      </c>
      <c r="R198" s="6" t="str">
        <f>VLOOKUP(Tableau1[[#This Row],[SITES NAMES]],[1]Feuil1!$1:$1048576,10,FALSE)</f>
        <v>NO</v>
      </c>
      <c r="S198" s="6" t="s">
        <v>2469</v>
      </c>
      <c r="T198" s="6" t="s">
        <v>2470</v>
      </c>
      <c r="U198" s="6" t="s">
        <v>2480</v>
      </c>
      <c r="V198" s="6" t="s">
        <v>2464</v>
      </c>
      <c r="W198" s="6" t="s">
        <v>2476</v>
      </c>
      <c r="X198" s="8" t="s">
        <v>2680</v>
      </c>
      <c r="Y198" s="6" t="s">
        <v>3238</v>
      </c>
      <c r="Z198" s="6"/>
      <c r="AA198" s="37" t="s">
        <v>3660</v>
      </c>
      <c r="AB198" s="39" t="s">
        <v>3644</v>
      </c>
      <c r="AC198" s="37" t="s">
        <v>3661</v>
      </c>
      <c r="AD198" s="39" t="s">
        <v>3646</v>
      </c>
      <c r="AE198" s="39" t="s">
        <v>3647</v>
      </c>
      <c r="AF198" s="39" t="s">
        <v>3662</v>
      </c>
      <c r="AG198" s="37" t="s">
        <v>3649</v>
      </c>
      <c r="AH198" s="37" t="s">
        <v>3663</v>
      </c>
    </row>
    <row r="199" spans="1:34" ht="14.45" hidden="1" customHeight="1" x14ac:dyDescent="0.25">
      <c r="A199" s="6" t="s">
        <v>1624</v>
      </c>
      <c r="B199" s="7">
        <v>44648</v>
      </c>
      <c r="C199" s="6" t="s">
        <v>1623</v>
      </c>
      <c r="D199" s="6" t="s">
        <v>66</v>
      </c>
      <c r="E199" s="6" t="s">
        <v>3236</v>
      </c>
      <c r="F199" s="6" t="s">
        <v>3229</v>
      </c>
      <c r="G199" s="8">
        <v>1.16984</v>
      </c>
      <c r="H199" s="8">
        <v>6.2371400000000001</v>
      </c>
      <c r="I199" s="6" t="s">
        <v>2475</v>
      </c>
      <c r="J199" s="6" t="s">
        <v>2459</v>
      </c>
      <c r="K199" s="6" t="s">
        <v>2460</v>
      </c>
      <c r="L199" s="6" t="s">
        <v>1648</v>
      </c>
      <c r="M199" s="6" t="s">
        <v>1650</v>
      </c>
      <c r="N199" s="6" t="s">
        <v>3268</v>
      </c>
      <c r="O199" s="6" t="s">
        <v>7</v>
      </c>
      <c r="P199" s="6" t="str">
        <f>VLOOKUP(Tableau1[[#This Row],[SITES NAMES]],[1]Feuil1!$1:$1048576,8,FALSE)</f>
        <v>NOK</v>
      </c>
      <c r="Q199" s="6" t="str">
        <f>VLOOKUP(Tableau1[[#This Row],[SITES NAMES]],[1]Feuil1!$1:$1048576,9,FALSE)</f>
        <v>NO</v>
      </c>
      <c r="R199" s="6" t="str">
        <f>VLOOKUP(Tableau1[[#This Row],[SITES NAMES]],[1]Feuil1!$1:$1048576,10,FALSE)</f>
        <v>YES</v>
      </c>
      <c r="S199" s="6" t="s">
        <v>2469</v>
      </c>
      <c r="T199" s="6" t="s">
        <v>2470</v>
      </c>
      <c r="U199" s="6" t="s">
        <v>2480</v>
      </c>
      <c r="V199" s="6" t="s">
        <v>2464</v>
      </c>
      <c r="W199" s="6" t="s">
        <v>2465</v>
      </c>
      <c r="X199" s="8"/>
      <c r="Y199" s="6" t="s">
        <v>3238</v>
      </c>
      <c r="Z199" s="6" t="s">
        <v>3263</v>
      </c>
      <c r="AA199" s="35" t="s">
        <v>3616</v>
      </c>
      <c r="AB199" s="35" t="s">
        <v>3608</v>
      </c>
      <c r="AC199" s="35" t="s">
        <v>3619</v>
      </c>
      <c r="AD199" s="35" t="s">
        <v>3610</v>
      </c>
      <c r="AE199" s="35" t="s">
        <v>3610</v>
      </c>
      <c r="AF199" s="35" t="s">
        <v>3611</v>
      </c>
      <c r="AG199" s="35" t="s">
        <v>3612</v>
      </c>
      <c r="AH199" s="35" t="s">
        <v>3620</v>
      </c>
    </row>
    <row r="200" spans="1:34" ht="14.45" hidden="1" customHeight="1" x14ac:dyDescent="0.25">
      <c r="A200" s="6" t="s">
        <v>1508</v>
      </c>
      <c r="B200" s="7">
        <v>40967</v>
      </c>
      <c r="C200" s="6" t="s">
        <v>1507</v>
      </c>
      <c r="D200" s="6" t="s">
        <v>66</v>
      </c>
      <c r="E200" s="6" t="s">
        <v>3233</v>
      </c>
      <c r="F200" s="6" t="s">
        <v>3229</v>
      </c>
      <c r="G200" s="8">
        <v>1.1852777779999999</v>
      </c>
      <c r="H200" s="8">
        <v>6.2110109529999997</v>
      </c>
      <c r="I200" s="6" t="s">
        <v>2486</v>
      </c>
      <c r="J200" s="6" t="s">
        <v>2459</v>
      </c>
      <c r="K200" s="6" t="s">
        <v>2460</v>
      </c>
      <c r="L200" s="6"/>
      <c r="M200" s="6"/>
      <c r="N200" s="6" t="s">
        <v>3268</v>
      </c>
      <c r="O200" s="6" t="s">
        <v>7</v>
      </c>
      <c r="P200" s="6" t="str">
        <f>VLOOKUP(Tableau1[[#This Row],[SITES NAMES]],[1]Feuil1!$1:$1048576,8,FALSE)</f>
        <v>OK</v>
      </c>
      <c r="Q200" s="6" t="str">
        <f>VLOOKUP(Tableau1[[#This Row],[SITES NAMES]],[1]Feuil1!$1:$1048576,9,FALSE)</f>
        <v>NO</v>
      </c>
      <c r="R200" s="6" t="str">
        <f>VLOOKUP(Tableau1[[#This Row],[SITES NAMES]],[1]Feuil1!$1:$1048576,10,FALSE)</f>
        <v>NO</v>
      </c>
      <c r="S200" s="6" t="s">
        <v>2469</v>
      </c>
      <c r="T200" s="6" t="s">
        <v>2470</v>
      </c>
      <c r="U200" s="6" t="s">
        <v>2480</v>
      </c>
      <c r="V200" s="6" t="s">
        <v>2478</v>
      </c>
      <c r="W200" s="6" t="s">
        <v>2476</v>
      </c>
      <c r="X200" s="8" t="s">
        <v>2959</v>
      </c>
      <c r="Y200" s="6" t="s">
        <v>3238</v>
      </c>
      <c r="Z200" s="6"/>
      <c r="AA200" s="35" t="s">
        <v>3616</v>
      </c>
      <c r="AB200" s="35" t="s">
        <v>3608</v>
      </c>
      <c r="AC200" s="35" t="s">
        <v>3617</v>
      </c>
      <c r="AD200" s="35" t="s">
        <v>3610</v>
      </c>
      <c r="AE200" s="35" t="s">
        <v>3610</v>
      </c>
      <c r="AF200" s="35" t="s">
        <v>3611</v>
      </c>
      <c r="AG200" s="35" t="s">
        <v>3612</v>
      </c>
      <c r="AH200" s="35" t="s">
        <v>3618</v>
      </c>
    </row>
    <row r="201" spans="1:34" ht="14.45" hidden="1" customHeight="1" x14ac:dyDescent="0.25">
      <c r="A201" s="6" t="s">
        <v>1444</v>
      </c>
      <c r="B201" s="7">
        <v>44560</v>
      </c>
      <c r="C201" s="6" t="s">
        <v>1443</v>
      </c>
      <c r="D201" s="6" t="s">
        <v>66</v>
      </c>
      <c r="E201" s="6" t="s">
        <v>3233</v>
      </c>
      <c r="F201" s="6" t="s">
        <v>3229</v>
      </c>
      <c r="G201" s="8">
        <v>1.20059</v>
      </c>
      <c r="H201" s="8">
        <v>6.3319299899999999</v>
      </c>
      <c r="I201" s="6" t="s">
        <v>2479</v>
      </c>
      <c r="J201" s="6" t="s">
        <v>2459</v>
      </c>
      <c r="K201" s="6" t="s">
        <v>2460</v>
      </c>
      <c r="L201" s="6"/>
      <c r="M201" s="6"/>
      <c r="N201" s="6" t="s">
        <v>3268</v>
      </c>
      <c r="O201" s="6" t="s">
        <v>7</v>
      </c>
      <c r="P201" s="6" t="str">
        <f>VLOOKUP(Tableau1[[#This Row],[SITES NAMES]],[1]Feuil1!$1:$1048576,8,FALSE)</f>
        <v>OK</v>
      </c>
      <c r="Q201" s="6" t="str">
        <f>VLOOKUP(Tableau1[[#This Row],[SITES NAMES]],[1]Feuil1!$1:$1048576,9,FALSE)</f>
        <v>NO</v>
      </c>
      <c r="R201" s="6" t="str">
        <f>VLOOKUP(Tableau1[[#This Row],[SITES NAMES]],[1]Feuil1!$1:$1048576,10,FALSE)</f>
        <v>YES</v>
      </c>
      <c r="S201" s="6" t="s">
        <v>2469</v>
      </c>
      <c r="T201" s="6" t="s">
        <v>2470</v>
      </c>
      <c r="U201" s="6" t="s">
        <v>2471</v>
      </c>
      <c r="V201" s="6" t="s">
        <v>2478</v>
      </c>
      <c r="W201" s="6" t="s">
        <v>2465</v>
      </c>
      <c r="X201" s="8" t="s">
        <v>2950</v>
      </c>
      <c r="Y201" s="6" t="s">
        <v>3238</v>
      </c>
      <c r="Z201" s="6"/>
      <c r="AA201" s="35" t="s">
        <v>3616</v>
      </c>
      <c r="AB201" s="35" t="s">
        <v>3608</v>
      </c>
      <c r="AC201" s="35" t="s">
        <v>3617</v>
      </c>
      <c r="AD201" s="35" t="s">
        <v>3610</v>
      </c>
      <c r="AE201" s="35" t="s">
        <v>3610</v>
      </c>
      <c r="AF201" s="35" t="s">
        <v>3611</v>
      </c>
      <c r="AG201" s="35" t="s">
        <v>3612</v>
      </c>
      <c r="AH201" s="35" t="s">
        <v>3618</v>
      </c>
    </row>
    <row r="202" spans="1:34" ht="14.45" hidden="1" customHeight="1" x14ac:dyDescent="0.3">
      <c r="A202" s="6" t="s">
        <v>2185</v>
      </c>
      <c r="B202" s="7">
        <v>39975</v>
      </c>
      <c r="C202" s="6" t="s">
        <v>2184</v>
      </c>
      <c r="D202" s="6" t="s">
        <v>320</v>
      </c>
      <c r="E202" s="6" t="s">
        <v>2141</v>
      </c>
      <c r="F202" s="6" t="s">
        <v>3229</v>
      </c>
      <c r="G202" s="8">
        <v>1.0511900000000001</v>
      </c>
      <c r="H202" s="8">
        <v>8.7306899999999992</v>
      </c>
      <c r="I202" s="6" t="s">
        <v>2475</v>
      </c>
      <c r="J202" s="6" t="s">
        <v>2459</v>
      </c>
      <c r="K202" s="6" t="s">
        <v>2460</v>
      </c>
      <c r="L202" s="6"/>
      <c r="M202" s="6"/>
      <c r="N202" s="6" t="s">
        <v>3268</v>
      </c>
      <c r="O202" s="6" t="s">
        <v>7</v>
      </c>
      <c r="P202" s="6" t="str">
        <f>VLOOKUP(Tableau1[[#This Row],[SITES NAMES]],[1]Feuil1!$1:$1048576,8,FALSE)</f>
        <v>OK</v>
      </c>
      <c r="Q202" s="6" t="str">
        <f>VLOOKUP(Tableau1[[#This Row],[SITES NAMES]],[1]Feuil1!$1:$1048576,9,FALSE)</f>
        <v>NO</v>
      </c>
      <c r="R202" s="6" t="str">
        <f>VLOOKUP(Tableau1[[#This Row],[SITES NAMES]],[1]Feuil1!$1:$1048576,10,FALSE)</f>
        <v>NO</v>
      </c>
      <c r="S202" s="6" t="s">
        <v>2469</v>
      </c>
      <c r="T202" s="6" t="s">
        <v>2470</v>
      </c>
      <c r="U202" s="6" t="s">
        <v>2471</v>
      </c>
      <c r="V202" s="6" t="s">
        <v>2464</v>
      </c>
      <c r="W202" s="6" t="s">
        <v>2465</v>
      </c>
      <c r="X202" s="8" t="s">
        <v>3149</v>
      </c>
      <c r="Y202" s="6" t="s">
        <v>3238</v>
      </c>
      <c r="Z202" s="6" t="s">
        <v>3254</v>
      </c>
      <c r="AA202" s="37" t="s">
        <v>3672</v>
      </c>
      <c r="AB202" s="39" t="s">
        <v>3665</v>
      </c>
      <c r="AC202" s="37" t="s">
        <v>3673</v>
      </c>
      <c r="AD202" s="37" t="s">
        <v>3674</v>
      </c>
      <c r="AE202" s="37" t="s">
        <v>3675</v>
      </c>
      <c r="AF202" s="39" t="s">
        <v>3676</v>
      </c>
      <c r="AG202" s="37" t="s">
        <v>3670</v>
      </c>
      <c r="AH202" s="37" t="s">
        <v>3677</v>
      </c>
    </row>
    <row r="203" spans="1:34" ht="14.45" hidden="1" customHeight="1" x14ac:dyDescent="0.3">
      <c r="A203" s="6" t="s">
        <v>2155</v>
      </c>
      <c r="B203" s="7">
        <v>44719</v>
      </c>
      <c r="C203" s="6" t="s">
        <v>2154</v>
      </c>
      <c r="D203" s="6" t="s">
        <v>320</v>
      </c>
      <c r="E203" s="6" t="s">
        <v>2141</v>
      </c>
      <c r="F203" s="6" t="s">
        <v>3229</v>
      </c>
      <c r="G203" s="8">
        <v>0.96751699000000002</v>
      </c>
      <c r="H203" s="8">
        <v>8.7919169999999998</v>
      </c>
      <c r="I203" s="6" t="s">
        <v>2477</v>
      </c>
      <c r="J203" s="6" t="s">
        <v>2459</v>
      </c>
      <c r="K203" s="6" t="s">
        <v>2468</v>
      </c>
      <c r="L203" s="6" t="s">
        <v>2185</v>
      </c>
      <c r="M203" s="6"/>
      <c r="N203" s="6" t="s">
        <v>2468</v>
      </c>
      <c r="O203" s="6" t="s">
        <v>40</v>
      </c>
      <c r="P203" s="6" t="str">
        <f>VLOOKUP(Tableau1[[#This Row],[SITES NAMES]],[1]Feuil1!$1:$1048576,8,FALSE)</f>
        <v>OK</v>
      </c>
      <c r="Q203" s="6" t="str">
        <f>VLOOKUP(Tableau1[[#This Row],[SITES NAMES]],[1]Feuil1!$1:$1048576,9,FALSE)</f>
        <v>NO</v>
      </c>
      <c r="R203" s="6" t="str">
        <f>VLOOKUP(Tableau1[[#This Row],[SITES NAMES]],[1]Feuil1!$1:$1048576,10,FALSE)</f>
        <v>YES</v>
      </c>
      <c r="S203" s="6" t="s">
        <v>2461</v>
      </c>
      <c r="T203" s="6" t="s">
        <v>2462</v>
      </c>
      <c r="U203" s="6" t="s">
        <v>2463</v>
      </c>
      <c r="V203" s="6" t="s">
        <v>2472</v>
      </c>
      <c r="W203" s="6" t="s">
        <v>2473</v>
      </c>
      <c r="X203" s="8" t="s">
        <v>3139</v>
      </c>
      <c r="Y203" s="6" t="s">
        <v>3238</v>
      </c>
      <c r="Z203" s="6" t="s">
        <v>3254</v>
      </c>
      <c r="AA203" s="37" t="s">
        <v>3672</v>
      </c>
      <c r="AB203" s="39" t="s">
        <v>3665</v>
      </c>
      <c r="AC203" s="37" t="s">
        <v>3673</v>
      </c>
      <c r="AD203" s="37" t="s">
        <v>3674</v>
      </c>
      <c r="AE203" s="37" t="s">
        <v>3675</v>
      </c>
      <c r="AF203" s="39" t="s">
        <v>3676</v>
      </c>
      <c r="AG203" s="37" t="s">
        <v>3670</v>
      </c>
      <c r="AH203" s="37" t="s">
        <v>3677</v>
      </c>
    </row>
    <row r="204" spans="1:34" ht="14.45" hidden="1" customHeight="1" x14ac:dyDescent="0.3">
      <c r="A204" s="6" t="s">
        <v>2187</v>
      </c>
      <c r="B204" s="7">
        <v>43910</v>
      </c>
      <c r="C204" s="6" t="s">
        <v>2186</v>
      </c>
      <c r="D204" s="6" t="s">
        <v>320</v>
      </c>
      <c r="E204" s="6" t="s">
        <v>2141</v>
      </c>
      <c r="F204" s="6" t="s">
        <v>3229</v>
      </c>
      <c r="G204" s="8">
        <v>1.22593</v>
      </c>
      <c r="H204" s="8">
        <v>8.7176100000000005</v>
      </c>
      <c r="I204" s="6" t="s">
        <v>2477</v>
      </c>
      <c r="J204" s="6" t="s">
        <v>2459</v>
      </c>
      <c r="K204" s="6" t="s">
        <v>2468</v>
      </c>
      <c r="L204" s="6" t="s">
        <v>3357</v>
      </c>
      <c r="M204" s="6"/>
      <c r="N204" s="6" t="s">
        <v>2468</v>
      </c>
      <c r="O204" s="6" t="s">
        <v>40</v>
      </c>
      <c r="P204" s="6" t="str">
        <f>VLOOKUP(Tableau1[[#This Row],[SITES NAMES]],[1]Feuil1!$1:$1048576,8,FALSE)</f>
        <v>OK</v>
      </c>
      <c r="Q204" s="6" t="str">
        <f>VLOOKUP(Tableau1[[#This Row],[SITES NAMES]],[1]Feuil1!$1:$1048576,9,FALSE)</f>
        <v>NO</v>
      </c>
      <c r="R204" s="6" t="str">
        <f>VLOOKUP(Tableau1[[#This Row],[SITES NAMES]],[1]Feuil1!$1:$1048576,10,FALSE)</f>
        <v>NO</v>
      </c>
      <c r="S204" s="6" t="s">
        <v>2469</v>
      </c>
      <c r="T204" s="6" t="s">
        <v>2470</v>
      </c>
      <c r="U204" s="6" t="s">
        <v>2480</v>
      </c>
      <c r="V204" s="6" t="s">
        <v>2472</v>
      </c>
      <c r="W204" s="6" t="s">
        <v>2473</v>
      </c>
      <c r="X204" s="8" t="s">
        <v>3150</v>
      </c>
      <c r="Y204" s="6" t="s">
        <v>3238</v>
      </c>
      <c r="Z204" s="6" t="s">
        <v>3254</v>
      </c>
      <c r="AA204" s="37" t="s">
        <v>3672</v>
      </c>
      <c r="AB204" s="39" t="s">
        <v>3665</v>
      </c>
      <c r="AC204" s="37" t="s">
        <v>3673</v>
      </c>
      <c r="AD204" s="37" t="s">
        <v>3674</v>
      </c>
      <c r="AE204" s="37" t="s">
        <v>3675</v>
      </c>
      <c r="AF204" s="39" t="s">
        <v>3676</v>
      </c>
      <c r="AG204" s="37" t="s">
        <v>3670</v>
      </c>
      <c r="AH204" s="37" t="s">
        <v>3677</v>
      </c>
    </row>
    <row r="205" spans="1:34" ht="14.45" hidden="1" customHeight="1" x14ac:dyDescent="0.25">
      <c r="A205" s="6" t="s">
        <v>1753</v>
      </c>
      <c r="B205" s="7">
        <v>39974</v>
      </c>
      <c r="C205" s="6" t="s">
        <v>1752</v>
      </c>
      <c r="D205" s="6" t="s">
        <v>66</v>
      </c>
      <c r="E205" s="6" t="s">
        <v>3234</v>
      </c>
      <c r="F205" s="18" t="s">
        <v>3230</v>
      </c>
      <c r="G205" s="8">
        <v>1.127553</v>
      </c>
      <c r="H205" s="8">
        <v>6.2044789180000004</v>
      </c>
      <c r="I205" s="6" t="s">
        <v>2486</v>
      </c>
      <c r="J205" s="6" t="s">
        <v>2459</v>
      </c>
      <c r="K205" s="6" t="s">
        <v>2460</v>
      </c>
      <c r="L205" s="6"/>
      <c r="M205" s="6"/>
      <c r="N205" s="6" t="s">
        <v>3268</v>
      </c>
      <c r="O205" s="6" t="s">
        <v>7</v>
      </c>
      <c r="P205" s="6" t="str">
        <f>VLOOKUP(Tableau1[[#This Row],[SITES NAMES]],[1]Feuil1!$1:$1048576,8,FALSE)</f>
        <v>OK</v>
      </c>
      <c r="Q205" s="6" t="str">
        <f>VLOOKUP(Tableau1[[#This Row],[SITES NAMES]],[1]Feuil1!$1:$1048576,9,FALSE)</f>
        <v>NO</v>
      </c>
      <c r="R205" s="6" t="str">
        <f>VLOOKUP(Tableau1[[#This Row],[SITES NAMES]],[1]Feuil1!$1:$1048576,10,FALSE)</f>
        <v>NO</v>
      </c>
      <c r="S205" s="6" t="s">
        <v>2469</v>
      </c>
      <c r="T205" s="6" t="s">
        <v>2470</v>
      </c>
      <c r="U205" s="6" t="s">
        <v>2471</v>
      </c>
      <c r="V205" s="6" t="s">
        <v>2464</v>
      </c>
      <c r="W205" s="6" t="s">
        <v>2476</v>
      </c>
      <c r="X205" s="8" t="s">
        <v>3015</v>
      </c>
      <c r="Y205" s="6" t="s">
        <v>3238</v>
      </c>
      <c r="Z205" s="6" t="s">
        <v>3265</v>
      </c>
      <c r="AA205" s="35" t="s">
        <v>3607</v>
      </c>
      <c r="AB205" s="35" t="s">
        <v>3608</v>
      </c>
      <c r="AC205" s="35" t="s">
        <v>3614</v>
      </c>
      <c r="AD205" s="35" t="s">
        <v>3610</v>
      </c>
      <c r="AE205" s="35" t="s">
        <v>3610</v>
      </c>
      <c r="AF205" s="35" t="s">
        <v>3611</v>
      </c>
      <c r="AG205" s="35" t="s">
        <v>3612</v>
      </c>
      <c r="AH205" s="35" t="s">
        <v>3615</v>
      </c>
    </row>
    <row r="206" spans="1:34" ht="14.45" hidden="1" customHeight="1" x14ac:dyDescent="0.25">
      <c r="A206" s="6" t="s">
        <v>1755</v>
      </c>
      <c r="B206" s="7">
        <v>44610</v>
      </c>
      <c r="C206" s="6" t="s">
        <v>1754</v>
      </c>
      <c r="D206" s="6" t="s">
        <v>66</v>
      </c>
      <c r="E206" s="6" t="s">
        <v>3234</v>
      </c>
      <c r="F206" s="6" t="s">
        <v>3229</v>
      </c>
      <c r="G206" s="8">
        <v>1.14246</v>
      </c>
      <c r="H206" s="8">
        <v>6.1958599899999998</v>
      </c>
      <c r="I206" s="6" t="s">
        <v>2475</v>
      </c>
      <c r="J206" s="6" t="s">
        <v>2459</v>
      </c>
      <c r="K206" s="6" t="s">
        <v>2460</v>
      </c>
      <c r="L206" s="6"/>
      <c r="M206" s="6"/>
      <c r="N206" s="6" t="s">
        <v>3268</v>
      </c>
      <c r="O206" s="6" t="s">
        <v>7</v>
      </c>
      <c r="P206" s="6" t="str">
        <f>VLOOKUP(Tableau1[[#This Row],[SITES NAMES]],[1]Feuil1!$1:$1048576,8,FALSE)</f>
        <v>OK</v>
      </c>
      <c r="Q206" s="6" t="str">
        <f>VLOOKUP(Tableau1[[#This Row],[SITES NAMES]],[1]Feuil1!$1:$1048576,9,FALSE)</f>
        <v>NO</v>
      </c>
      <c r="R206" s="6" t="str">
        <f>VLOOKUP(Tableau1[[#This Row],[SITES NAMES]],[1]Feuil1!$1:$1048576,10,FALSE)</f>
        <v>YES</v>
      </c>
      <c r="S206" s="6" t="s">
        <v>2461</v>
      </c>
      <c r="T206" s="6" t="s">
        <v>2462</v>
      </c>
      <c r="U206" s="6" t="s">
        <v>2463</v>
      </c>
      <c r="V206" s="6" t="s">
        <v>2464</v>
      </c>
      <c r="W206" s="6" t="s">
        <v>2476</v>
      </c>
      <c r="X206" s="8"/>
      <c r="Y206" s="6" t="s">
        <v>3238</v>
      </c>
      <c r="Z206" s="6" t="s">
        <v>3265</v>
      </c>
      <c r="AA206" s="35" t="s">
        <v>3607</v>
      </c>
      <c r="AB206" s="35" t="s">
        <v>3608</v>
      </c>
      <c r="AC206" s="35" t="s">
        <v>3614</v>
      </c>
      <c r="AD206" s="35" t="s">
        <v>3610</v>
      </c>
      <c r="AE206" s="35" t="s">
        <v>3610</v>
      </c>
      <c r="AF206" s="35" t="s">
        <v>3611</v>
      </c>
      <c r="AG206" s="35" t="s">
        <v>3612</v>
      </c>
      <c r="AH206" s="35" t="s">
        <v>3615</v>
      </c>
    </row>
    <row r="207" spans="1:34" ht="14.45" hidden="1" customHeight="1" x14ac:dyDescent="0.25">
      <c r="A207" s="6" t="s">
        <v>1726</v>
      </c>
      <c r="B207" s="7">
        <v>46022</v>
      </c>
      <c r="C207" s="6" t="s">
        <v>1725</v>
      </c>
      <c r="D207" s="6" t="s">
        <v>66</v>
      </c>
      <c r="E207" s="6" t="s">
        <v>3234</v>
      </c>
      <c r="F207" s="6" t="s">
        <v>3229</v>
      </c>
      <c r="G207" s="8">
        <v>1.130331</v>
      </c>
      <c r="H207" s="8">
        <v>6.2108930000000004</v>
      </c>
      <c r="I207" s="15" t="s">
        <v>2479</v>
      </c>
      <c r="J207" s="6" t="s">
        <v>2459</v>
      </c>
      <c r="K207" s="6" t="s">
        <v>2468</v>
      </c>
      <c r="L207" s="6"/>
      <c r="M207" s="6"/>
      <c r="N207" s="6" t="s">
        <v>2468</v>
      </c>
      <c r="O207" s="6" t="s">
        <v>7</v>
      </c>
      <c r="P207" s="6"/>
      <c r="Q207" s="6"/>
      <c r="R207" s="6"/>
      <c r="S207" s="6"/>
      <c r="T207" s="6"/>
      <c r="U207" s="6"/>
      <c r="V207" s="6"/>
      <c r="W207" s="6"/>
      <c r="X207" s="8"/>
      <c r="Y207" s="6" t="s">
        <v>3238</v>
      </c>
      <c r="Z207" s="6" t="s">
        <v>3265</v>
      </c>
      <c r="AA207" s="35" t="s">
        <v>3607</v>
      </c>
      <c r="AB207" s="35" t="s">
        <v>3608</v>
      </c>
      <c r="AC207" s="35" t="s">
        <v>3614</v>
      </c>
      <c r="AD207" s="35" t="s">
        <v>3610</v>
      </c>
      <c r="AE207" s="35" t="s">
        <v>3610</v>
      </c>
      <c r="AF207" s="35" t="s">
        <v>3611</v>
      </c>
      <c r="AG207" s="35" t="s">
        <v>3612</v>
      </c>
      <c r="AH207" s="35" t="s">
        <v>3615</v>
      </c>
    </row>
    <row r="208" spans="1:34" ht="14.45" hidden="1" customHeight="1" x14ac:dyDescent="0.25">
      <c r="A208" s="6" t="s">
        <v>1626</v>
      </c>
      <c r="B208" s="7">
        <v>44112</v>
      </c>
      <c r="C208" s="6" t="s">
        <v>1625</v>
      </c>
      <c r="D208" s="6" t="s">
        <v>66</v>
      </c>
      <c r="E208" s="6" t="s">
        <v>3236</v>
      </c>
      <c r="F208" s="18" t="s">
        <v>3230</v>
      </c>
      <c r="G208" s="8">
        <v>1.13578</v>
      </c>
      <c r="H208" s="8">
        <v>6.2789700000000002</v>
      </c>
      <c r="I208" s="6" t="s">
        <v>2475</v>
      </c>
      <c r="J208" s="6" t="s">
        <v>2459</v>
      </c>
      <c r="K208" s="6" t="s">
        <v>2460</v>
      </c>
      <c r="L208" s="6"/>
      <c r="M208" s="6"/>
      <c r="N208" s="6" t="s">
        <v>3268</v>
      </c>
      <c r="O208" s="6" t="s">
        <v>7</v>
      </c>
      <c r="P208" s="6" t="str">
        <f>VLOOKUP(Tableau1[[#This Row],[SITES NAMES]],[1]Feuil1!$1:$1048576,8,FALSE)</f>
        <v>OK</v>
      </c>
      <c r="Q208" s="6" t="str">
        <f>VLOOKUP(Tableau1[[#This Row],[SITES NAMES]],[1]Feuil1!$1:$1048576,9,FALSE)</f>
        <v>NO</v>
      </c>
      <c r="R208" s="6" t="str">
        <f>VLOOKUP(Tableau1[[#This Row],[SITES NAMES]],[1]Feuil1!$1:$1048576,10,FALSE)</f>
        <v>NO</v>
      </c>
      <c r="S208" s="6" t="s">
        <v>2461</v>
      </c>
      <c r="T208" s="6" t="s">
        <v>2470</v>
      </c>
      <c r="U208" s="6" t="s">
        <v>2463</v>
      </c>
      <c r="V208" s="6" t="s">
        <v>2478</v>
      </c>
      <c r="W208" s="6" t="s">
        <v>2465</v>
      </c>
      <c r="X208" s="8" t="s">
        <v>2988</v>
      </c>
      <c r="Y208" s="6" t="s">
        <v>3238</v>
      </c>
      <c r="Z208" s="6" t="s">
        <v>3263</v>
      </c>
      <c r="AA208" s="35" t="s">
        <v>3616</v>
      </c>
      <c r="AB208" s="35" t="s">
        <v>3608</v>
      </c>
      <c r="AC208" s="35" t="s">
        <v>3619</v>
      </c>
      <c r="AD208" s="35" t="s">
        <v>3610</v>
      </c>
      <c r="AE208" s="35" t="s">
        <v>3610</v>
      </c>
      <c r="AF208" s="35" t="s">
        <v>3611</v>
      </c>
      <c r="AG208" s="35" t="s">
        <v>3612</v>
      </c>
      <c r="AH208" s="35" t="s">
        <v>3620</v>
      </c>
    </row>
    <row r="209" spans="1:34" ht="14.45" hidden="1" customHeight="1" x14ac:dyDescent="0.25">
      <c r="A209" s="6" t="s">
        <v>1604</v>
      </c>
      <c r="B209" s="7">
        <v>46022</v>
      </c>
      <c r="C209" s="6" t="s">
        <v>1603</v>
      </c>
      <c r="D209" s="6" t="s">
        <v>66</v>
      </c>
      <c r="E209" s="6" t="s">
        <v>3236</v>
      </c>
      <c r="F209" s="6" t="s">
        <v>3229</v>
      </c>
      <c r="G209" s="8">
        <v>1.151006</v>
      </c>
      <c r="H209" s="8">
        <v>6.2931400000000002</v>
      </c>
      <c r="I209" s="6" t="e">
        <v>#N/A</v>
      </c>
      <c r="J209" s="6" t="s">
        <v>2459</v>
      </c>
      <c r="K209" s="6" t="s">
        <v>2468</v>
      </c>
      <c r="L209" s="6" t="s">
        <v>3358</v>
      </c>
      <c r="M209" s="6"/>
      <c r="N209" s="6" t="s">
        <v>2468</v>
      </c>
      <c r="O209" s="6" t="s">
        <v>47</v>
      </c>
      <c r="P209" s="6"/>
      <c r="Q209" s="6"/>
      <c r="R209" s="6"/>
      <c r="S209" s="6"/>
      <c r="T209" s="6"/>
      <c r="U209" s="6"/>
      <c r="V209" s="6"/>
      <c r="W209" s="6"/>
      <c r="X209" s="8"/>
      <c r="Y209" s="6" t="s">
        <v>3238</v>
      </c>
      <c r="Z209" s="6" t="s">
        <v>3263</v>
      </c>
      <c r="AA209" s="35" t="s">
        <v>3616</v>
      </c>
      <c r="AB209" s="35" t="s">
        <v>3608</v>
      </c>
      <c r="AC209" s="35" t="s">
        <v>3619</v>
      </c>
      <c r="AD209" s="35" t="s">
        <v>3610</v>
      </c>
      <c r="AE209" s="35" t="s">
        <v>3610</v>
      </c>
      <c r="AF209" s="35" t="s">
        <v>3611</v>
      </c>
      <c r="AG209" s="35" t="s">
        <v>3612</v>
      </c>
      <c r="AH209" s="35" t="s">
        <v>3620</v>
      </c>
    </row>
    <row r="210" spans="1:34" ht="14.45" hidden="1" customHeight="1" x14ac:dyDescent="0.3">
      <c r="A210" s="6" t="s">
        <v>1056</v>
      </c>
      <c r="B210" s="7">
        <v>45220</v>
      </c>
      <c r="C210" s="6" t="s">
        <v>1055</v>
      </c>
      <c r="D210" s="6" t="s">
        <v>5</v>
      </c>
      <c r="E210" s="6" t="s">
        <v>1003</v>
      </c>
      <c r="F210" s="6" t="s">
        <v>3229</v>
      </c>
      <c r="G210" s="8">
        <v>0.70240000000000002</v>
      </c>
      <c r="H210" s="8">
        <v>6.7934000000000001</v>
      </c>
      <c r="I210" s="6" t="s">
        <v>2477</v>
      </c>
      <c r="J210" s="6" t="s">
        <v>2459</v>
      </c>
      <c r="K210" s="6" t="s">
        <v>2468</v>
      </c>
      <c r="L210" s="6" t="s">
        <v>3359</v>
      </c>
      <c r="M210" s="6"/>
      <c r="N210" s="6" t="s">
        <v>2468</v>
      </c>
      <c r="O210" s="6" t="s">
        <v>7</v>
      </c>
      <c r="P210" s="6" t="str">
        <f>VLOOKUP(Tableau1[[#This Row],[SITES NAMES]],[1]Feuil1!$1:$1048576,8,FALSE)</f>
        <v>OK</v>
      </c>
      <c r="Q210" s="6" t="str">
        <f>VLOOKUP(Tableau1[[#This Row],[SITES NAMES]],[1]Feuil1!$1:$1048576,9,FALSE)</f>
        <v>NO</v>
      </c>
      <c r="R210" s="6" t="str">
        <f>VLOOKUP(Tableau1[[#This Row],[SITES NAMES]],[1]Feuil1!$1:$1048576,10,FALSE)</f>
        <v>NO</v>
      </c>
      <c r="S210" s="6" t="s">
        <v>2469</v>
      </c>
      <c r="T210" s="6" t="s">
        <v>2470</v>
      </c>
      <c r="U210" s="6" t="s">
        <v>2471</v>
      </c>
      <c r="V210" s="6" t="s">
        <v>2472</v>
      </c>
      <c r="W210" s="6" t="s">
        <v>2493</v>
      </c>
      <c r="X210" s="8"/>
      <c r="Y210" s="6" t="s">
        <v>3241</v>
      </c>
      <c r="Z210" s="6"/>
      <c r="AA210" s="37" t="s">
        <v>3634</v>
      </c>
      <c r="AB210" s="38" t="s">
        <v>3627</v>
      </c>
      <c r="AC210" s="37" t="s">
        <v>3635</v>
      </c>
      <c r="AD210" s="37" t="s">
        <v>3636</v>
      </c>
      <c r="AE210" s="37" t="s">
        <v>3637</v>
      </c>
      <c r="AF210" s="37" t="s">
        <v>3636</v>
      </c>
      <c r="AG210" s="37" t="s">
        <v>3638</v>
      </c>
      <c r="AH210" s="37" t="s">
        <v>3639</v>
      </c>
    </row>
    <row r="211" spans="1:34" ht="14.45" hidden="1" customHeight="1" x14ac:dyDescent="0.3">
      <c r="A211" s="6" t="s">
        <v>2061</v>
      </c>
      <c r="B211" s="7">
        <v>40079</v>
      </c>
      <c r="C211" s="6" t="s">
        <v>2060</v>
      </c>
      <c r="D211" s="6" t="s">
        <v>132</v>
      </c>
      <c r="E211" s="6" t="s">
        <v>2049</v>
      </c>
      <c r="F211" s="6" t="s">
        <v>3229</v>
      </c>
      <c r="G211" s="8">
        <v>1.414479</v>
      </c>
      <c r="H211" s="8">
        <v>7.0009750000000004</v>
      </c>
      <c r="I211" s="6" t="s">
        <v>2477</v>
      </c>
      <c r="J211" s="6" t="s">
        <v>2459</v>
      </c>
      <c r="K211" s="6" t="s">
        <v>2460</v>
      </c>
      <c r="L211" s="6"/>
      <c r="M211" s="6"/>
      <c r="N211" s="6" t="s">
        <v>3268</v>
      </c>
      <c r="O211" s="6" t="s">
        <v>40</v>
      </c>
      <c r="P211" s="6" t="str">
        <f>VLOOKUP(Tableau1[[#This Row],[SITES NAMES]],[1]Feuil1!$1:$1048576,8,FALSE)</f>
        <v>NOK</v>
      </c>
      <c r="Q211" s="6" t="str">
        <f>VLOOKUP(Tableau1[[#This Row],[SITES NAMES]],[1]Feuil1!$1:$1048576,9,FALSE)</f>
        <v>NO</v>
      </c>
      <c r="R211" s="6" t="str">
        <f>VLOOKUP(Tableau1[[#This Row],[SITES NAMES]],[1]Feuil1!$1:$1048576,10,FALSE)</f>
        <v>NO</v>
      </c>
      <c r="S211" s="6" t="s">
        <v>2469</v>
      </c>
      <c r="T211" s="6" t="s">
        <v>2470</v>
      </c>
      <c r="U211" s="6" t="s">
        <v>2480</v>
      </c>
      <c r="V211" s="6" t="s">
        <v>2464</v>
      </c>
      <c r="W211" s="6" t="s">
        <v>2473</v>
      </c>
      <c r="X211" s="8" t="s">
        <v>3101</v>
      </c>
      <c r="Y211" s="6" t="s">
        <v>3238</v>
      </c>
      <c r="Z211" s="6" t="s">
        <v>3257</v>
      </c>
      <c r="AA211" s="45" t="s">
        <v>3656</v>
      </c>
      <c r="AB211" s="39" t="s">
        <v>3644</v>
      </c>
      <c r="AC211" s="45" t="s">
        <v>3657</v>
      </c>
      <c r="AD211" s="37" t="s">
        <v>3658</v>
      </c>
      <c r="AE211" s="37" t="s">
        <v>3647</v>
      </c>
      <c r="AF211" s="39" t="s">
        <v>3648</v>
      </c>
      <c r="AG211" s="37" t="s">
        <v>3649</v>
      </c>
      <c r="AH211" s="37" t="s">
        <v>3659</v>
      </c>
    </row>
    <row r="212" spans="1:34" ht="14.45" hidden="1" customHeight="1" x14ac:dyDescent="0.3">
      <c r="A212" s="6" t="s">
        <v>2367</v>
      </c>
      <c r="B212" s="7">
        <v>41934</v>
      </c>
      <c r="C212" s="6" t="s">
        <v>2366</v>
      </c>
      <c r="D212" s="6" t="s">
        <v>5</v>
      </c>
      <c r="E212" s="6" t="s">
        <v>2333</v>
      </c>
      <c r="F212" s="6" t="s">
        <v>3229</v>
      </c>
      <c r="G212" s="8">
        <v>0.91049199999999997</v>
      </c>
      <c r="H212" s="8">
        <v>6.4560979999999999</v>
      </c>
      <c r="I212" s="6" t="s">
        <v>2475</v>
      </c>
      <c r="J212" s="6" t="s">
        <v>2459</v>
      </c>
      <c r="K212" s="6" t="s">
        <v>2460</v>
      </c>
      <c r="L212" s="6"/>
      <c r="M212" s="6"/>
      <c r="N212" s="6" t="s">
        <v>3268</v>
      </c>
      <c r="O212" s="6" t="s">
        <v>7</v>
      </c>
      <c r="P212" s="6" t="str">
        <f>VLOOKUP(Tableau1[[#This Row],[SITES NAMES]],[1]Feuil1!$1:$1048576,8,FALSE)</f>
        <v>OK</v>
      </c>
      <c r="Q212" s="6" t="str">
        <f>VLOOKUP(Tableau1[[#This Row],[SITES NAMES]],[1]Feuil1!$1:$1048576,9,FALSE)</f>
        <v>NO</v>
      </c>
      <c r="R212" s="6" t="str">
        <f>VLOOKUP(Tableau1[[#This Row],[SITES NAMES]],[1]Feuil1!$1:$1048576,10,FALSE)</f>
        <v>YES</v>
      </c>
      <c r="S212" s="6" t="s">
        <v>2461</v>
      </c>
      <c r="T212" s="6" t="s">
        <v>2462</v>
      </c>
      <c r="U212" s="6" t="s">
        <v>2463</v>
      </c>
      <c r="V212" s="6" t="s">
        <v>2478</v>
      </c>
      <c r="W212" s="6" t="s">
        <v>2465</v>
      </c>
      <c r="X212" s="8" t="s">
        <v>3207</v>
      </c>
      <c r="Y212" s="6" t="s">
        <v>3241</v>
      </c>
      <c r="Z212" t="e">
        <f>VLOOKUP(Tableau1[[#This Row],[SITES NAMES]],#REF!,3,FALSE)</f>
        <v>#REF!</v>
      </c>
      <c r="AA212" s="37"/>
      <c r="AB212" s="38" t="s">
        <v>3627</v>
      </c>
      <c r="AC212" s="37" t="s">
        <v>3640</v>
      </c>
      <c r="AD212" s="39" t="s">
        <v>3641</v>
      </c>
      <c r="AE212" s="37"/>
      <c r="AF212" s="39" t="s">
        <v>3641</v>
      </c>
      <c r="AG212" s="37"/>
      <c r="AH212" s="37" t="s">
        <v>3642</v>
      </c>
    </row>
    <row r="213" spans="1:34" ht="14.45" hidden="1" customHeight="1" x14ac:dyDescent="0.3">
      <c r="A213" s="6" t="s">
        <v>185</v>
      </c>
      <c r="B213" s="7">
        <v>45104</v>
      </c>
      <c r="C213" s="6" t="s">
        <v>184</v>
      </c>
      <c r="D213" s="6" t="s">
        <v>132</v>
      </c>
      <c r="E213" s="6" t="s">
        <v>133</v>
      </c>
      <c r="F213" s="6" t="s">
        <v>3229</v>
      </c>
      <c r="G213" s="8">
        <v>1.3645</v>
      </c>
      <c r="H213" s="8">
        <v>7.4322499999999998</v>
      </c>
      <c r="I213" s="6" t="s">
        <v>2477</v>
      </c>
      <c r="J213" s="6" t="s">
        <v>2459</v>
      </c>
      <c r="K213" s="6" t="s">
        <v>2468</v>
      </c>
      <c r="L213" s="6" t="s">
        <v>3360</v>
      </c>
      <c r="M213" s="6"/>
      <c r="N213" s="6" t="s">
        <v>2468</v>
      </c>
      <c r="O213" s="6" t="s">
        <v>7</v>
      </c>
      <c r="P213" s="6" t="str">
        <f>VLOOKUP(Tableau1[[#This Row],[SITES NAMES]],[1]Feuil1!$1:$1048576,8,FALSE)</f>
        <v>OK</v>
      </c>
      <c r="Q213" s="6" t="str">
        <f>VLOOKUP(Tableau1[[#This Row],[SITES NAMES]],[1]Feuil1!$1:$1048576,9,FALSE)</f>
        <v>NO</v>
      </c>
      <c r="R213" s="6" t="str">
        <f>VLOOKUP(Tableau1[[#This Row],[SITES NAMES]],[1]Feuil1!$1:$1048576,10,FALSE)</f>
        <v>NO</v>
      </c>
      <c r="S213" s="6" t="s">
        <v>2461</v>
      </c>
      <c r="T213" s="6" t="s">
        <v>2462</v>
      </c>
      <c r="U213" s="6" t="s">
        <v>2463</v>
      </c>
      <c r="V213" s="6" t="s">
        <v>2472</v>
      </c>
      <c r="W213" s="6" t="s">
        <v>2473</v>
      </c>
      <c r="X213" s="8">
        <v>70997365</v>
      </c>
      <c r="Y213" s="6" t="s">
        <v>3238</v>
      </c>
      <c r="Z213" s="6" t="s">
        <v>3258</v>
      </c>
      <c r="AA213" s="37" t="s">
        <v>3643</v>
      </c>
      <c r="AB213" s="39" t="s">
        <v>3644</v>
      </c>
      <c r="AC213" s="37" t="s">
        <v>3645</v>
      </c>
      <c r="AD213" s="39" t="s">
        <v>3646</v>
      </c>
      <c r="AE213" s="39" t="s">
        <v>3647</v>
      </c>
      <c r="AF213" s="39" t="s">
        <v>3648</v>
      </c>
      <c r="AG213" s="37" t="s">
        <v>3649</v>
      </c>
      <c r="AH213" s="37" t="s">
        <v>3650</v>
      </c>
    </row>
    <row r="214" spans="1:34" ht="14.45" hidden="1" customHeight="1" x14ac:dyDescent="0.25">
      <c r="A214" s="6" t="s">
        <v>1628</v>
      </c>
      <c r="B214" s="7">
        <v>43523</v>
      </c>
      <c r="C214" s="6" t="s">
        <v>1627</v>
      </c>
      <c r="D214" s="6" t="s">
        <v>66</v>
      </c>
      <c r="E214" s="6" t="s">
        <v>3236</v>
      </c>
      <c r="F214" s="18" t="s">
        <v>3230</v>
      </c>
      <c r="G214" s="8">
        <v>1.16628</v>
      </c>
      <c r="H214" s="8">
        <v>6.22525</v>
      </c>
      <c r="I214" s="6" t="s">
        <v>2475</v>
      </c>
      <c r="J214" s="6" t="s">
        <v>2459</v>
      </c>
      <c r="K214" s="6" t="s">
        <v>2460</v>
      </c>
      <c r="L214" s="6"/>
      <c r="M214" s="6"/>
      <c r="N214" s="6" t="s">
        <v>3268</v>
      </c>
      <c r="O214" s="6" t="s">
        <v>7</v>
      </c>
      <c r="P214" s="6" t="str">
        <f>VLOOKUP(Tableau1[[#This Row],[SITES NAMES]],[1]Feuil1!$1:$1048576,8,FALSE)</f>
        <v>NOK</v>
      </c>
      <c r="Q214" s="6" t="str">
        <f>VLOOKUP(Tableau1[[#This Row],[SITES NAMES]],[1]Feuil1!$1:$1048576,9,FALSE)</f>
        <v>YES</v>
      </c>
      <c r="R214" s="6" t="str">
        <f>VLOOKUP(Tableau1[[#This Row],[SITES NAMES]],[1]Feuil1!$1:$1048576,10,FALSE)</f>
        <v>NO</v>
      </c>
      <c r="S214" s="6" t="s">
        <v>2461</v>
      </c>
      <c r="T214" s="6" t="s">
        <v>2470</v>
      </c>
      <c r="U214" s="6" t="s">
        <v>2463</v>
      </c>
      <c r="V214" s="6" t="s">
        <v>2478</v>
      </c>
      <c r="W214" s="6" t="s">
        <v>2476</v>
      </c>
      <c r="X214" s="8" t="s">
        <v>2989</v>
      </c>
      <c r="Y214" s="6" t="s">
        <v>3238</v>
      </c>
      <c r="Z214" s="6" t="s">
        <v>3263</v>
      </c>
      <c r="AA214" s="35" t="s">
        <v>3616</v>
      </c>
      <c r="AB214" s="35" t="s">
        <v>3608</v>
      </c>
      <c r="AC214" s="35" t="s">
        <v>3619</v>
      </c>
      <c r="AD214" s="35" t="s">
        <v>3610</v>
      </c>
      <c r="AE214" s="35" t="s">
        <v>3610</v>
      </c>
      <c r="AF214" s="35" t="s">
        <v>3611</v>
      </c>
      <c r="AG214" s="35" t="s">
        <v>3612</v>
      </c>
      <c r="AH214" s="35" t="s">
        <v>3620</v>
      </c>
    </row>
    <row r="215" spans="1:34" ht="14.45" hidden="1" customHeight="1" x14ac:dyDescent="0.25">
      <c r="A215" s="6" t="s">
        <v>1630</v>
      </c>
      <c r="B215" s="7">
        <v>44684</v>
      </c>
      <c r="C215" s="6" t="s">
        <v>1629</v>
      </c>
      <c r="D215" s="6" t="s">
        <v>66</v>
      </c>
      <c r="E215" s="6" t="s">
        <v>3236</v>
      </c>
      <c r="F215" s="6" t="s">
        <v>3229</v>
      </c>
      <c r="G215" s="8">
        <v>1.1326320000000001</v>
      </c>
      <c r="H215" s="8">
        <v>6.2507592499999998</v>
      </c>
      <c r="I215" s="6" t="s">
        <v>2475</v>
      </c>
      <c r="J215" s="6" t="s">
        <v>2459</v>
      </c>
      <c r="K215" s="6" t="s">
        <v>2460</v>
      </c>
      <c r="L215" s="6"/>
      <c r="M215" s="6"/>
      <c r="N215" s="6" t="s">
        <v>3268</v>
      </c>
      <c r="O215" s="6" t="s">
        <v>7</v>
      </c>
      <c r="P215" s="6" t="str">
        <f>VLOOKUP(Tableau1[[#This Row],[SITES NAMES]],[1]Feuil1!$1:$1048576,8,FALSE)</f>
        <v>OK</v>
      </c>
      <c r="Q215" s="6" t="str">
        <f>VLOOKUP(Tableau1[[#This Row],[SITES NAMES]],[1]Feuil1!$1:$1048576,9,FALSE)</f>
        <v>NO</v>
      </c>
      <c r="R215" s="6" t="str">
        <f>VLOOKUP(Tableau1[[#This Row],[SITES NAMES]],[1]Feuil1!$1:$1048576,10,FALSE)</f>
        <v>YES</v>
      </c>
      <c r="S215" s="6" t="s">
        <v>2461</v>
      </c>
      <c r="T215" s="6" t="s">
        <v>2462</v>
      </c>
      <c r="U215" s="6" t="s">
        <v>2463</v>
      </c>
      <c r="V215" s="6" t="s">
        <v>2464</v>
      </c>
      <c r="W215" s="6" t="s">
        <v>2465</v>
      </c>
      <c r="X215" s="8"/>
      <c r="Y215" s="6" t="s">
        <v>3238</v>
      </c>
      <c r="Z215" s="6" t="s">
        <v>3263</v>
      </c>
      <c r="AA215" s="35" t="s">
        <v>3616</v>
      </c>
      <c r="AB215" s="35" t="s">
        <v>3608</v>
      </c>
      <c r="AC215" s="35" t="s">
        <v>3619</v>
      </c>
      <c r="AD215" s="35" t="s">
        <v>3610</v>
      </c>
      <c r="AE215" s="35" t="s">
        <v>3610</v>
      </c>
      <c r="AF215" s="35" t="s">
        <v>3611</v>
      </c>
      <c r="AG215" s="35" t="s">
        <v>3612</v>
      </c>
      <c r="AH215" s="35" t="s">
        <v>3620</v>
      </c>
    </row>
    <row r="216" spans="1:34" ht="14.45" hidden="1" customHeight="1" x14ac:dyDescent="0.25">
      <c r="A216" s="6" t="s">
        <v>1590</v>
      </c>
      <c r="B216" s="7">
        <v>39417</v>
      </c>
      <c r="C216" s="6" t="s">
        <v>1589</v>
      </c>
      <c r="D216" s="6" t="s">
        <v>66</v>
      </c>
      <c r="E216" s="6" t="s">
        <v>3236</v>
      </c>
      <c r="F216" s="6" t="s">
        <v>3229</v>
      </c>
      <c r="G216" s="8">
        <v>1.192815</v>
      </c>
      <c r="H216" s="8">
        <v>6.2312017869999998</v>
      </c>
      <c r="I216" s="6" t="s">
        <v>2475</v>
      </c>
      <c r="J216" s="6" t="s">
        <v>2459</v>
      </c>
      <c r="K216" s="6" t="s">
        <v>2460</v>
      </c>
      <c r="L216" s="6"/>
      <c r="M216" s="6"/>
      <c r="N216" s="6" t="s">
        <v>3268</v>
      </c>
      <c r="O216" s="6" t="s">
        <v>7</v>
      </c>
      <c r="P216" s="6" t="str">
        <f>VLOOKUP(Tableau1[[#This Row],[SITES NAMES]],[1]Feuil1!$1:$1048576,8,FALSE)</f>
        <v>OK</v>
      </c>
      <c r="Q216" s="6" t="str">
        <f>VLOOKUP(Tableau1[[#This Row],[SITES NAMES]],[1]Feuil1!$1:$1048576,9,FALSE)</f>
        <v>NO</v>
      </c>
      <c r="R216" s="6" t="str">
        <f>VLOOKUP(Tableau1[[#This Row],[SITES NAMES]],[1]Feuil1!$1:$1048576,10,FALSE)</f>
        <v>NO</v>
      </c>
      <c r="S216" s="6" t="s">
        <v>2461</v>
      </c>
      <c r="T216" s="6" t="s">
        <v>2470</v>
      </c>
      <c r="U216" s="6" t="s">
        <v>2463</v>
      </c>
      <c r="V216" s="6" t="s">
        <v>2478</v>
      </c>
      <c r="W216" s="6" t="s">
        <v>2476</v>
      </c>
      <c r="X216" s="8" t="s">
        <v>2979</v>
      </c>
      <c r="Y216" s="6" t="s">
        <v>3238</v>
      </c>
      <c r="Z216" s="6" t="s">
        <v>3263</v>
      </c>
      <c r="AA216" s="35" t="s">
        <v>3616</v>
      </c>
      <c r="AB216" s="35" t="s">
        <v>3608</v>
      </c>
      <c r="AC216" s="35" t="s">
        <v>3619</v>
      </c>
      <c r="AD216" s="35" t="s">
        <v>3610</v>
      </c>
      <c r="AE216" s="35" t="s">
        <v>3610</v>
      </c>
      <c r="AF216" s="35" t="s">
        <v>3611</v>
      </c>
      <c r="AG216" s="35" t="s">
        <v>3612</v>
      </c>
      <c r="AH216" s="35" t="s">
        <v>3620</v>
      </c>
    </row>
    <row r="217" spans="1:34" ht="14.45" hidden="1" customHeight="1" x14ac:dyDescent="0.3">
      <c r="A217" s="6" t="s">
        <v>341</v>
      </c>
      <c r="B217" s="7">
        <v>39417</v>
      </c>
      <c r="C217" s="6" t="s">
        <v>340</v>
      </c>
      <c r="D217" s="6" t="s">
        <v>320</v>
      </c>
      <c r="E217" s="6" t="s">
        <v>321</v>
      </c>
      <c r="F217" s="6" t="s">
        <v>3229</v>
      </c>
      <c r="G217" s="8">
        <v>0.67666700000000002</v>
      </c>
      <c r="H217" s="8">
        <v>8.0166900000000005</v>
      </c>
      <c r="I217" s="6" t="s">
        <v>2467</v>
      </c>
      <c r="J217" s="6" t="s">
        <v>2459</v>
      </c>
      <c r="K217" s="6" t="s">
        <v>2468</v>
      </c>
      <c r="L217" s="6" t="s">
        <v>3361</v>
      </c>
      <c r="M217" s="6"/>
      <c r="N217" s="6" t="s">
        <v>2468</v>
      </c>
      <c r="O217" s="6" t="s">
        <v>40</v>
      </c>
      <c r="P217" s="6" t="str">
        <f>VLOOKUP(Tableau1[[#This Row],[SITES NAMES]],[1]Feuil1!$1:$1048576,8,FALSE)</f>
        <v>OK</v>
      </c>
      <c r="Q217" s="6" t="str">
        <f>VLOOKUP(Tableau1[[#This Row],[SITES NAMES]],[1]Feuil1!$1:$1048576,9,FALSE)</f>
        <v>NO</v>
      </c>
      <c r="R217" s="6" t="str">
        <f>VLOOKUP(Tableau1[[#This Row],[SITES NAMES]],[1]Feuil1!$1:$1048576,10,FALSE)</f>
        <v>YES</v>
      </c>
      <c r="S217" s="6" t="s">
        <v>2469</v>
      </c>
      <c r="T217" s="6" t="s">
        <v>2470</v>
      </c>
      <c r="U217" s="6" t="s">
        <v>2480</v>
      </c>
      <c r="V217" s="6" t="s">
        <v>2472</v>
      </c>
      <c r="W217" s="6" t="s">
        <v>2473</v>
      </c>
      <c r="X217" s="8" t="s">
        <v>2595</v>
      </c>
      <c r="Y217" s="6" t="s">
        <v>3238</v>
      </c>
      <c r="Z217" s="6" t="s">
        <v>3266</v>
      </c>
      <c r="AA217" s="37" t="s">
        <v>3664</v>
      </c>
      <c r="AB217" s="39" t="s">
        <v>3665</v>
      </c>
      <c r="AC217" s="37" t="s">
        <v>3666</v>
      </c>
      <c r="AD217" s="37" t="s">
        <v>3667</v>
      </c>
      <c r="AE217" s="37" t="s">
        <v>3668</v>
      </c>
      <c r="AF217" s="37" t="s">
        <v>3669</v>
      </c>
      <c r="AG217" s="37" t="s">
        <v>3670</v>
      </c>
      <c r="AH217" s="37" t="s">
        <v>3671</v>
      </c>
    </row>
    <row r="218" spans="1:34" ht="14.45" hidden="1" customHeight="1" x14ac:dyDescent="0.3">
      <c r="A218" s="6" t="s">
        <v>2337</v>
      </c>
      <c r="B218" s="7">
        <v>42110</v>
      </c>
      <c r="C218" s="6" t="s">
        <v>2336</v>
      </c>
      <c r="D218" s="6" t="s">
        <v>5</v>
      </c>
      <c r="E218" s="6" t="s">
        <v>2333</v>
      </c>
      <c r="F218" s="6" t="s">
        <v>3229</v>
      </c>
      <c r="G218" s="8">
        <v>1.1599820000000001</v>
      </c>
      <c r="H218" s="8">
        <v>6.3659540000000003</v>
      </c>
      <c r="I218" s="6" t="s">
        <v>2477</v>
      </c>
      <c r="J218" s="6" t="s">
        <v>2459</v>
      </c>
      <c r="K218" s="6" t="s">
        <v>2468</v>
      </c>
      <c r="L218" s="6" t="s">
        <v>3362</v>
      </c>
      <c r="M218" s="6"/>
      <c r="N218" s="6" t="s">
        <v>2468</v>
      </c>
      <c r="O218" s="6" t="s">
        <v>18</v>
      </c>
      <c r="P218" s="6" t="str">
        <f>VLOOKUP(Tableau1[[#This Row],[SITES NAMES]],[1]Feuil1!$1:$1048576,8,FALSE)</f>
        <v>OK</v>
      </c>
      <c r="Q218" s="6" t="str">
        <f>VLOOKUP(Tableau1[[#This Row],[SITES NAMES]],[1]Feuil1!$1:$1048576,9,FALSE)</f>
        <v>NO</v>
      </c>
      <c r="R218" s="6" t="str">
        <f>VLOOKUP(Tableau1[[#This Row],[SITES NAMES]],[1]Feuil1!$1:$1048576,10,FALSE)</f>
        <v>NO</v>
      </c>
      <c r="S218" s="6" t="s">
        <v>2461</v>
      </c>
      <c r="T218" s="6" t="s">
        <v>2470</v>
      </c>
      <c r="U218" s="6" t="s">
        <v>2463</v>
      </c>
      <c r="V218" s="6" t="s">
        <v>2472</v>
      </c>
      <c r="W218" s="6" t="s">
        <v>2473</v>
      </c>
      <c r="X218" s="8" t="s">
        <v>3200</v>
      </c>
      <c r="Y218" s="6" t="s">
        <v>3241</v>
      </c>
      <c r="Z218" s="6"/>
      <c r="AA218" s="37"/>
      <c r="AB218" s="38" t="s">
        <v>3627</v>
      </c>
      <c r="AC218" s="37" t="s">
        <v>3640</v>
      </c>
      <c r="AD218" s="39" t="s">
        <v>3641</v>
      </c>
      <c r="AE218" s="37"/>
      <c r="AF218" s="39" t="s">
        <v>3641</v>
      </c>
      <c r="AG218" s="37"/>
      <c r="AH218" s="37" t="s">
        <v>3642</v>
      </c>
    </row>
    <row r="219" spans="1:34" ht="14.45" hidden="1" customHeight="1" x14ac:dyDescent="0.25">
      <c r="A219" s="6" t="s">
        <v>1446</v>
      </c>
      <c r="B219" s="7">
        <v>44857</v>
      </c>
      <c r="C219" s="6" t="s">
        <v>1445</v>
      </c>
      <c r="D219" s="6" t="s">
        <v>66</v>
      </c>
      <c r="E219" s="6" t="s">
        <v>3233</v>
      </c>
      <c r="F219" s="6" t="s">
        <v>3229</v>
      </c>
      <c r="G219" s="8">
        <v>1.1928989999999999</v>
      </c>
      <c r="H219" s="8">
        <v>6.3568959999999999</v>
      </c>
      <c r="I219" s="6" t="s">
        <v>2479</v>
      </c>
      <c r="J219" s="6" t="s">
        <v>2459</v>
      </c>
      <c r="K219" s="6" t="s">
        <v>2460</v>
      </c>
      <c r="L219" s="6" t="s">
        <v>3363</v>
      </c>
      <c r="M219" s="6"/>
      <c r="N219" s="6" t="s">
        <v>3268</v>
      </c>
      <c r="O219" s="6" t="s">
        <v>7</v>
      </c>
      <c r="P219" s="6" t="str">
        <f>VLOOKUP(Tableau1[[#This Row],[SITES NAMES]],[1]Feuil1!$1:$1048576,8,FALSE)</f>
        <v>OK</v>
      </c>
      <c r="Q219" s="6" t="str">
        <f>VLOOKUP(Tableau1[[#This Row],[SITES NAMES]],[1]Feuil1!$1:$1048576,9,FALSE)</f>
        <v>NO</v>
      </c>
      <c r="R219" s="6" t="str">
        <f>VLOOKUP(Tableau1[[#This Row],[SITES NAMES]],[1]Feuil1!$1:$1048576,10,FALSE)</f>
        <v>YES</v>
      </c>
      <c r="S219" s="6" t="s">
        <v>2461</v>
      </c>
      <c r="T219" s="6" t="s">
        <v>2470</v>
      </c>
      <c r="U219" s="6" t="s">
        <v>2463</v>
      </c>
      <c r="V219" s="6" t="s">
        <v>2464</v>
      </c>
      <c r="W219" s="6" t="s">
        <v>2465</v>
      </c>
      <c r="X219" s="8">
        <v>70997252</v>
      </c>
      <c r="Y219" s="6" t="s">
        <v>3238</v>
      </c>
      <c r="Z219" s="6"/>
      <c r="AA219" s="35" t="s">
        <v>3616</v>
      </c>
      <c r="AB219" s="35" t="s">
        <v>3608</v>
      </c>
      <c r="AC219" s="35" t="s">
        <v>3617</v>
      </c>
      <c r="AD219" s="35" t="s">
        <v>3610</v>
      </c>
      <c r="AE219" s="35" t="s">
        <v>3610</v>
      </c>
      <c r="AF219" s="35" t="s">
        <v>3611</v>
      </c>
      <c r="AG219" s="35" t="s">
        <v>3612</v>
      </c>
      <c r="AH219" s="35" t="s">
        <v>3618</v>
      </c>
    </row>
    <row r="220" spans="1:34" ht="14.45" hidden="1" customHeight="1" x14ac:dyDescent="0.3">
      <c r="A220" s="6" t="s">
        <v>333</v>
      </c>
      <c r="B220" s="7">
        <v>46022</v>
      </c>
      <c r="C220" s="6" t="s">
        <v>332</v>
      </c>
      <c r="D220" s="6" t="s">
        <v>320</v>
      </c>
      <c r="E220" s="6" t="s">
        <v>321</v>
      </c>
      <c r="F220" s="6" t="s">
        <v>3229</v>
      </c>
      <c r="G220" s="8">
        <v>1.1366799999999999</v>
      </c>
      <c r="H220" s="8">
        <v>8.1806610000000006</v>
      </c>
      <c r="I220" s="15" t="s">
        <v>3227</v>
      </c>
      <c r="J220" s="6" t="s">
        <v>2459</v>
      </c>
      <c r="K220" s="6" t="s">
        <v>2468</v>
      </c>
      <c r="L220" s="6"/>
      <c r="M220" s="6"/>
      <c r="N220" s="6" t="s">
        <v>2468</v>
      </c>
      <c r="O220" s="6" t="s">
        <v>7</v>
      </c>
      <c r="P220" s="6"/>
      <c r="Q220" s="6"/>
      <c r="R220" s="6"/>
      <c r="S220" s="6"/>
      <c r="T220" s="6"/>
      <c r="U220" s="6"/>
      <c r="V220" s="6"/>
      <c r="W220" s="6"/>
      <c r="X220" s="8"/>
      <c r="Y220" s="6" t="s">
        <v>3238</v>
      </c>
      <c r="Z220" s="6" t="s">
        <v>3266</v>
      </c>
      <c r="AA220" s="37" t="s">
        <v>3664</v>
      </c>
      <c r="AB220" s="39" t="s">
        <v>3665</v>
      </c>
      <c r="AC220" s="37" t="s">
        <v>3666</v>
      </c>
      <c r="AD220" s="37" t="s">
        <v>3667</v>
      </c>
      <c r="AE220" s="37" t="s">
        <v>3668</v>
      </c>
      <c r="AF220" s="37" t="s">
        <v>3669</v>
      </c>
      <c r="AG220" s="37" t="s">
        <v>3670</v>
      </c>
      <c r="AH220" s="37" t="s">
        <v>3671</v>
      </c>
    </row>
    <row r="221" spans="1:34" ht="14.45" hidden="1" customHeight="1" x14ac:dyDescent="0.3">
      <c r="A221" s="6" t="s">
        <v>133</v>
      </c>
      <c r="B221" s="7">
        <v>41647</v>
      </c>
      <c r="C221" s="6" t="s">
        <v>186</v>
      </c>
      <c r="D221" s="6" t="s">
        <v>132</v>
      </c>
      <c r="E221" s="6" t="s">
        <v>133</v>
      </c>
      <c r="F221" s="6" t="s">
        <v>3229</v>
      </c>
      <c r="G221" s="8">
        <v>1.1230830000000001</v>
      </c>
      <c r="H221" s="8">
        <v>7.5419999999999998</v>
      </c>
      <c r="I221" s="6" t="s">
        <v>2497</v>
      </c>
      <c r="J221" s="6" t="s">
        <v>2459</v>
      </c>
      <c r="K221" s="6" t="s">
        <v>2460</v>
      </c>
      <c r="L221" s="6"/>
      <c r="M221" s="6"/>
      <c r="N221" s="6" t="s">
        <v>3268</v>
      </c>
      <c r="O221" s="6" t="s">
        <v>7</v>
      </c>
      <c r="P221" s="6" t="str">
        <f>VLOOKUP(Tableau1[[#This Row],[SITES NAMES]],[1]Feuil1!$1:$1048576,8,FALSE)</f>
        <v>OK</v>
      </c>
      <c r="Q221" s="6" t="str">
        <f>VLOOKUP(Tableau1[[#This Row],[SITES NAMES]],[1]Feuil1!$1:$1048576,9,FALSE)</f>
        <v>NO</v>
      </c>
      <c r="R221" s="6" t="str">
        <f>VLOOKUP(Tableau1[[#This Row],[SITES NAMES]],[1]Feuil1!$1:$1048576,10,FALSE)</f>
        <v>YES</v>
      </c>
      <c r="S221" s="6" t="s">
        <v>2469</v>
      </c>
      <c r="T221" s="6" t="s">
        <v>2470</v>
      </c>
      <c r="U221" s="6" t="s">
        <v>2480</v>
      </c>
      <c r="V221" s="6" t="s">
        <v>2478</v>
      </c>
      <c r="W221" s="6" t="s">
        <v>2476</v>
      </c>
      <c r="X221" s="8"/>
      <c r="Y221" s="6" t="s">
        <v>3238</v>
      </c>
      <c r="Z221" s="6" t="s">
        <v>3258</v>
      </c>
      <c r="AA221" s="37" t="s">
        <v>3643</v>
      </c>
      <c r="AB221" s="39" t="s">
        <v>3644</v>
      </c>
      <c r="AC221" s="37" t="s">
        <v>3645</v>
      </c>
      <c r="AD221" s="39" t="s">
        <v>3646</v>
      </c>
      <c r="AE221" s="39" t="s">
        <v>3647</v>
      </c>
      <c r="AF221" s="39" t="s">
        <v>3648</v>
      </c>
      <c r="AG221" s="37" t="s">
        <v>3649</v>
      </c>
      <c r="AH221" s="37" t="s">
        <v>3650</v>
      </c>
    </row>
    <row r="222" spans="1:34" ht="14.45" hidden="1" customHeight="1" x14ac:dyDescent="0.3">
      <c r="A222" s="6" t="s">
        <v>151</v>
      </c>
      <c r="B222" s="7">
        <v>46022</v>
      </c>
      <c r="C222" s="6" t="s">
        <v>150</v>
      </c>
      <c r="D222" s="6" t="s">
        <v>132</v>
      </c>
      <c r="E222" s="6" t="s">
        <v>133</v>
      </c>
      <c r="F222" s="6" t="s">
        <v>3229</v>
      </c>
      <c r="G222" s="8">
        <v>1.1279669999999999</v>
      </c>
      <c r="H222" s="8">
        <v>7.552073</v>
      </c>
      <c r="I222" s="6" t="e">
        <v>#N/A</v>
      </c>
      <c r="J222" s="6" t="s">
        <v>2459</v>
      </c>
      <c r="K222" s="6" t="s">
        <v>2468</v>
      </c>
      <c r="L222" s="6"/>
      <c r="M222" s="6"/>
      <c r="N222" s="6" t="s">
        <v>2468</v>
      </c>
      <c r="O222" s="6" t="s">
        <v>7</v>
      </c>
      <c r="P222" s="6"/>
      <c r="Q222" s="6"/>
      <c r="R222" s="6"/>
      <c r="S222" s="6"/>
      <c r="T222" s="6"/>
      <c r="U222" s="6"/>
      <c r="V222" s="6"/>
      <c r="W222" s="6"/>
      <c r="X222" s="8"/>
      <c r="Y222" s="6" t="s">
        <v>3238</v>
      </c>
      <c r="Z222" s="6" t="s">
        <v>3258</v>
      </c>
      <c r="AA222" s="37" t="s">
        <v>3643</v>
      </c>
      <c r="AB222" s="39" t="s">
        <v>3644</v>
      </c>
      <c r="AC222" s="37" t="s">
        <v>3645</v>
      </c>
      <c r="AD222" s="39" t="s">
        <v>3646</v>
      </c>
      <c r="AE222" s="39" t="s">
        <v>3647</v>
      </c>
      <c r="AF222" s="39" t="s">
        <v>3648</v>
      </c>
      <c r="AG222" s="37" t="s">
        <v>3649</v>
      </c>
      <c r="AH222" s="37" t="s">
        <v>3650</v>
      </c>
    </row>
    <row r="223" spans="1:34" ht="14.45" hidden="1" customHeight="1" x14ac:dyDescent="0.3">
      <c r="A223" s="6" t="s">
        <v>153</v>
      </c>
      <c r="B223" s="7">
        <v>46022</v>
      </c>
      <c r="C223" s="6" t="s">
        <v>152</v>
      </c>
      <c r="D223" s="6" t="s">
        <v>132</v>
      </c>
      <c r="E223" s="6" t="s">
        <v>133</v>
      </c>
      <c r="F223" s="6" t="s">
        <v>3229</v>
      </c>
      <c r="G223" s="8">
        <v>1.1493640000000001</v>
      </c>
      <c r="H223" s="8">
        <v>7.5532149999999998</v>
      </c>
      <c r="I223" s="6" t="e">
        <v>#N/A</v>
      </c>
      <c r="J223" s="6" t="s">
        <v>2459</v>
      </c>
      <c r="K223" s="6" t="s">
        <v>2468</v>
      </c>
      <c r="L223" s="6"/>
      <c r="M223" s="6"/>
      <c r="N223" s="6" t="s">
        <v>2468</v>
      </c>
      <c r="O223" s="6" t="s">
        <v>47</v>
      </c>
      <c r="P223" s="6"/>
      <c r="Q223" s="6"/>
      <c r="R223" s="6"/>
      <c r="S223" s="6"/>
      <c r="T223" s="6"/>
      <c r="U223" s="6"/>
      <c r="V223" s="6"/>
      <c r="W223" s="6"/>
      <c r="X223" s="8"/>
      <c r="Y223" s="6" t="s">
        <v>3238</v>
      </c>
      <c r="Z223" s="6" t="s">
        <v>3258</v>
      </c>
      <c r="AA223" s="37" t="s">
        <v>3643</v>
      </c>
      <c r="AB223" s="39" t="s">
        <v>3644</v>
      </c>
      <c r="AC223" s="37" t="s">
        <v>3645</v>
      </c>
      <c r="AD223" s="39" t="s">
        <v>3646</v>
      </c>
      <c r="AE223" s="39" t="s">
        <v>3647</v>
      </c>
      <c r="AF223" s="39" t="s">
        <v>3648</v>
      </c>
      <c r="AG223" s="37" t="s">
        <v>3649</v>
      </c>
      <c r="AH223" s="37" t="s">
        <v>3650</v>
      </c>
    </row>
    <row r="224" spans="1:34" ht="14.45" hidden="1" customHeight="1" x14ac:dyDescent="0.3">
      <c r="A224" s="6" t="s">
        <v>188</v>
      </c>
      <c r="B224" s="7">
        <v>40422</v>
      </c>
      <c r="C224" s="6" t="s">
        <v>187</v>
      </c>
      <c r="D224" s="6" t="s">
        <v>132</v>
      </c>
      <c r="E224" s="6" t="s">
        <v>133</v>
      </c>
      <c r="F224" s="6" t="s">
        <v>3229</v>
      </c>
      <c r="G224" s="8">
        <v>1.120972222</v>
      </c>
      <c r="H224" s="8">
        <v>7.5298160000000003</v>
      </c>
      <c r="I224" s="6" t="s">
        <v>2497</v>
      </c>
      <c r="J224" s="6" t="s">
        <v>2459</v>
      </c>
      <c r="K224" s="6" t="s">
        <v>2460</v>
      </c>
      <c r="L224" s="6"/>
      <c r="M224" s="6"/>
      <c r="N224" s="6" t="s">
        <v>3268</v>
      </c>
      <c r="O224" s="6" t="s">
        <v>7</v>
      </c>
      <c r="P224" s="6" t="str">
        <f>VLOOKUP(Tableau1[[#This Row],[SITES NAMES]],[1]Feuil1!$1:$1048576,8,FALSE)</f>
        <v>OK</v>
      </c>
      <c r="Q224" s="6" t="str">
        <f>VLOOKUP(Tableau1[[#This Row],[SITES NAMES]],[1]Feuil1!$1:$1048576,9,FALSE)</f>
        <v>NO</v>
      </c>
      <c r="R224" s="6" t="str">
        <f>VLOOKUP(Tableau1[[#This Row],[SITES NAMES]],[1]Feuil1!$1:$1048576,10,FALSE)</f>
        <v>NO</v>
      </c>
      <c r="S224" s="6" t="s">
        <v>2469</v>
      </c>
      <c r="T224" s="6" t="s">
        <v>2470</v>
      </c>
      <c r="U224" s="6" t="s">
        <v>2480</v>
      </c>
      <c r="V224" s="6" t="s">
        <v>2464</v>
      </c>
      <c r="W224" s="6" t="s">
        <v>2476</v>
      </c>
      <c r="X224" s="8" t="s">
        <v>2538</v>
      </c>
      <c r="Y224" s="6" t="s">
        <v>3238</v>
      </c>
      <c r="Z224" s="6" t="s">
        <v>3258</v>
      </c>
      <c r="AA224" s="37" t="s">
        <v>3643</v>
      </c>
      <c r="AB224" s="39" t="s">
        <v>3644</v>
      </c>
      <c r="AC224" s="37" t="s">
        <v>3645</v>
      </c>
      <c r="AD224" s="39" t="s">
        <v>3646</v>
      </c>
      <c r="AE224" s="39" t="s">
        <v>3647</v>
      </c>
      <c r="AF224" s="39" t="s">
        <v>3648</v>
      </c>
      <c r="AG224" s="37" t="s">
        <v>3649</v>
      </c>
      <c r="AH224" s="37" t="s">
        <v>3650</v>
      </c>
    </row>
    <row r="225" spans="1:34" ht="14.45" hidden="1" customHeight="1" x14ac:dyDescent="0.3">
      <c r="A225" s="6" t="s">
        <v>190</v>
      </c>
      <c r="B225" s="7">
        <v>46022</v>
      </c>
      <c r="C225" s="6" t="s">
        <v>189</v>
      </c>
      <c r="D225" s="6" t="s">
        <v>132</v>
      </c>
      <c r="E225" s="6" t="s">
        <v>133</v>
      </c>
      <c r="F225" s="6" t="s">
        <v>3229</v>
      </c>
      <c r="G225" s="8">
        <v>1.1229</v>
      </c>
      <c r="H225" s="8">
        <v>7.5418000000000003</v>
      </c>
      <c r="I225" s="6" t="e">
        <v>#N/A</v>
      </c>
      <c r="J225" s="6" t="s">
        <v>2459</v>
      </c>
      <c r="K225" s="6" t="s">
        <v>2460</v>
      </c>
      <c r="L225" s="6"/>
      <c r="M225" s="6"/>
      <c r="N225" s="6" t="s">
        <v>3268</v>
      </c>
      <c r="O225" s="6" t="s">
        <v>7</v>
      </c>
      <c r="P225" s="6"/>
      <c r="Q225" s="6"/>
      <c r="R225" s="6"/>
      <c r="S225" s="6"/>
      <c r="T225" s="6"/>
      <c r="U225" s="6"/>
      <c r="V225" s="6"/>
      <c r="W225" s="6"/>
      <c r="X225" s="8"/>
      <c r="Y225" s="6" t="s">
        <v>3238</v>
      </c>
      <c r="Z225" s="6" t="s">
        <v>3258</v>
      </c>
      <c r="AA225" s="37" t="s">
        <v>3643</v>
      </c>
      <c r="AB225" s="39" t="s">
        <v>3644</v>
      </c>
      <c r="AC225" s="37" t="s">
        <v>3645</v>
      </c>
      <c r="AD225" s="39" t="s">
        <v>3646</v>
      </c>
      <c r="AE225" s="39" t="s">
        <v>3647</v>
      </c>
      <c r="AF225" s="39" t="s">
        <v>3648</v>
      </c>
      <c r="AG225" s="37" t="s">
        <v>3649</v>
      </c>
      <c r="AH225" s="37" t="s">
        <v>3650</v>
      </c>
    </row>
    <row r="226" spans="1:34" ht="14.45" hidden="1" customHeight="1" x14ac:dyDescent="0.3">
      <c r="A226" s="6" t="s">
        <v>145</v>
      </c>
      <c r="B226" s="7">
        <v>46022</v>
      </c>
      <c r="C226" s="6" t="s">
        <v>144</v>
      </c>
      <c r="D226" s="6" t="s">
        <v>132</v>
      </c>
      <c r="E226" s="6" t="s">
        <v>133</v>
      </c>
      <c r="F226" s="6" t="s">
        <v>3229</v>
      </c>
      <c r="G226" s="8">
        <v>1.125127</v>
      </c>
      <c r="H226" s="8">
        <v>7.5349700000000004</v>
      </c>
      <c r="I226" s="15" t="s">
        <v>2475</v>
      </c>
      <c r="J226" s="6" t="s">
        <v>2459</v>
      </c>
      <c r="K226" s="6" t="s">
        <v>2468</v>
      </c>
      <c r="L226" s="6"/>
      <c r="M226" s="6"/>
      <c r="N226" s="6" t="s">
        <v>2468</v>
      </c>
      <c r="O226" s="6" t="s">
        <v>7</v>
      </c>
      <c r="P226" s="6"/>
      <c r="Q226" s="6"/>
      <c r="R226" s="6"/>
      <c r="S226" s="6"/>
      <c r="T226" s="6"/>
      <c r="U226" s="6"/>
      <c r="V226" s="6"/>
      <c r="W226" s="6"/>
      <c r="X226" s="8"/>
      <c r="Y226" s="6" t="s">
        <v>3238</v>
      </c>
      <c r="Z226" s="6" t="s">
        <v>3258</v>
      </c>
      <c r="AA226" s="37" t="s">
        <v>3643</v>
      </c>
      <c r="AB226" s="39" t="s">
        <v>3644</v>
      </c>
      <c r="AC226" s="37" t="s">
        <v>3645</v>
      </c>
      <c r="AD226" s="39" t="s">
        <v>3646</v>
      </c>
      <c r="AE226" s="39" t="s">
        <v>3647</v>
      </c>
      <c r="AF226" s="39" t="s">
        <v>3648</v>
      </c>
      <c r="AG226" s="37" t="s">
        <v>3649</v>
      </c>
      <c r="AH226" s="37" t="s">
        <v>3650</v>
      </c>
    </row>
    <row r="227" spans="1:34" ht="14.45" hidden="1" customHeight="1" x14ac:dyDescent="0.3">
      <c r="A227" s="6" t="s">
        <v>192</v>
      </c>
      <c r="B227" s="7">
        <v>45265</v>
      </c>
      <c r="C227" s="6" t="s">
        <v>191</v>
      </c>
      <c r="D227" s="6" t="s">
        <v>132</v>
      </c>
      <c r="E227" s="6" t="s">
        <v>133</v>
      </c>
      <c r="F227" s="6" t="s">
        <v>3229</v>
      </c>
      <c r="G227" s="8">
        <v>1.129237</v>
      </c>
      <c r="H227" s="8">
        <v>7.524184</v>
      </c>
      <c r="I227" s="6" t="s">
        <v>2475</v>
      </c>
      <c r="J227" s="6" t="s">
        <v>2459</v>
      </c>
      <c r="K227" s="6" t="s">
        <v>2529</v>
      </c>
      <c r="L227" s="6" t="s">
        <v>190</v>
      </c>
      <c r="M227" s="6"/>
      <c r="N227" s="6" t="s">
        <v>2468</v>
      </c>
      <c r="O227" s="6" t="s">
        <v>7</v>
      </c>
      <c r="P227" s="6" t="str">
        <f>VLOOKUP(Tableau1[[#This Row],[SITES NAMES]],[1]Feuil1!$1:$1048576,8,FALSE)</f>
        <v>OK</v>
      </c>
      <c r="Q227" s="6" t="str">
        <f>VLOOKUP(Tableau1[[#This Row],[SITES NAMES]],[1]Feuil1!$1:$1048576,9,FALSE)</f>
        <v>NO</v>
      </c>
      <c r="R227" s="6" t="str">
        <f>VLOOKUP(Tableau1[[#This Row],[SITES NAMES]],[1]Feuil1!$1:$1048576,10,FALSE)</f>
        <v>NO</v>
      </c>
      <c r="S227" s="6" t="s">
        <v>2469</v>
      </c>
      <c r="T227" s="6" t="s">
        <v>2470</v>
      </c>
      <c r="U227" s="6" t="s">
        <v>2471</v>
      </c>
      <c r="V227" s="6" t="s">
        <v>2464</v>
      </c>
      <c r="W227" s="6" t="s">
        <v>2539</v>
      </c>
      <c r="X227" s="8"/>
      <c r="Y227" s="6" t="s">
        <v>3238</v>
      </c>
      <c r="Z227" s="6" t="s">
        <v>3258</v>
      </c>
      <c r="AA227" s="37" t="s">
        <v>3643</v>
      </c>
      <c r="AB227" s="39" t="s">
        <v>3644</v>
      </c>
      <c r="AC227" s="37" t="s">
        <v>3645</v>
      </c>
      <c r="AD227" s="39" t="s">
        <v>3646</v>
      </c>
      <c r="AE227" s="39" t="s">
        <v>3647</v>
      </c>
      <c r="AF227" s="39" t="s">
        <v>3648</v>
      </c>
      <c r="AG227" s="37" t="s">
        <v>3649</v>
      </c>
      <c r="AH227" s="37" t="s">
        <v>3650</v>
      </c>
    </row>
    <row r="228" spans="1:34" ht="14.45" hidden="1" customHeight="1" x14ac:dyDescent="0.3">
      <c r="A228" s="6" t="s">
        <v>194</v>
      </c>
      <c r="B228" s="7">
        <v>42036</v>
      </c>
      <c r="C228" s="6" t="s">
        <v>193</v>
      </c>
      <c r="D228" s="6" t="s">
        <v>132</v>
      </c>
      <c r="E228" s="6" t="s">
        <v>133</v>
      </c>
      <c r="F228" s="6" t="s">
        <v>3229</v>
      </c>
      <c r="G228" s="8">
        <v>1.1609389999999999</v>
      </c>
      <c r="H228" s="8">
        <v>7.5114210000000003</v>
      </c>
      <c r="I228" s="6" t="s">
        <v>2486</v>
      </c>
      <c r="J228" s="6" t="s">
        <v>2459</v>
      </c>
      <c r="K228" s="6" t="s">
        <v>2460</v>
      </c>
      <c r="L228" s="6" t="s">
        <v>3333</v>
      </c>
      <c r="M228" s="6"/>
      <c r="N228" s="6" t="s">
        <v>3268</v>
      </c>
      <c r="O228" s="6" t="s">
        <v>7</v>
      </c>
      <c r="P228" s="6" t="str">
        <f>VLOOKUP(Tableau1[[#This Row],[SITES NAMES]],[1]Feuil1!$1:$1048576,8,FALSE)</f>
        <v>OK</v>
      </c>
      <c r="Q228" s="6" t="str">
        <f>VLOOKUP(Tableau1[[#This Row],[SITES NAMES]],[1]Feuil1!$1:$1048576,9,FALSE)</f>
        <v>NO</v>
      </c>
      <c r="R228" s="6" t="str">
        <f>VLOOKUP(Tableau1[[#This Row],[SITES NAMES]],[1]Feuil1!$1:$1048576,10,FALSE)</f>
        <v>YES</v>
      </c>
      <c r="S228" s="6" t="s">
        <v>2461</v>
      </c>
      <c r="T228" s="6" t="s">
        <v>2462</v>
      </c>
      <c r="U228" s="6" t="s">
        <v>2463</v>
      </c>
      <c r="V228" s="6" t="s">
        <v>2464</v>
      </c>
      <c r="W228" s="6" t="s">
        <v>2476</v>
      </c>
      <c r="X228" s="8" t="s">
        <v>2540</v>
      </c>
      <c r="Y228" s="6" t="s">
        <v>3238</v>
      </c>
      <c r="Z228" s="6" t="s">
        <v>3258</v>
      </c>
      <c r="AA228" s="37" t="s">
        <v>3643</v>
      </c>
      <c r="AB228" s="39" t="s">
        <v>3644</v>
      </c>
      <c r="AC228" s="37" t="s">
        <v>3645</v>
      </c>
      <c r="AD228" s="39" t="s">
        <v>3646</v>
      </c>
      <c r="AE228" s="39" t="s">
        <v>3647</v>
      </c>
      <c r="AF228" s="39" t="s">
        <v>3648</v>
      </c>
      <c r="AG228" s="37" t="s">
        <v>3649</v>
      </c>
      <c r="AH228" s="37" t="s">
        <v>3650</v>
      </c>
    </row>
    <row r="229" spans="1:34" ht="14.45" hidden="1" customHeight="1" x14ac:dyDescent="0.3">
      <c r="A229" s="6" t="s">
        <v>143</v>
      </c>
      <c r="B229" s="7">
        <v>46022</v>
      </c>
      <c r="C229" s="6" t="s">
        <v>142</v>
      </c>
      <c r="D229" s="6" t="s">
        <v>132</v>
      </c>
      <c r="E229" s="6" t="s">
        <v>133</v>
      </c>
      <c r="F229" s="6" t="s">
        <v>3229</v>
      </c>
      <c r="G229" s="8">
        <v>1.474764</v>
      </c>
      <c r="H229" s="8">
        <v>7.6426869999999996</v>
      </c>
      <c r="I229" s="15" t="s">
        <v>2477</v>
      </c>
      <c r="J229" s="6" t="s">
        <v>2459</v>
      </c>
      <c r="K229" s="6" t="s">
        <v>2468</v>
      </c>
      <c r="L229" s="6"/>
      <c r="M229" s="6"/>
      <c r="N229" s="6" t="s">
        <v>2468</v>
      </c>
      <c r="O229" s="6" t="s">
        <v>7</v>
      </c>
      <c r="P229" s="6"/>
      <c r="Q229" s="6"/>
      <c r="R229" s="6"/>
      <c r="S229" s="6"/>
      <c r="T229" s="6"/>
      <c r="U229" s="6"/>
      <c r="V229" s="6"/>
      <c r="W229" s="6"/>
      <c r="X229" s="8"/>
      <c r="Y229" s="6" t="s">
        <v>3238</v>
      </c>
      <c r="Z229" s="6" t="s">
        <v>3258</v>
      </c>
      <c r="AA229" s="37" t="s">
        <v>3643</v>
      </c>
      <c r="AB229" s="39" t="s">
        <v>3644</v>
      </c>
      <c r="AC229" s="37" t="s">
        <v>3645</v>
      </c>
      <c r="AD229" s="39" t="s">
        <v>3646</v>
      </c>
      <c r="AE229" s="39" t="s">
        <v>3647</v>
      </c>
      <c r="AF229" s="39" t="s">
        <v>3648</v>
      </c>
      <c r="AG229" s="37" t="s">
        <v>3649</v>
      </c>
      <c r="AH229" s="37" t="s">
        <v>3650</v>
      </c>
    </row>
    <row r="230" spans="1:34" ht="14.45" hidden="1" customHeight="1" x14ac:dyDescent="0.3">
      <c r="A230" s="6" t="s">
        <v>135</v>
      </c>
      <c r="B230" s="7">
        <v>44629</v>
      </c>
      <c r="C230" s="6" t="s">
        <v>134</v>
      </c>
      <c r="D230" s="6" t="s">
        <v>132</v>
      </c>
      <c r="E230" s="6" t="s">
        <v>133</v>
      </c>
      <c r="F230" s="6" t="s">
        <v>3229</v>
      </c>
      <c r="G230" s="8">
        <v>1.1496670899999999</v>
      </c>
      <c r="H230" s="8">
        <v>7.5372570699999999</v>
      </c>
      <c r="I230" s="6" t="s">
        <v>2479</v>
      </c>
      <c r="J230" s="6" t="s">
        <v>2459</v>
      </c>
      <c r="K230" s="6" t="s">
        <v>2460</v>
      </c>
      <c r="L230" s="6" t="s">
        <v>3364</v>
      </c>
      <c r="M230" s="6"/>
      <c r="N230" s="6" t="s">
        <v>3268</v>
      </c>
      <c r="O230" s="6" t="s">
        <v>7</v>
      </c>
      <c r="P230" s="6" t="str">
        <f>VLOOKUP(Tableau1[[#This Row],[SITES NAMES]],[1]Feuil1!$1:$1048576,8,FALSE)</f>
        <v>OK</v>
      </c>
      <c r="Q230" s="6" t="str">
        <f>VLOOKUP(Tableau1[[#This Row],[SITES NAMES]],[1]Feuil1!$1:$1048576,9,FALSE)</f>
        <v>NO</v>
      </c>
      <c r="R230" s="6" t="str">
        <f>VLOOKUP(Tableau1[[#This Row],[SITES NAMES]],[1]Feuil1!$1:$1048576,10,FALSE)</f>
        <v>YES</v>
      </c>
      <c r="S230" s="6" t="s">
        <v>2461</v>
      </c>
      <c r="T230" s="6" t="s">
        <v>2470</v>
      </c>
      <c r="U230" s="6" t="s">
        <v>2463</v>
      </c>
      <c r="V230" s="6" t="s">
        <v>2478</v>
      </c>
      <c r="W230" s="6" t="s">
        <v>2465</v>
      </c>
      <c r="X230" s="8" t="s">
        <v>2522</v>
      </c>
      <c r="Y230" s="6" t="s">
        <v>3238</v>
      </c>
      <c r="Z230" s="6" t="s">
        <v>3258</v>
      </c>
      <c r="AA230" s="37" t="s">
        <v>3643</v>
      </c>
      <c r="AB230" s="39" t="s">
        <v>3644</v>
      </c>
      <c r="AC230" s="37" t="s">
        <v>3645</v>
      </c>
      <c r="AD230" s="39" t="s">
        <v>3646</v>
      </c>
      <c r="AE230" s="39" t="s">
        <v>3647</v>
      </c>
      <c r="AF230" s="39" t="s">
        <v>3648</v>
      </c>
      <c r="AG230" s="37" t="s">
        <v>3649</v>
      </c>
      <c r="AH230" s="37" t="s">
        <v>3650</v>
      </c>
    </row>
    <row r="231" spans="1:34" ht="14.45" hidden="1" customHeight="1" x14ac:dyDescent="0.3">
      <c r="A231" s="6" t="s">
        <v>196</v>
      </c>
      <c r="B231" s="7">
        <v>43879</v>
      </c>
      <c r="C231" s="6" t="s">
        <v>195</v>
      </c>
      <c r="D231" s="6" t="s">
        <v>132</v>
      </c>
      <c r="E231" s="6" t="s">
        <v>133</v>
      </c>
      <c r="F231" s="6" t="s">
        <v>3229</v>
      </c>
      <c r="G231" s="8">
        <v>1.155664</v>
      </c>
      <c r="H231" s="8">
        <v>7.4940660000000001</v>
      </c>
      <c r="I231" s="6" t="s">
        <v>2486</v>
      </c>
      <c r="J231" s="6" t="s">
        <v>2459</v>
      </c>
      <c r="K231" s="6" t="s">
        <v>2460</v>
      </c>
      <c r="L231" s="6" t="s">
        <v>3348</v>
      </c>
      <c r="M231" s="6"/>
      <c r="N231" s="6" t="s">
        <v>3268</v>
      </c>
      <c r="O231" s="6" t="s">
        <v>7</v>
      </c>
      <c r="P231" s="6" t="str">
        <f>VLOOKUP(Tableau1[[#This Row],[SITES NAMES]],[1]Feuil1!$1:$1048576,8,FALSE)</f>
        <v>OK</v>
      </c>
      <c r="Q231" s="6" t="str">
        <f>VLOOKUP(Tableau1[[#This Row],[SITES NAMES]],[1]Feuil1!$1:$1048576,9,FALSE)</f>
        <v>NO</v>
      </c>
      <c r="R231" s="6" t="str">
        <f>VLOOKUP(Tableau1[[#This Row],[SITES NAMES]],[1]Feuil1!$1:$1048576,10,FALSE)</f>
        <v>NO</v>
      </c>
      <c r="S231" s="6" t="s">
        <v>2461</v>
      </c>
      <c r="T231" s="6" t="s">
        <v>2462</v>
      </c>
      <c r="U231" s="6" t="s">
        <v>2463</v>
      </c>
      <c r="V231" s="6" t="s">
        <v>2464</v>
      </c>
      <c r="W231" s="6" t="s">
        <v>2473</v>
      </c>
      <c r="X231" s="8" t="s">
        <v>2541</v>
      </c>
      <c r="Y231" s="6" t="s">
        <v>3238</v>
      </c>
      <c r="Z231" s="6" t="s">
        <v>3258</v>
      </c>
      <c r="AA231" s="37" t="s">
        <v>3643</v>
      </c>
      <c r="AB231" s="39" t="s">
        <v>3644</v>
      </c>
      <c r="AC231" s="37" t="s">
        <v>3645</v>
      </c>
      <c r="AD231" s="39" t="s">
        <v>3646</v>
      </c>
      <c r="AE231" s="39" t="s">
        <v>3647</v>
      </c>
      <c r="AF231" s="39" t="s">
        <v>3648</v>
      </c>
      <c r="AG231" s="37" t="s">
        <v>3649</v>
      </c>
      <c r="AH231" s="37" t="s">
        <v>3650</v>
      </c>
    </row>
    <row r="232" spans="1:34" ht="14.45" hidden="1" customHeight="1" x14ac:dyDescent="0.3">
      <c r="A232" s="6" t="s">
        <v>773</v>
      </c>
      <c r="B232" s="7">
        <v>38626</v>
      </c>
      <c r="C232" s="6" t="s">
        <v>772</v>
      </c>
      <c r="D232" s="6" t="s">
        <v>657</v>
      </c>
      <c r="E232" s="6" t="s">
        <v>758</v>
      </c>
      <c r="F232" s="6" t="s">
        <v>3229</v>
      </c>
      <c r="G232" s="8">
        <v>0.94279000000000002</v>
      </c>
      <c r="H232" s="8">
        <v>9.9431600000000007</v>
      </c>
      <c r="I232" s="6" t="s">
        <v>2467</v>
      </c>
      <c r="J232" s="6" t="s">
        <v>2459</v>
      </c>
      <c r="K232" s="6" t="s">
        <v>2468</v>
      </c>
      <c r="L232" s="6" t="s">
        <v>3365</v>
      </c>
      <c r="M232" s="6"/>
      <c r="N232" s="6" t="s">
        <v>2468</v>
      </c>
      <c r="O232" s="6" t="s">
        <v>40</v>
      </c>
      <c r="P232" s="6" t="str">
        <f>VLOOKUP(Tableau1[[#This Row],[SITES NAMES]],[1]Feuil1!$1:$1048576,8,FALSE)</f>
        <v>OK</v>
      </c>
      <c r="Q232" s="6" t="str">
        <f>VLOOKUP(Tableau1[[#This Row],[SITES NAMES]],[1]Feuil1!$1:$1048576,9,FALSE)</f>
        <v>NO</v>
      </c>
      <c r="R232" s="6" t="str">
        <f>VLOOKUP(Tableau1[[#This Row],[SITES NAMES]],[1]Feuil1!$1:$1048576,10,FALSE)</f>
        <v>NO</v>
      </c>
      <c r="S232" s="6" t="s">
        <v>2469</v>
      </c>
      <c r="T232" s="6" t="s">
        <v>2470</v>
      </c>
      <c r="U232" s="6" t="s">
        <v>2471</v>
      </c>
      <c r="V232" s="6" t="s">
        <v>2472</v>
      </c>
      <c r="W232" s="6" t="s">
        <v>2473</v>
      </c>
      <c r="X232" s="8" t="s">
        <v>2760</v>
      </c>
      <c r="Y232" s="6" t="s">
        <v>3239</v>
      </c>
      <c r="Z232" s="6" t="s">
        <v>3253</v>
      </c>
      <c r="AA232" s="37" t="s">
        <v>3687</v>
      </c>
      <c r="AB232" s="38" t="s">
        <v>3683</v>
      </c>
      <c r="AC232" s="37" t="s">
        <v>3688</v>
      </c>
      <c r="AD232" s="37" t="s">
        <v>3687</v>
      </c>
      <c r="AE232" s="37" t="s">
        <v>3689</v>
      </c>
      <c r="AF232" s="39" t="s">
        <v>3690</v>
      </c>
      <c r="AG232" s="40" t="s">
        <v>3685</v>
      </c>
      <c r="AH232" s="37" t="s">
        <v>3691</v>
      </c>
    </row>
    <row r="233" spans="1:34" ht="14.45" hidden="1" customHeight="1" x14ac:dyDescent="0.3">
      <c r="A233" s="6" t="s">
        <v>937</v>
      </c>
      <c r="B233" s="7">
        <v>0</v>
      </c>
      <c r="C233" s="6" t="s">
        <v>936</v>
      </c>
      <c r="D233" s="6" t="s">
        <v>657</v>
      </c>
      <c r="E233" s="6" t="s">
        <v>3235</v>
      </c>
      <c r="F233" s="6" t="s">
        <v>3229</v>
      </c>
      <c r="G233" s="8">
        <v>1.1406339999999999</v>
      </c>
      <c r="H233" s="8">
        <v>9.4757619999999996</v>
      </c>
      <c r="I233" s="6" t="s">
        <v>2477</v>
      </c>
      <c r="J233" s="6" t="s">
        <v>2459</v>
      </c>
      <c r="K233" s="6" t="s">
        <v>2460</v>
      </c>
      <c r="L233" s="6"/>
      <c r="M233" s="6"/>
      <c r="N233" s="6" t="s">
        <v>3268</v>
      </c>
      <c r="O233" s="6" t="s">
        <v>7</v>
      </c>
      <c r="P233" s="6" t="str">
        <f>VLOOKUP(Tableau1[[#This Row],[SITES NAMES]],[1]Feuil1!$1:$1048576,8,FALSE)</f>
        <v>OK</v>
      </c>
      <c r="Q233" s="6" t="str">
        <f>VLOOKUP(Tableau1[[#This Row],[SITES NAMES]],[1]Feuil1!$1:$1048576,9,FALSE)</f>
        <v>NO</v>
      </c>
      <c r="R233" s="6" t="str">
        <f>VLOOKUP(Tableau1[[#This Row],[SITES NAMES]],[1]Feuil1!$1:$1048576,10,FALSE)</f>
        <v>NO</v>
      </c>
      <c r="S233" s="6" t="s">
        <v>2469</v>
      </c>
      <c r="T233" s="6" t="s">
        <v>2470</v>
      </c>
      <c r="U233" s="6" t="s">
        <v>2480</v>
      </c>
      <c r="V233" s="6" t="s">
        <v>2472</v>
      </c>
      <c r="W233" s="6" t="s">
        <v>2465</v>
      </c>
      <c r="X233" s="8">
        <v>70996656</v>
      </c>
      <c r="Y233" s="6" t="s">
        <v>3239</v>
      </c>
      <c r="Z233" s="6" t="s">
        <v>3253</v>
      </c>
      <c r="AA233" s="37" t="s">
        <v>3698</v>
      </c>
      <c r="AB233" s="38" t="s">
        <v>3683</v>
      </c>
      <c r="AC233" s="39" t="s">
        <v>3699</v>
      </c>
      <c r="AD233" s="39" t="s">
        <v>3700</v>
      </c>
      <c r="AE233" s="37" t="s">
        <v>3701</v>
      </c>
      <c r="AF233" s="39" t="s">
        <v>3702</v>
      </c>
      <c r="AG233" s="40" t="s">
        <v>3685</v>
      </c>
      <c r="AH233" s="37" t="s">
        <v>3703</v>
      </c>
    </row>
    <row r="234" spans="1:34" ht="14.45" hidden="1" customHeight="1" x14ac:dyDescent="0.3">
      <c r="A234" s="6" t="s">
        <v>198</v>
      </c>
      <c r="B234" s="7">
        <v>42156</v>
      </c>
      <c r="C234" s="6" t="s">
        <v>197</v>
      </c>
      <c r="D234" s="6" t="s">
        <v>132</v>
      </c>
      <c r="E234" s="6" t="s">
        <v>133</v>
      </c>
      <c r="F234" s="6" t="s">
        <v>3229</v>
      </c>
      <c r="G234" s="8">
        <v>1.4195</v>
      </c>
      <c r="H234" s="8">
        <v>7.6805899999999996</v>
      </c>
      <c r="I234" s="14" t="s">
        <v>2467</v>
      </c>
      <c r="J234" s="6" t="s">
        <v>2459</v>
      </c>
      <c r="K234" s="6" t="s">
        <v>2468</v>
      </c>
      <c r="L234" s="6" t="s">
        <v>3366</v>
      </c>
      <c r="M234" s="6"/>
      <c r="N234" s="6" t="s">
        <v>2468</v>
      </c>
      <c r="O234" s="6" t="s">
        <v>40</v>
      </c>
      <c r="P234" s="6" t="str">
        <f>VLOOKUP(Tableau1[[#This Row],[SITES NAMES]],[1]Feuil1!$1:$1048576,8,FALSE)</f>
        <v>OK</v>
      </c>
      <c r="Q234" s="6" t="str">
        <f>VLOOKUP(Tableau1[[#This Row],[SITES NAMES]],[1]Feuil1!$1:$1048576,9,FALSE)</f>
        <v>NO</v>
      </c>
      <c r="R234" s="6" t="str">
        <f>VLOOKUP(Tableau1[[#This Row],[SITES NAMES]],[1]Feuil1!$1:$1048576,10,FALSE)</f>
        <v>NO</v>
      </c>
      <c r="S234" s="6" t="s">
        <v>2469</v>
      </c>
      <c r="T234" s="6" t="s">
        <v>2470</v>
      </c>
      <c r="U234" s="6" t="s">
        <v>2471</v>
      </c>
      <c r="V234" s="6" t="s">
        <v>2472</v>
      </c>
      <c r="W234" s="6" t="s">
        <v>2473</v>
      </c>
      <c r="X234" s="8" t="s">
        <v>2542</v>
      </c>
      <c r="Y234" s="6" t="s">
        <v>3238</v>
      </c>
      <c r="Z234" s="6" t="s">
        <v>3258</v>
      </c>
      <c r="AA234" s="37" t="s">
        <v>3643</v>
      </c>
      <c r="AB234" s="39" t="s">
        <v>3644</v>
      </c>
      <c r="AC234" s="37" t="s">
        <v>3645</v>
      </c>
      <c r="AD234" s="39" t="s">
        <v>3646</v>
      </c>
      <c r="AE234" s="39" t="s">
        <v>3647</v>
      </c>
      <c r="AF234" s="39" t="s">
        <v>3648</v>
      </c>
      <c r="AG234" s="37" t="s">
        <v>3649</v>
      </c>
      <c r="AH234" s="37" t="s">
        <v>3650</v>
      </c>
    </row>
    <row r="235" spans="1:34" ht="14.45" hidden="1" customHeight="1" x14ac:dyDescent="0.25">
      <c r="A235" s="6" t="s">
        <v>1598</v>
      </c>
      <c r="B235" s="7">
        <v>46022</v>
      </c>
      <c r="C235" s="6" t="s">
        <v>1597</v>
      </c>
      <c r="D235" s="6" t="s">
        <v>66</v>
      </c>
      <c r="E235" s="6" t="s">
        <v>3236</v>
      </c>
      <c r="F235" s="6" t="s">
        <v>3229</v>
      </c>
      <c r="G235" s="8">
        <v>1.1404920000000001</v>
      </c>
      <c r="H235" s="8">
        <v>6.2404320000000002</v>
      </c>
      <c r="I235" s="16" t="s">
        <v>2475</v>
      </c>
      <c r="J235" s="6" t="s">
        <v>2459</v>
      </c>
      <c r="K235" s="6" t="s">
        <v>2460</v>
      </c>
      <c r="L235" s="6"/>
      <c r="M235" s="6"/>
      <c r="N235" s="6" t="s">
        <v>3268</v>
      </c>
      <c r="O235" s="6" t="s">
        <v>7</v>
      </c>
      <c r="P235" s="6"/>
      <c r="Q235" s="6"/>
      <c r="R235" s="6"/>
      <c r="S235" s="6"/>
      <c r="T235" s="6"/>
      <c r="U235" s="6"/>
      <c r="V235" s="6"/>
      <c r="W235" s="6"/>
      <c r="X235" s="8"/>
      <c r="Y235" s="6" t="s">
        <v>3238</v>
      </c>
      <c r="Z235" s="6" t="s">
        <v>3263</v>
      </c>
      <c r="AA235" s="35" t="s">
        <v>3616</v>
      </c>
      <c r="AB235" s="35" t="s">
        <v>3608</v>
      </c>
      <c r="AC235" s="35" t="s">
        <v>3619</v>
      </c>
      <c r="AD235" s="35" t="s">
        <v>3610</v>
      </c>
      <c r="AE235" s="35" t="s">
        <v>3610</v>
      </c>
      <c r="AF235" s="35" t="s">
        <v>3611</v>
      </c>
      <c r="AG235" s="35" t="s">
        <v>3612</v>
      </c>
      <c r="AH235" s="35" t="s">
        <v>3620</v>
      </c>
    </row>
    <row r="236" spans="1:34" ht="14.45" hidden="1" customHeight="1" x14ac:dyDescent="0.25">
      <c r="A236" s="6" t="s">
        <v>1632</v>
      </c>
      <c r="B236" s="7">
        <v>45282</v>
      </c>
      <c r="C236" s="6" t="s">
        <v>1631</v>
      </c>
      <c r="D236" s="6" t="s">
        <v>66</v>
      </c>
      <c r="E236" s="6" t="s">
        <v>3236</v>
      </c>
      <c r="F236" s="6" t="s">
        <v>3229</v>
      </c>
      <c r="G236" s="8">
        <v>1.10219</v>
      </c>
      <c r="H236" s="8">
        <v>6.2455299999999996</v>
      </c>
      <c r="I236" s="14" t="s">
        <v>2475</v>
      </c>
      <c r="J236" s="6" t="s">
        <v>2459</v>
      </c>
      <c r="K236" s="6" t="s">
        <v>2460</v>
      </c>
      <c r="L236" s="6"/>
      <c r="M236" s="6"/>
      <c r="N236" s="6" t="s">
        <v>3268</v>
      </c>
      <c r="O236" s="6" t="s">
        <v>7</v>
      </c>
      <c r="P236" s="6" t="str">
        <f>VLOOKUP(Tableau1[[#This Row],[SITES NAMES]],[1]Feuil1!$1:$1048576,8,FALSE)</f>
        <v>NOK</v>
      </c>
      <c r="Q236" s="6" t="str">
        <f>VLOOKUP(Tableau1[[#This Row],[SITES NAMES]],[1]Feuil1!$1:$1048576,9,FALSE)</f>
        <v>NO</v>
      </c>
      <c r="R236" s="6" t="str">
        <f>VLOOKUP(Tableau1[[#This Row],[SITES NAMES]],[1]Feuil1!$1:$1048576,10,FALSE)</f>
        <v>NO</v>
      </c>
      <c r="S236" s="6" t="s">
        <v>2469</v>
      </c>
      <c r="T236" s="6" t="s">
        <v>2470</v>
      </c>
      <c r="U236" s="6" t="s">
        <v>2480</v>
      </c>
      <c r="V236" s="6" t="s">
        <v>2478</v>
      </c>
      <c r="W236" s="6" t="s">
        <v>2785</v>
      </c>
      <c r="X236" s="8"/>
      <c r="Y236" s="6" t="s">
        <v>3238</v>
      </c>
      <c r="Z236" s="6" t="s">
        <v>3263</v>
      </c>
      <c r="AA236" s="35" t="s">
        <v>3616</v>
      </c>
      <c r="AB236" s="35" t="s">
        <v>3608</v>
      </c>
      <c r="AC236" s="35" t="s">
        <v>3619</v>
      </c>
      <c r="AD236" s="35" t="s">
        <v>3610</v>
      </c>
      <c r="AE236" s="35" t="s">
        <v>3610</v>
      </c>
      <c r="AF236" s="35" t="s">
        <v>3611</v>
      </c>
      <c r="AG236" s="35" t="s">
        <v>3612</v>
      </c>
      <c r="AH236" s="35" t="s">
        <v>3620</v>
      </c>
    </row>
    <row r="237" spans="1:34" ht="14.45" hidden="1" customHeight="1" x14ac:dyDescent="0.25">
      <c r="A237" s="6" t="s">
        <v>1220</v>
      </c>
      <c r="B237" s="7">
        <v>43935</v>
      </c>
      <c r="C237" s="6" t="s">
        <v>1219</v>
      </c>
      <c r="D237" s="6" t="s">
        <v>66</v>
      </c>
      <c r="E237" s="6" t="s">
        <v>1924</v>
      </c>
      <c r="F237" s="6" t="s">
        <v>3229</v>
      </c>
      <c r="G237" s="8">
        <v>1.2579480000000001</v>
      </c>
      <c r="H237" s="8">
        <v>6.1954799999999999</v>
      </c>
      <c r="I237" s="14" t="s">
        <v>2497</v>
      </c>
      <c r="J237" s="6" t="s">
        <v>2459</v>
      </c>
      <c r="K237" s="6" t="s">
        <v>2460</v>
      </c>
      <c r="L237" s="6"/>
      <c r="M237" s="6"/>
      <c r="N237" s="6" t="s">
        <v>3268</v>
      </c>
      <c r="O237" s="6" t="s">
        <v>7</v>
      </c>
      <c r="P237" s="6" t="str">
        <f>VLOOKUP(Tableau1[[#This Row],[SITES NAMES]],[1]Feuil1!$1:$1048576,8,FALSE)</f>
        <v>OK</v>
      </c>
      <c r="Q237" s="6" t="str">
        <f>VLOOKUP(Tableau1[[#This Row],[SITES NAMES]],[1]Feuil1!$1:$1048576,9,FALSE)</f>
        <v>NO</v>
      </c>
      <c r="R237" s="6" t="str">
        <f>VLOOKUP(Tableau1[[#This Row],[SITES NAMES]],[1]Feuil1!$1:$1048576,10,FALSE)</f>
        <v>NO</v>
      </c>
      <c r="S237" s="6" t="s">
        <v>2469</v>
      </c>
      <c r="T237" s="6" t="s">
        <v>2470</v>
      </c>
      <c r="U237" s="6" t="s">
        <v>2480</v>
      </c>
      <c r="V237" s="6" t="s">
        <v>2464</v>
      </c>
      <c r="W237" s="6" t="s">
        <v>2476</v>
      </c>
      <c r="X237" s="8"/>
      <c r="Y237" s="6" t="s">
        <v>3238</v>
      </c>
      <c r="Z237" s="6" t="s">
        <v>3261</v>
      </c>
      <c r="AA237" s="35" t="s">
        <v>3607</v>
      </c>
      <c r="AB237" s="35" t="s">
        <v>3608</v>
      </c>
      <c r="AC237" s="35" t="s">
        <v>3609</v>
      </c>
      <c r="AD237" s="35" t="s">
        <v>3610</v>
      </c>
      <c r="AE237" s="35" t="s">
        <v>3610</v>
      </c>
      <c r="AF237" s="35" t="s">
        <v>3611</v>
      </c>
      <c r="AG237" s="35" t="s">
        <v>3612</v>
      </c>
      <c r="AH237" s="35" t="s">
        <v>3613</v>
      </c>
    </row>
    <row r="238" spans="1:34" ht="14.45" hidden="1" customHeight="1" x14ac:dyDescent="0.3">
      <c r="A238" s="6" t="s">
        <v>1058</v>
      </c>
      <c r="B238" s="7">
        <v>43897</v>
      </c>
      <c r="C238" s="6" t="s">
        <v>1057</v>
      </c>
      <c r="D238" s="6" t="s">
        <v>5</v>
      </c>
      <c r="E238" s="6" t="s">
        <v>1003</v>
      </c>
      <c r="F238" s="6" t="s">
        <v>3229</v>
      </c>
      <c r="G238" s="8">
        <v>0.98911000000000004</v>
      </c>
      <c r="H238" s="8">
        <v>6.7661920000000002</v>
      </c>
      <c r="I238" s="14" t="s">
        <v>2467</v>
      </c>
      <c r="J238" s="6" t="s">
        <v>2459</v>
      </c>
      <c r="K238" s="6" t="s">
        <v>2468</v>
      </c>
      <c r="L238" s="6" t="s">
        <v>3367</v>
      </c>
      <c r="M238" s="6"/>
      <c r="N238" s="6" t="s">
        <v>2468</v>
      </c>
      <c r="O238" s="6" t="s">
        <v>37</v>
      </c>
      <c r="P238" s="6" t="str">
        <f>VLOOKUP(Tableau1[[#This Row],[SITES NAMES]],[1]Feuil1!$1:$1048576,8,FALSE)</f>
        <v>OK</v>
      </c>
      <c r="Q238" s="6" t="str">
        <f>VLOOKUP(Tableau1[[#This Row],[SITES NAMES]],[1]Feuil1!$1:$1048576,9,FALSE)</f>
        <v>NO</v>
      </c>
      <c r="R238" s="6" t="str">
        <f>VLOOKUP(Tableau1[[#This Row],[SITES NAMES]],[1]Feuil1!$1:$1048576,10,FALSE)</f>
        <v>NO</v>
      </c>
      <c r="S238" s="6" t="s">
        <v>2469</v>
      </c>
      <c r="T238" s="6" t="s">
        <v>2470</v>
      </c>
      <c r="U238" s="6" t="s">
        <v>2480</v>
      </c>
      <c r="V238" s="6" t="s">
        <v>2472</v>
      </c>
      <c r="W238" s="6" t="s">
        <v>2473</v>
      </c>
      <c r="X238" s="8" t="s">
        <v>2853</v>
      </c>
      <c r="Y238" s="6" t="s">
        <v>3241</v>
      </c>
      <c r="Z238" s="6"/>
      <c r="AA238" s="37" t="s">
        <v>3634</v>
      </c>
      <c r="AB238" s="38" t="s">
        <v>3627</v>
      </c>
      <c r="AC238" s="37" t="s">
        <v>3635</v>
      </c>
      <c r="AD238" s="37" t="s">
        <v>3636</v>
      </c>
      <c r="AE238" s="37" t="s">
        <v>3637</v>
      </c>
      <c r="AF238" s="37" t="s">
        <v>3636</v>
      </c>
      <c r="AG238" s="37" t="s">
        <v>3638</v>
      </c>
      <c r="AH238" s="37" t="s">
        <v>3639</v>
      </c>
    </row>
    <row r="239" spans="1:34" ht="14.45" hidden="1" customHeight="1" x14ac:dyDescent="0.25">
      <c r="A239" s="6" t="s">
        <v>1191</v>
      </c>
      <c r="B239" s="7">
        <v>46022</v>
      </c>
      <c r="C239" s="6" t="s">
        <v>1190</v>
      </c>
      <c r="D239" s="6" t="s">
        <v>66</v>
      </c>
      <c r="E239" s="6" t="s">
        <v>1924</v>
      </c>
      <c r="F239" s="6" t="s">
        <v>3229</v>
      </c>
      <c r="G239" s="8">
        <v>1.1736</v>
      </c>
      <c r="H239" s="8">
        <v>6.1634760000000002</v>
      </c>
      <c r="I239" s="13" t="s">
        <v>2475</v>
      </c>
      <c r="J239" s="6" t="s">
        <v>2459</v>
      </c>
      <c r="K239" s="6" t="s">
        <v>2460</v>
      </c>
      <c r="L239" s="6"/>
      <c r="M239" s="6"/>
      <c r="N239" s="6" t="s">
        <v>3268</v>
      </c>
      <c r="O239" s="6" t="s">
        <v>7</v>
      </c>
      <c r="P239" s="6"/>
      <c r="Q239" s="6"/>
      <c r="R239" s="6"/>
      <c r="S239" s="6"/>
      <c r="T239" s="6"/>
      <c r="U239" s="6"/>
      <c r="V239" s="6"/>
      <c r="W239" s="6"/>
      <c r="X239" s="8"/>
      <c r="Y239" s="6" t="s">
        <v>3238</v>
      </c>
      <c r="Z239" s="6" t="s">
        <v>3261</v>
      </c>
      <c r="AA239" s="35" t="s">
        <v>3607</v>
      </c>
      <c r="AB239" s="35" t="s">
        <v>3608</v>
      </c>
      <c r="AC239" s="35" t="s">
        <v>3609</v>
      </c>
      <c r="AD239" s="35" t="s">
        <v>3610</v>
      </c>
      <c r="AE239" s="35" t="s">
        <v>3610</v>
      </c>
      <c r="AF239" s="35" t="s">
        <v>3611</v>
      </c>
      <c r="AG239" s="35" t="s">
        <v>3612</v>
      </c>
      <c r="AH239" s="35" t="s">
        <v>3613</v>
      </c>
    </row>
    <row r="240" spans="1:34" ht="14.45" hidden="1" customHeight="1" x14ac:dyDescent="0.25">
      <c r="A240" s="6" t="s">
        <v>1634</v>
      </c>
      <c r="B240" s="7">
        <v>44539</v>
      </c>
      <c r="C240" s="6" t="s">
        <v>1633</v>
      </c>
      <c r="D240" s="6" t="s">
        <v>66</v>
      </c>
      <c r="E240" s="6" t="s">
        <v>3236</v>
      </c>
      <c r="F240" s="6" t="s">
        <v>3229</v>
      </c>
      <c r="G240" s="8">
        <v>1.1478900000000001</v>
      </c>
      <c r="H240" s="8">
        <v>6.2545299999999999</v>
      </c>
      <c r="I240" s="6" t="s">
        <v>2475</v>
      </c>
      <c r="J240" s="6" t="s">
        <v>2459</v>
      </c>
      <c r="K240" s="6" t="s">
        <v>2460</v>
      </c>
      <c r="L240" s="6"/>
      <c r="M240" s="6"/>
      <c r="N240" s="6" t="s">
        <v>3268</v>
      </c>
      <c r="O240" s="6" t="s">
        <v>7</v>
      </c>
      <c r="P240" s="6" t="str">
        <f>VLOOKUP(Tableau1[[#This Row],[SITES NAMES]],[1]Feuil1!$1:$1048576,8,FALSE)</f>
        <v>OK</v>
      </c>
      <c r="Q240" s="6" t="str">
        <f>VLOOKUP(Tableau1[[#This Row],[SITES NAMES]],[1]Feuil1!$1:$1048576,9,FALSE)</f>
        <v>NO</v>
      </c>
      <c r="R240" s="6" t="str">
        <f>VLOOKUP(Tableau1[[#This Row],[SITES NAMES]],[1]Feuil1!$1:$1048576,10,FALSE)</f>
        <v>YES</v>
      </c>
      <c r="S240" s="6" t="s">
        <v>2469</v>
      </c>
      <c r="T240" s="6" t="s">
        <v>2470</v>
      </c>
      <c r="U240" s="6" t="s">
        <v>2480</v>
      </c>
      <c r="V240" s="6" t="s">
        <v>2464</v>
      </c>
      <c r="W240" s="6" t="s">
        <v>2476</v>
      </c>
      <c r="X240" s="8" t="s">
        <v>2990</v>
      </c>
      <c r="Y240" s="6" t="s">
        <v>3238</v>
      </c>
      <c r="Z240" s="6" t="s">
        <v>3263</v>
      </c>
      <c r="AA240" s="35" t="s">
        <v>3616</v>
      </c>
      <c r="AB240" s="35" t="s">
        <v>3608</v>
      </c>
      <c r="AC240" s="35" t="s">
        <v>3619</v>
      </c>
      <c r="AD240" s="35" t="s">
        <v>3610</v>
      </c>
      <c r="AE240" s="35" t="s">
        <v>3610</v>
      </c>
      <c r="AF240" s="35" t="s">
        <v>3611</v>
      </c>
      <c r="AG240" s="35" t="s">
        <v>3612</v>
      </c>
      <c r="AH240" s="35" t="s">
        <v>3620</v>
      </c>
    </row>
    <row r="241" spans="1:34" ht="14.45" hidden="1" customHeight="1" x14ac:dyDescent="0.3">
      <c r="A241" s="6" t="s">
        <v>17</v>
      </c>
      <c r="B241" s="7">
        <v>42110</v>
      </c>
      <c r="C241" s="6" t="s">
        <v>16</v>
      </c>
      <c r="D241" s="6" t="s">
        <v>5</v>
      </c>
      <c r="E241" s="6" t="s">
        <v>6</v>
      </c>
      <c r="F241" s="6" t="s">
        <v>3229</v>
      </c>
      <c r="G241" s="8">
        <v>1.66455</v>
      </c>
      <c r="H241" s="8">
        <v>6.3034499999999998</v>
      </c>
      <c r="I241" s="6" t="s">
        <v>2477</v>
      </c>
      <c r="J241" s="6" t="s">
        <v>2459</v>
      </c>
      <c r="K241" s="6" t="s">
        <v>2468</v>
      </c>
      <c r="L241" s="6" t="s">
        <v>3368</v>
      </c>
      <c r="M241" s="6"/>
      <c r="N241" s="6" t="s">
        <v>2468</v>
      </c>
      <c r="O241" s="6" t="s">
        <v>18</v>
      </c>
      <c r="P241" s="6" t="str">
        <f>VLOOKUP(Tableau1[[#This Row],[SITES NAMES]],[1]Feuil1!$1:$1048576,8,FALSE)</f>
        <v>NOK</v>
      </c>
      <c r="Q241" s="6" t="str">
        <f>VLOOKUP(Tableau1[[#This Row],[SITES NAMES]],[1]Feuil1!$1:$1048576,9,FALSE)</f>
        <v>NO</v>
      </c>
      <c r="R241" s="6" t="str">
        <f>VLOOKUP(Tableau1[[#This Row],[SITES NAMES]],[1]Feuil1!$1:$1048576,10,FALSE)</f>
        <v>NO</v>
      </c>
      <c r="S241" s="6" t="s">
        <v>2469</v>
      </c>
      <c r="T241" s="6" t="s">
        <v>2470</v>
      </c>
      <c r="U241" s="6" t="s">
        <v>2480</v>
      </c>
      <c r="V241" s="6" t="s">
        <v>2472</v>
      </c>
      <c r="W241" s="6" t="s">
        <v>2473</v>
      </c>
      <c r="X241" s="8" t="s">
        <v>2481</v>
      </c>
      <c r="Y241" s="6" t="s">
        <v>3241</v>
      </c>
      <c r="Z241" t="e">
        <f>VLOOKUP(Tableau1[[#This Row],[SITES NAMES]],#REF!,3,FALSE)</f>
        <v>#REF!</v>
      </c>
      <c r="AA241" s="37" t="s">
        <v>3626</v>
      </c>
      <c r="AB241" s="38" t="s">
        <v>3627</v>
      </c>
      <c r="AC241" s="37" t="s">
        <v>3633</v>
      </c>
      <c r="AD241" s="37" t="s">
        <v>3628</v>
      </c>
      <c r="AE241" s="37" t="s">
        <v>3629</v>
      </c>
      <c r="AF241" s="39" t="s">
        <v>3630</v>
      </c>
      <c r="AG241" s="37" t="s">
        <v>3631</v>
      </c>
      <c r="AH241" s="37" t="s">
        <v>3632</v>
      </c>
    </row>
    <row r="242" spans="1:34" ht="14.45" hidden="1" customHeight="1" x14ac:dyDescent="0.25">
      <c r="A242" s="6" t="s">
        <v>1222</v>
      </c>
      <c r="B242" s="7">
        <v>39417</v>
      </c>
      <c r="C242" s="6" t="s">
        <v>1221</v>
      </c>
      <c r="D242" s="6" t="s">
        <v>66</v>
      </c>
      <c r="E242" s="6" t="s">
        <v>1924</v>
      </c>
      <c r="F242" s="6" t="s">
        <v>3229</v>
      </c>
      <c r="G242" s="8">
        <v>1.2613490000000001</v>
      </c>
      <c r="H242" s="8">
        <v>6.2035588190000004</v>
      </c>
      <c r="I242" s="6" t="s">
        <v>2497</v>
      </c>
      <c r="J242" s="6" t="s">
        <v>2459</v>
      </c>
      <c r="K242" s="6" t="s">
        <v>2460</v>
      </c>
      <c r="L242" s="6"/>
      <c r="M242" s="6"/>
      <c r="N242" s="6" t="s">
        <v>3268</v>
      </c>
      <c r="O242" s="6" t="s">
        <v>7</v>
      </c>
      <c r="P242" s="6" t="str">
        <f>VLOOKUP(Tableau1[[#This Row],[SITES NAMES]],[1]Feuil1!$1:$1048576,8,FALSE)</f>
        <v>OK</v>
      </c>
      <c r="Q242" s="6" t="str">
        <f>VLOOKUP(Tableau1[[#This Row],[SITES NAMES]],[1]Feuil1!$1:$1048576,9,FALSE)</f>
        <v>NO</v>
      </c>
      <c r="R242" s="6" t="str">
        <f>VLOOKUP(Tableau1[[#This Row],[SITES NAMES]],[1]Feuil1!$1:$1048576,10,FALSE)</f>
        <v>NO</v>
      </c>
      <c r="S242" s="6" t="s">
        <v>2469</v>
      </c>
      <c r="T242" s="6" t="s">
        <v>2470</v>
      </c>
      <c r="U242" s="6" t="s">
        <v>2471</v>
      </c>
      <c r="V242" s="6" t="s">
        <v>2478</v>
      </c>
      <c r="W242" s="6" t="s">
        <v>2476</v>
      </c>
      <c r="X242" s="8" t="s">
        <v>2905</v>
      </c>
      <c r="Y242" s="6" t="s">
        <v>3238</v>
      </c>
      <c r="Z242" s="6" t="s">
        <v>3261</v>
      </c>
      <c r="AA242" s="35" t="s">
        <v>3607</v>
      </c>
      <c r="AB242" s="35" t="s">
        <v>3608</v>
      </c>
      <c r="AC242" s="35" t="s">
        <v>3609</v>
      </c>
      <c r="AD242" s="35" t="s">
        <v>3610</v>
      </c>
      <c r="AE242" s="35" t="s">
        <v>3610</v>
      </c>
      <c r="AF242" s="35" t="s">
        <v>3611</v>
      </c>
      <c r="AG242" s="35" t="s">
        <v>3612</v>
      </c>
      <c r="AH242" s="35" t="s">
        <v>3613</v>
      </c>
    </row>
    <row r="243" spans="1:34" ht="14.45" hidden="1" customHeight="1" x14ac:dyDescent="0.25">
      <c r="A243" s="6" t="s">
        <v>1189</v>
      </c>
      <c r="B243" s="7">
        <v>38322</v>
      </c>
      <c r="C243" s="6" t="s">
        <v>1188</v>
      </c>
      <c r="D243" s="6" t="s">
        <v>66</v>
      </c>
      <c r="E243" s="6" t="s">
        <v>1924</v>
      </c>
      <c r="F243" s="6" t="s">
        <v>3229</v>
      </c>
      <c r="G243" s="8">
        <v>1.25135</v>
      </c>
      <c r="H243" s="8">
        <v>6.2061999999999999</v>
      </c>
      <c r="I243" s="6" t="s">
        <v>2486</v>
      </c>
      <c r="J243" s="6" t="s">
        <v>2459</v>
      </c>
      <c r="K243" s="6" t="s">
        <v>2460</v>
      </c>
      <c r="L243" s="6"/>
      <c r="M243" s="6"/>
      <c r="N243" s="6" t="s">
        <v>3268</v>
      </c>
      <c r="O243" s="6" t="s">
        <v>7</v>
      </c>
      <c r="P243" s="6" t="str">
        <f>VLOOKUP(Tableau1[[#This Row],[SITES NAMES]],[1]Feuil1!$1:$1048576,8,FALSE)</f>
        <v>OK</v>
      </c>
      <c r="Q243" s="6" t="str">
        <f>VLOOKUP(Tableau1[[#This Row],[SITES NAMES]],[1]Feuil1!$1:$1048576,9,FALSE)</f>
        <v>NO</v>
      </c>
      <c r="R243" s="6" t="str">
        <f>VLOOKUP(Tableau1[[#This Row],[SITES NAMES]],[1]Feuil1!$1:$1048576,10,FALSE)</f>
        <v>NO</v>
      </c>
      <c r="S243" s="6" t="s">
        <v>2461</v>
      </c>
      <c r="T243" s="6" t="s">
        <v>2462</v>
      </c>
      <c r="U243" s="6" t="s">
        <v>2463</v>
      </c>
      <c r="V243" s="6" t="s">
        <v>2478</v>
      </c>
      <c r="W243" s="6" t="s">
        <v>2476</v>
      </c>
      <c r="X243" s="8" t="s">
        <v>2901</v>
      </c>
      <c r="Y243" s="6" t="s">
        <v>3238</v>
      </c>
      <c r="Z243" s="6" t="s">
        <v>3261</v>
      </c>
      <c r="AA243" s="35" t="s">
        <v>3607</v>
      </c>
      <c r="AB243" s="35" t="s">
        <v>3608</v>
      </c>
      <c r="AC243" s="35" t="s">
        <v>3609</v>
      </c>
      <c r="AD243" s="35" t="s">
        <v>3610</v>
      </c>
      <c r="AE243" s="35" t="s">
        <v>3610</v>
      </c>
      <c r="AF243" s="35" t="s">
        <v>3611</v>
      </c>
      <c r="AG243" s="35" t="s">
        <v>3612</v>
      </c>
      <c r="AH243" s="35" t="s">
        <v>3613</v>
      </c>
    </row>
    <row r="244" spans="1:34" ht="14.45" hidden="1" customHeight="1" x14ac:dyDescent="0.25">
      <c r="A244" s="6" t="s">
        <v>1224</v>
      </c>
      <c r="B244" s="7">
        <v>0</v>
      </c>
      <c r="C244" s="6" t="s">
        <v>1223</v>
      </c>
      <c r="D244" s="6" t="s">
        <v>66</v>
      </c>
      <c r="E244" s="6" t="s">
        <v>1924</v>
      </c>
      <c r="F244" s="6" t="s">
        <v>3229</v>
      </c>
      <c r="G244" s="8">
        <v>1.26966</v>
      </c>
      <c r="H244" s="8">
        <v>6.2061999999999999</v>
      </c>
      <c r="I244" s="6" t="s">
        <v>2497</v>
      </c>
      <c r="J244" s="6" t="s">
        <v>2459</v>
      </c>
      <c r="K244" s="6" t="s">
        <v>2460</v>
      </c>
      <c r="L244" s="6" t="s">
        <v>1222</v>
      </c>
      <c r="M244" s="6"/>
      <c r="N244" s="6" t="s">
        <v>3268</v>
      </c>
      <c r="O244" s="6" t="s">
        <v>7</v>
      </c>
      <c r="P244" s="6" t="str">
        <f>VLOOKUP(Tableau1[[#This Row],[SITES NAMES]],[1]Feuil1!$1:$1048576,8,FALSE)</f>
        <v>OK</v>
      </c>
      <c r="Q244" s="6" t="str">
        <f>VLOOKUP(Tableau1[[#This Row],[SITES NAMES]],[1]Feuil1!$1:$1048576,9,FALSE)</f>
        <v>NO</v>
      </c>
      <c r="R244" s="6" t="str">
        <f>VLOOKUP(Tableau1[[#This Row],[SITES NAMES]],[1]Feuil1!$1:$1048576,10,FALSE)</f>
        <v>NO</v>
      </c>
      <c r="S244" s="6" t="s">
        <v>2461</v>
      </c>
      <c r="T244" s="6" t="s">
        <v>2462</v>
      </c>
      <c r="U244" s="6" t="s">
        <v>2463</v>
      </c>
      <c r="V244" s="6" t="s">
        <v>2478</v>
      </c>
      <c r="W244" s="6" t="s">
        <v>2476</v>
      </c>
      <c r="X244" s="8"/>
      <c r="Y244" s="6" t="s">
        <v>3238</v>
      </c>
      <c r="Z244" s="6" t="s">
        <v>3261</v>
      </c>
      <c r="AA244" s="35" t="s">
        <v>3607</v>
      </c>
      <c r="AB244" s="35" t="s">
        <v>3608</v>
      </c>
      <c r="AC244" s="35" t="s">
        <v>3609</v>
      </c>
      <c r="AD244" s="35" t="s">
        <v>3610</v>
      </c>
      <c r="AE244" s="35" t="s">
        <v>3610</v>
      </c>
      <c r="AF244" s="35" t="s">
        <v>3611</v>
      </c>
      <c r="AG244" s="35" t="s">
        <v>3612</v>
      </c>
      <c r="AH244" s="35" t="s">
        <v>3613</v>
      </c>
    </row>
    <row r="245" spans="1:34" ht="14.45" hidden="1" customHeight="1" x14ac:dyDescent="0.25">
      <c r="A245" s="6" t="s">
        <v>1226</v>
      </c>
      <c r="B245" s="7">
        <v>44855</v>
      </c>
      <c r="C245" s="6" t="s">
        <v>1225</v>
      </c>
      <c r="D245" s="6" t="s">
        <v>66</v>
      </c>
      <c r="E245" s="6" t="s">
        <v>1924</v>
      </c>
      <c r="F245" s="6" t="s">
        <v>3229</v>
      </c>
      <c r="G245" s="8">
        <v>1.2538309999999999</v>
      </c>
      <c r="H245" s="8">
        <v>6.1996849999999997</v>
      </c>
      <c r="I245" s="6" t="s">
        <v>2475</v>
      </c>
      <c r="J245" s="6" t="s">
        <v>2459</v>
      </c>
      <c r="K245" s="6" t="s">
        <v>2460</v>
      </c>
      <c r="L245" s="6"/>
      <c r="M245" s="6"/>
      <c r="N245" s="6" t="s">
        <v>3268</v>
      </c>
      <c r="O245" s="6" t="s">
        <v>7</v>
      </c>
      <c r="P245" s="6" t="str">
        <f>VLOOKUP(Tableau1[[#This Row],[SITES NAMES]],[1]Feuil1!$1:$1048576,8,FALSE)</f>
        <v>OK</v>
      </c>
      <c r="Q245" s="6" t="str">
        <f>VLOOKUP(Tableau1[[#This Row],[SITES NAMES]],[1]Feuil1!$1:$1048576,9,FALSE)</f>
        <v>NO</v>
      </c>
      <c r="R245" s="6" t="str">
        <f>VLOOKUP(Tableau1[[#This Row],[SITES NAMES]],[1]Feuil1!$1:$1048576,10,FALSE)</f>
        <v>YES</v>
      </c>
      <c r="S245" s="6" t="s">
        <v>2461</v>
      </c>
      <c r="T245" s="6" t="s">
        <v>2470</v>
      </c>
      <c r="U245" s="6" t="s">
        <v>2463</v>
      </c>
      <c r="V245" s="6" t="s">
        <v>2464</v>
      </c>
      <c r="W245" s="6" t="s">
        <v>2476</v>
      </c>
      <c r="X245" s="8"/>
      <c r="Y245" s="6" t="s">
        <v>3238</v>
      </c>
      <c r="Z245" s="6" t="s">
        <v>3261</v>
      </c>
      <c r="AA245" s="35" t="s">
        <v>3607</v>
      </c>
      <c r="AB245" s="35" t="s">
        <v>3608</v>
      </c>
      <c r="AC245" s="35" t="s">
        <v>3609</v>
      </c>
      <c r="AD245" s="35" t="s">
        <v>3610</v>
      </c>
      <c r="AE245" s="35" t="s">
        <v>3610</v>
      </c>
      <c r="AF245" s="35" t="s">
        <v>3611</v>
      </c>
      <c r="AG245" s="35" t="s">
        <v>3612</v>
      </c>
      <c r="AH245" s="35" t="s">
        <v>3613</v>
      </c>
    </row>
    <row r="246" spans="1:34" ht="14.45" hidden="1" customHeight="1" x14ac:dyDescent="0.3">
      <c r="A246" s="6" t="s">
        <v>2063</v>
      </c>
      <c r="B246" s="7">
        <v>45206</v>
      </c>
      <c r="C246" s="6" t="s">
        <v>2062</v>
      </c>
      <c r="D246" s="6" t="s">
        <v>132</v>
      </c>
      <c r="E246" s="6" t="s">
        <v>2049</v>
      </c>
      <c r="F246" s="6" t="s">
        <v>3229</v>
      </c>
      <c r="G246" s="8">
        <v>1.3486</v>
      </c>
      <c r="H246" s="8">
        <v>6.9973989999999997</v>
      </c>
      <c r="I246" s="6" t="s">
        <v>2477</v>
      </c>
      <c r="J246" s="6" t="s">
        <v>2459</v>
      </c>
      <c r="K246" s="6" t="s">
        <v>2460</v>
      </c>
      <c r="L246" s="6" t="s">
        <v>3369</v>
      </c>
      <c r="M246" s="6"/>
      <c r="N246" s="6" t="s">
        <v>3268</v>
      </c>
      <c r="O246" s="6" t="s">
        <v>7</v>
      </c>
      <c r="P246" s="6" t="str">
        <f>VLOOKUP(Tableau1[[#This Row],[SITES NAMES]],[1]Feuil1!$1:$1048576,8,FALSE)</f>
        <v>OK</v>
      </c>
      <c r="Q246" s="6" t="str">
        <f>VLOOKUP(Tableau1[[#This Row],[SITES NAMES]],[1]Feuil1!$1:$1048576,9,FALSE)</f>
        <v>NO</v>
      </c>
      <c r="R246" s="6" t="str">
        <f>VLOOKUP(Tableau1[[#This Row],[SITES NAMES]],[1]Feuil1!$1:$1048576,10,FALSE)</f>
        <v>NO</v>
      </c>
      <c r="S246" s="6" t="s">
        <v>2469</v>
      </c>
      <c r="T246" s="6" t="s">
        <v>2470</v>
      </c>
      <c r="U246" s="6" t="s">
        <v>2480</v>
      </c>
      <c r="V246" s="6" t="s">
        <v>2472</v>
      </c>
      <c r="W246" s="6" t="s">
        <v>2493</v>
      </c>
      <c r="X246" s="8"/>
      <c r="Y246" s="6" t="s">
        <v>3238</v>
      </c>
      <c r="Z246" s="6" t="s">
        <v>3257</v>
      </c>
      <c r="AA246" s="45" t="s">
        <v>3656</v>
      </c>
      <c r="AB246" s="39" t="s">
        <v>3644</v>
      </c>
      <c r="AC246" s="45" t="s">
        <v>3657</v>
      </c>
      <c r="AD246" s="37" t="s">
        <v>3658</v>
      </c>
      <c r="AE246" s="37" t="s">
        <v>3647</v>
      </c>
      <c r="AF246" s="39" t="s">
        <v>3648</v>
      </c>
      <c r="AG246" s="37" t="s">
        <v>3649</v>
      </c>
      <c r="AH246" s="37" t="s">
        <v>3659</v>
      </c>
    </row>
    <row r="247" spans="1:34" ht="14.45" hidden="1" customHeight="1" x14ac:dyDescent="0.3">
      <c r="A247" s="6" t="s">
        <v>2369</v>
      </c>
      <c r="B247" s="7">
        <v>40513</v>
      </c>
      <c r="C247" s="6" t="s">
        <v>2368</v>
      </c>
      <c r="D247" s="6" t="s">
        <v>5</v>
      </c>
      <c r="E247" s="6" t="s">
        <v>2333</v>
      </c>
      <c r="F247" s="6" t="s">
        <v>3229</v>
      </c>
      <c r="G247" s="8">
        <v>1.23878</v>
      </c>
      <c r="H247" s="8">
        <v>6.6705500000000004</v>
      </c>
      <c r="I247" s="6" t="s">
        <v>2477</v>
      </c>
      <c r="J247" s="6" t="s">
        <v>2459</v>
      </c>
      <c r="K247" s="6" t="s">
        <v>2468</v>
      </c>
      <c r="L247" s="6" t="s">
        <v>3370</v>
      </c>
      <c r="M247" s="6"/>
      <c r="N247" s="6" t="s">
        <v>2468</v>
      </c>
      <c r="O247" s="6" t="s">
        <v>40</v>
      </c>
      <c r="P247" s="6" t="str">
        <f>VLOOKUP(Tableau1[[#This Row],[SITES NAMES]],[1]Feuil1!$1:$1048576,8,FALSE)</f>
        <v>OK</v>
      </c>
      <c r="Q247" s="6" t="str">
        <f>VLOOKUP(Tableau1[[#This Row],[SITES NAMES]],[1]Feuil1!$1:$1048576,9,FALSE)</f>
        <v>NO</v>
      </c>
      <c r="R247" s="6" t="str">
        <f>VLOOKUP(Tableau1[[#This Row],[SITES NAMES]],[1]Feuil1!$1:$1048576,10,FALSE)</f>
        <v>NO</v>
      </c>
      <c r="S247" s="6" t="s">
        <v>2469</v>
      </c>
      <c r="T247" s="6" t="s">
        <v>2470</v>
      </c>
      <c r="U247" s="6" t="s">
        <v>2480</v>
      </c>
      <c r="V247" s="6" t="s">
        <v>2472</v>
      </c>
      <c r="W247" s="6" t="s">
        <v>2473</v>
      </c>
      <c r="X247" s="8" t="s">
        <v>3208</v>
      </c>
      <c r="Y247" s="6" t="s">
        <v>3241</v>
      </c>
      <c r="Z247" s="6"/>
      <c r="AA247" s="37"/>
      <c r="AB247" s="38" t="s">
        <v>3627</v>
      </c>
      <c r="AC247" s="37" t="s">
        <v>3640</v>
      </c>
      <c r="AD247" s="39" t="s">
        <v>3641</v>
      </c>
      <c r="AE247" s="37"/>
      <c r="AF247" s="39" t="s">
        <v>3641</v>
      </c>
      <c r="AG247" s="37"/>
      <c r="AH247" s="37" t="s">
        <v>3642</v>
      </c>
    </row>
    <row r="248" spans="1:34" ht="14.45" hidden="1" customHeight="1" x14ac:dyDescent="0.25">
      <c r="A248" s="6" t="s">
        <v>1757</v>
      </c>
      <c r="B248" s="7">
        <v>37773</v>
      </c>
      <c r="C248" s="6" t="s">
        <v>1756</v>
      </c>
      <c r="D248" s="6" t="s">
        <v>66</v>
      </c>
      <c r="E248" s="6" t="s">
        <v>3234</v>
      </c>
      <c r="F248" s="18" t="s">
        <v>3230</v>
      </c>
      <c r="G248" s="8">
        <v>1.1762250000000001</v>
      </c>
      <c r="H248" s="8">
        <v>6.1999444309999996</v>
      </c>
      <c r="I248" s="6" t="s">
        <v>2486</v>
      </c>
      <c r="J248" s="6" t="s">
        <v>2459</v>
      </c>
      <c r="K248" s="6" t="s">
        <v>2460</v>
      </c>
      <c r="L248" s="6"/>
      <c r="M248" s="6"/>
      <c r="N248" s="6" t="s">
        <v>3268</v>
      </c>
      <c r="O248" s="6" t="s">
        <v>7</v>
      </c>
      <c r="P248" s="6" t="str">
        <f>VLOOKUP(Tableau1[[#This Row],[SITES NAMES]],[1]Feuil1!$1:$1048576,8,FALSE)</f>
        <v>OK</v>
      </c>
      <c r="Q248" s="6" t="str">
        <f>VLOOKUP(Tableau1[[#This Row],[SITES NAMES]],[1]Feuil1!$1:$1048576,9,FALSE)</f>
        <v>YES</v>
      </c>
      <c r="R248" s="6" t="str">
        <f>VLOOKUP(Tableau1[[#This Row],[SITES NAMES]],[1]Feuil1!$1:$1048576,10,FALSE)</f>
        <v>YES</v>
      </c>
      <c r="S248" s="6" t="s">
        <v>2469</v>
      </c>
      <c r="T248" s="6" t="s">
        <v>2470</v>
      </c>
      <c r="U248" s="6" t="s">
        <v>2480</v>
      </c>
      <c r="V248" s="6" t="s">
        <v>2478</v>
      </c>
      <c r="W248" s="6" t="s">
        <v>2476</v>
      </c>
      <c r="X248" s="8"/>
      <c r="Y248" s="6" t="s">
        <v>3238</v>
      </c>
      <c r="Z248" s="6" t="s">
        <v>3265</v>
      </c>
      <c r="AA248" s="35" t="s">
        <v>3607</v>
      </c>
      <c r="AB248" s="35" t="s">
        <v>3608</v>
      </c>
      <c r="AC248" s="35" t="s">
        <v>3614</v>
      </c>
      <c r="AD248" s="35" t="s">
        <v>3610</v>
      </c>
      <c r="AE248" s="35" t="s">
        <v>3610</v>
      </c>
      <c r="AF248" s="35" t="s">
        <v>3611</v>
      </c>
      <c r="AG248" s="35" t="s">
        <v>3612</v>
      </c>
      <c r="AH248" s="35" t="s">
        <v>3615</v>
      </c>
    </row>
    <row r="249" spans="1:34" ht="14.45" hidden="1" customHeight="1" x14ac:dyDescent="0.25">
      <c r="A249" s="6" t="s">
        <v>1759</v>
      </c>
      <c r="B249" s="7" t="s">
        <v>3016</v>
      </c>
      <c r="C249" s="6" t="s">
        <v>1758</v>
      </c>
      <c r="D249" s="6" t="s">
        <v>66</v>
      </c>
      <c r="E249" s="6" t="s">
        <v>3234</v>
      </c>
      <c r="F249" s="18" t="s">
        <v>3230</v>
      </c>
      <c r="G249" s="8">
        <v>1.1755138890000001</v>
      </c>
      <c r="H249" s="8">
        <v>6.2077328239999998</v>
      </c>
      <c r="I249" s="6" t="s">
        <v>2486</v>
      </c>
      <c r="J249" s="6" t="s">
        <v>2459</v>
      </c>
      <c r="K249" s="6" t="s">
        <v>2460</v>
      </c>
      <c r="L249" s="6"/>
      <c r="M249" s="6"/>
      <c r="N249" s="6" t="s">
        <v>3268</v>
      </c>
      <c r="O249" s="6" t="s">
        <v>7</v>
      </c>
      <c r="P249" s="6" t="str">
        <f>VLOOKUP(Tableau1[[#This Row],[SITES NAMES]],[1]Feuil1!$1:$1048576,8,FALSE)</f>
        <v>OK</v>
      </c>
      <c r="Q249" s="6" t="str">
        <f>VLOOKUP(Tableau1[[#This Row],[SITES NAMES]],[1]Feuil1!$1:$1048576,9,FALSE)</f>
        <v>YES</v>
      </c>
      <c r="R249" s="6" t="str">
        <f>VLOOKUP(Tableau1[[#This Row],[SITES NAMES]],[1]Feuil1!$1:$1048576,10,FALSE)</f>
        <v>YES</v>
      </c>
      <c r="S249" s="6" t="s">
        <v>2469</v>
      </c>
      <c r="T249" s="6" t="s">
        <v>3017</v>
      </c>
      <c r="U249" s="6" t="s">
        <v>2463</v>
      </c>
      <c r="V249" s="6" t="s">
        <v>2478</v>
      </c>
      <c r="W249" s="6" t="s">
        <v>2476</v>
      </c>
      <c r="X249" s="8" t="s">
        <v>3018</v>
      </c>
      <c r="Y249" s="6" t="s">
        <v>3238</v>
      </c>
      <c r="Z249" s="6" t="s">
        <v>3265</v>
      </c>
      <c r="AA249" s="35" t="s">
        <v>3607</v>
      </c>
      <c r="AB249" s="35" t="s">
        <v>3608</v>
      </c>
      <c r="AC249" s="35" t="s">
        <v>3614</v>
      </c>
      <c r="AD249" s="35" t="s">
        <v>3610</v>
      </c>
      <c r="AE249" s="35" t="s">
        <v>3610</v>
      </c>
      <c r="AF249" s="35" t="s">
        <v>3611</v>
      </c>
      <c r="AG249" s="35" t="s">
        <v>3612</v>
      </c>
      <c r="AH249" s="35" t="s">
        <v>3615</v>
      </c>
    </row>
    <row r="250" spans="1:34" ht="14.45" hidden="1" customHeight="1" x14ac:dyDescent="0.3">
      <c r="A250" s="6" t="s">
        <v>20</v>
      </c>
      <c r="B250" s="7">
        <v>42654</v>
      </c>
      <c r="C250" s="6" t="s">
        <v>19</v>
      </c>
      <c r="D250" s="6" t="s">
        <v>5</v>
      </c>
      <c r="E250" s="6" t="s">
        <v>6</v>
      </c>
      <c r="F250" s="6" t="s">
        <v>3229</v>
      </c>
      <c r="G250" s="8">
        <v>1.7584660000000001</v>
      </c>
      <c r="H250" s="8">
        <v>6.3981510000000004</v>
      </c>
      <c r="I250" s="6" t="s">
        <v>2482</v>
      </c>
      <c r="J250" s="6" t="s">
        <v>2459</v>
      </c>
      <c r="K250" s="6" t="s">
        <v>2468</v>
      </c>
      <c r="L250" s="6" t="s">
        <v>3371</v>
      </c>
      <c r="M250" s="6"/>
      <c r="N250" s="6" t="s">
        <v>2468</v>
      </c>
      <c r="O250" s="6" t="s">
        <v>18</v>
      </c>
      <c r="P250" s="6" t="str">
        <f>VLOOKUP(Tableau1[[#This Row],[SITES NAMES]],[1]Feuil1!$1:$1048576,8,FALSE)</f>
        <v>OK</v>
      </c>
      <c r="Q250" s="6" t="str">
        <f>VLOOKUP(Tableau1[[#This Row],[SITES NAMES]],[1]Feuil1!$1:$1048576,9,FALSE)</f>
        <v>NO</v>
      </c>
      <c r="R250" s="6" t="str">
        <f>VLOOKUP(Tableau1[[#This Row],[SITES NAMES]],[1]Feuil1!$1:$1048576,10,FALSE)</f>
        <v>NO</v>
      </c>
      <c r="S250" s="6" t="s">
        <v>2469</v>
      </c>
      <c r="T250" s="6" t="s">
        <v>2470</v>
      </c>
      <c r="U250" s="6" t="s">
        <v>2480</v>
      </c>
      <c r="V250" s="6" t="s">
        <v>2472</v>
      </c>
      <c r="W250" s="6" t="s">
        <v>2473</v>
      </c>
      <c r="X250" s="8" t="s">
        <v>2483</v>
      </c>
      <c r="Y250" s="6" t="s">
        <v>3241</v>
      </c>
      <c r="Z250" t="e">
        <f>VLOOKUP(Tableau1[[#This Row],[SITES NAMES]],#REF!,3,FALSE)</f>
        <v>#REF!</v>
      </c>
      <c r="AA250" s="37" t="s">
        <v>3626</v>
      </c>
      <c r="AB250" s="38" t="s">
        <v>3627</v>
      </c>
      <c r="AC250" s="37" t="s">
        <v>3633</v>
      </c>
      <c r="AD250" s="37" t="s">
        <v>3628</v>
      </c>
      <c r="AE250" s="37" t="s">
        <v>3629</v>
      </c>
      <c r="AF250" s="39" t="s">
        <v>3630</v>
      </c>
      <c r="AG250" s="37" t="s">
        <v>3631</v>
      </c>
      <c r="AH250" s="37" t="s">
        <v>3632</v>
      </c>
    </row>
    <row r="251" spans="1:34" ht="14.45" hidden="1" customHeight="1" x14ac:dyDescent="0.25">
      <c r="A251" s="6" t="s">
        <v>1761</v>
      </c>
      <c r="B251" s="7">
        <v>0</v>
      </c>
      <c r="C251" s="6" t="s">
        <v>1760</v>
      </c>
      <c r="D251" s="6" t="s">
        <v>66</v>
      </c>
      <c r="E251" s="6" t="s">
        <v>3234</v>
      </c>
      <c r="F251" s="6" t="s">
        <v>3229</v>
      </c>
      <c r="G251" s="8">
        <v>1.1789890000000001</v>
      </c>
      <c r="H251" s="8">
        <v>6.1721310000000003</v>
      </c>
      <c r="I251" s="6" t="s">
        <v>2497</v>
      </c>
      <c r="J251" s="6" t="s">
        <v>2459</v>
      </c>
      <c r="K251" s="6" t="s">
        <v>2460</v>
      </c>
      <c r="L251" s="6"/>
      <c r="M251" s="6"/>
      <c r="N251" s="6" t="s">
        <v>3268</v>
      </c>
      <c r="O251" s="6" t="s">
        <v>7</v>
      </c>
      <c r="P251" s="6" t="str">
        <f>VLOOKUP(Tableau1[[#This Row],[SITES NAMES]],[1]Feuil1!$1:$1048576,8,FALSE)</f>
        <v>OK</v>
      </c>
      <c r="Q251" s="6" t="str">
        <f>VLOOKUP(Tableau1[[#This Row],[SITES NAMES]],[1]Feuil1!$1:$1048576,9,FALSE)</f>
        <v>NO</v>
      </c>
      <c r="R251" s="6" t="str">
        <f>VLOOKUP(Tableau1[[#This Row],[SITES NAMES]],[1]Feuil1!$1:$1048576,10,FALSE)</f>
        <v>NO</v>
      </c>
      <c r="S251" s="6" t="s">
        <v>2469</v>
      </c>
      <c r="T251" s="6" t="s">
        <v>2470</v>
      </c>
      <c r="U251" s="6" t="s">
        <v>2471</v>
      </c>
      <c r="V251" s="6" t="s">
        <v>2478</v>
      </c>
      <c r="W251" s="6" t="s">
        <v>2476</v>
      </c>
      <c r="X251" s="8"/>
      <c r="Y251" s="6" t="s">
        <v>3238</v>
      </c>
      <c r="Z251" s="6" t="s">
        <v>3265</v>
      </c>
      <c r="AA251" s="35" t="s">
        <v>3607</v>
      </c>
      <c r="AB251" s="35" t="s">
        <v>3608</v>
      </c>
      <c r="AC251" s="35" t="s">
        <v>3614</v>
      </c>
      <c r="AD251" s="35" t="s">
        <v>3610</v>
      </c>
      <c r="AE251" s="35" t="s">
        <v>3610</v>
      </c>
      <c r="AF251" s="35" t="s">
        <v>3611</v>
      </c>
      <c r="AG251" s="35" t="s">
        <v>3612</v>
      </c>
      <c r="AH251" s="35" t="s">
        <v>3615</v>
      </c>
    </row>
    <row r="252" spans="1:34" ht="14.45" hidden="1" customHeight="1" x14ac:dyDescent="0.25">
      <c r="A252" s="6" t="s">
        <v>1763</v>
      </c>
      <c r="B252" s="7">
        <v>41815</v>
      </c>
      <c r="C252" s="6" t="s">
        <v>1762</v>
      </c>
      <c r="D252" s="6" t="s">
        <v>66</v>
      </c>
      <c r="E252" s="6" t="s">
        <v>3234</v>
      </c>
      <c r="F252" s="6" t="s">
        <v>3229</v>
      </c>
      <c r="G252" s="8">
        <v>1.1907799999999999</v>
      </c>
      <c r="H252" s="8">
        <v>6.1759538550000004</v>
      </c>
      <c r="I252" s="6" t="s">
        <v>2497</v>
      </c>
      <c r="J252" s="6" t="s">
        <v>2459</v>
      </c>
      <c r="K252" s="6" t="s">
        <v>2460</v>
      </c>
      <c r="L252" s="6"/>
      <c r="M252" s="6"/>
      <c r="N252" s="6" t="s">
        <v>3268</v>
      </c>
      <c r="O252" s="6" t="s">
        <v>7</v>
      </c>
      <c r="P252" s="6" t="str">
        <f>VLOOKUP(Tableau1[[#This Row],[SITES NAMES]],[1]Feuil1!$1:$1048576,8,FALSE)</f>
        <v>OK</v>
      </c>
      <c r="Q252" s="6" t="str">
        <f>VLOOKUP(Tableau1[[#This Row],[SITES NAMES]],[1]Feuil1!$1:$1048576,9,FALSE)</f>
        <v>NO</v>
      </c>
      <c r="R252" s="6" t="str">
        <f>VLOOKUP(Tableau1[[#This Row],[SITES NAMES]],[1]Feuil1!$1:$1048576,10,FALSE)</f>
        <v>NO</v>
      </c>
      <c r="S252" s="6" t="s">
        <v>2469</v>
      </c>
      <c r="T252" s="6" t="s">
        <v>2470</v>
      </c>
      <c r="U252" s="6" t="s">
        <v>2471</v>
      </c>
      <c r="V252" s="6" t="s">
        <v>2478</v>
      </c>
      <c r="W252" s="6" t="s">
        <v>2476</v>
      </c>
      <c r="X252" s="8" t="s">
        <v>3019</v>
      </c>
      <c r="Y252" s="6" t="s">
        <v>3238</v>
      </c>
      <c r="Z252" s="6" t="s">
        <v>3265</v>
      </c>
      <c r="AA252" s="35" t="s">
        <v>3607</v>
      </c>
      <c r="AB252" s="35" t="s">
        <v>3608</v>
      </c>
      <c r="AC252" s="35" t="s">
        <v>3614</v>
      </c>
      <c r="AD252" s="35" t="s">
        <v>3610</v>
      </c>
      <c r="AE252" s="35" t="s">
        <v>3610</v>
      </c>
      <c r="AF252" s="35" t="s">
        <v>3611</v>
      </c>
      <c r="AG252" s="35" t="s">
        <v>3612</v>
      </c>
      <c r="AH252" s="35" t="s">
        <v>3615</v>
      </c>
    </row>
    <row r="253" spans="1:34" hidden="1" x14ac:dyDescent="0.25">
      <c r="A253" s="6" t="s">
        <v>1312</v>
      </c>
      <c r="B253" s="7">
        <v>39417</v>
      </c>
      <c r="C253" s="6" t="s">
        <v>1311</v>
      </c>
      <c r="D253" s="6" t="s">
        <v>66</v>
      </c>
      <c r="E253" s="6" t="s">
        <v>3231</v>
      </c>
      <c r="F253" s="6" t="s">
        <v>3229</v>
      </c>
      <c r="G253" s="8">
        <v>1.3540669999999999</v>
      </c>
      <c r="H253" s="8">
        <v>6.1801523060000001</v>
      </c>
      <c r="I253" s="6" t="s">
        <v>2497</v>
      </c>
      <c r="J253" s="6" t="s">
        <v>2459</v>
      </c>
      <c r="K253" s="6" t="s">
        <v>2460</v>
      </c>
      <c r="L253" s="6"/>
      <c r="M253" s="6"/>
      <c r="N253" s="21" t="s">
        <v>3269</v>
      </c>
      <c r="O253" s="6" t="s">
        <v>7</v>
      </c>
      <c r="P253" s="6" t="str">
        <f>VLOOKUP(Tableau1[[#This Row],[SITES NAMES]],[1]Feuil1!$1:$1048576,8,FALSE)</f>
        <v>OK</v>
      </c>
      <c r="Q253" s="6" t="str">
        <f>VLOOKUP(Tableau1[[#This Row],[SITES NAMES]],[1]Feuil1!$1:$1048576,9,FALSE)</f>
        <v>NO</v>
      </c>
      <c r="R253" s="6" t="str">
        <f>VLOOKUP(Tableau1[[#This Row],[SITES NAMES]],[1]Feuil1!$1:$1048576,10,FALSE)</f>
        <v>NO</v>
      </c>
      <c r="S253" s="6" t="s">
        <v>2469</v>
      </c>
      <c r="T253" s="6" t="s">
        <v>2470</v>
      </c>
      <c r="U253" s="6" t="s">
        <v>2463</v>
      </c>
      <c r="V253" s="6" t="s">
        <v>2478</v>
      </c>
      <c r="W253" s="6" t="s">
        <v>2476</v>
      </c>
      <c r="X253" s="8" t="s">
        <v>2926</v>
      </c>
      <c r="Y253" s="6" t="s">
        <v>3238</v>
      </c>
      <c r="Z253" s="6"/>
      <c r="AA253" s="35" t="s">
        <v>3621</v>
      </c>
      <c r="AB253" s="35" t="s">
        <v>3608</v>
      </c>
      <c r="AC253" s="35" t="s">
        <v>3622</v>
      </c>
      <c r="AD253" s="35" t="s">
        <v>3610</v>
      </c>
      <c r="AE253" s="35" t="s">
        <v>3610</v>
      </c>
      <c r="AF253" s="35" t="s">
        <v>3611</v>
      </c>
      <c r="AG253" s="35" t="s">
        <v>3612</v>
      </c>
      <c r="AH253" s="35" t="s">
        <v>3623</v>
      </c>
    </row>
    <row r="254" spans="1:34" ht="14.45" hidden="1" customHeight="1" x14ac:dyDescent="0.25">
      <c r="A254" s="6" t="s">
        <v>1370</v>
      </c>
      <c r="B254" s="7">
        <v>43439</v>
      </c>
      <c r="C254" s="6" t="s">
        <v>1369</v>
      </c>
      <c r="D254" s="6" t="s">
        <v>66</v>
      </c>
      <c r="E254" s="6" t="s">
        <v>3231</v>
      </c>
      <c r="F254" s="6" t="s">
        <v>3229</v>
      </c>
      <c r="G254" s="8">
        <v>1.36422</v>
      </c>
      <c r="H254" s="8">
        <v>6.1842499999999996</v>
      </c>
      <c r="I254" s="6" t="s">
        <v>2486</v>
      </c>
      <c r="J254" s="6" t="s">
        <v>2459</v>
      </c>
      <c r="K254" s="6" t="s">
        <v>2460</v>
      </c>
      <c r="L254" s="6"/>
      <c r="M254" s="6"/>
      <c r="N254" s="6" t="s">
        <v>3268</v>
      </c>
      <c r="O254" s="6" t="s">
        <v>1206</v>
      </c>
      <c r="P254" s="6"/>
      <c r="Q254" s="6" t="str">
        <f>VLOOKUP(Tableau1[[#This Row],[SITES NAMES]],[1]Feuil1!$1:$1048576,9,FALSE)</f>
        <v>YES</v>
      </c>
      <c r="R254" s="6" t="str">
        <f>VLOOKUP(Tableau1[[#This Row],[SITES NAMES]],[1]Feuil1!$1:$1048576,10,FALSE)</f>
        <v>NO</v>
      </c>
      <c r="S254" s="6" t="s">
        <v>2461</v>
      </c>
      <c r="T254" s="6" t="s">
        <v>2462</v>
      </c>
      <c r="U254" s="6" t="s">
        <v>2463</v>
      </c>
      <c r="V254" s="6" t="s">
        <v>2464</v>
      </c>
      <c r="W254" s="6" t="s">
        <v>2476</v>
      </c>
      <c r="X254" s="8"/>
      <c r="Y254" s="6" t="s">
        <v>3238</v>
      </c>
      <c r="Z254" s="6"/>
      <c r="AA254" s="35" t="s">
        <v>3621</v>
      </c>
      <c r="AB254" s="35" t="s">
        <v>3608</v>
      </c>
      <c r="AC254" s="35" t="s">
        <v>3622</v>
      </c>
      <c r="AD254" s="35" t="s">
        <v>3610</v>
      </c>
      <c r="AE254" s="35" t="s">
        <v>3610</v>
      </c>
      <c r="AF254" s="35" t="s">
        <v>3611</v>
      </c>
      <c r="AG254" s="35" t="s">
        <v>3612</v>
      </c>
      <c r="AH254" s="35" t="s">
        <v>3623</v>
      </c>
    </row>
    <row r="255" spans="1:34" ht="14.45" hidden="1" customHeight="1" x14ac:dyDescent="0.25">
      <c r="A255" s="6" t="s">
        <v>1169</v>
      </c>
      <c r="B255" s="7">
        <v>44111</v>
      </c>
      <c r="C255" s="6" t="s">
        <v>1168</v>
      </c>
      <c r="D255" s="6" t="s">
        <v>66</v>
      </c>
      <c r="E255" s="6" t="s">
        <v>1924</v>
      </c>
      <c r="F255" s="6" t="s">
        <v>3229</v>
      </c>
      <c r="G255" s="8">
        <v>1.28691</v>
      </c>
      <c r="H255" s="8">
        <v>6.2718499999999997</v>
      </c>
      <c r="I255" s="6" t="s">
        <v>2486</v>
      </c>
      <c r="J255" s="6" t="s">
        <v>2459</v>
      </c>
      <c r="K255" s="6" t="s">
        <v>2460</v>
      </c>
      <c r="L255" s="6"/>
      <c r="M255" s="6"/>
      <c r="N255" s="6" t="s">
        <v>3268</v>
      </c>
      <c r="O255" s="6" t="s">
        <v>7</v>
      </c>
      <c r="P255" s="6" t="str">
        <f>VLOOKUP(Tableau1[[#This Row],[SITES NAMES]],[1]Feuil1!$1:$1048576,8,FALSE)</f>
        <v>OK</v>
      </c>
      <c r="Q255" s="6" t="str">
        <f>VLOOKUP(Tableau1[[#This Row],[SITES NAMES]],[1]Feuil1!$1:$1048576,9,FALSE)</f>
        <v>NO</v>
      </c>
      <c r="R255" s="6" t="str">
        <f>VLOOKUP(Tableau1[[#This Row],[SITES NAMES]],[1]Feuil1!$1:$1048576,10,FALSE)</f>
        <v>NO</v>
      </c>
      <c r="S255" s="6" t="s">
        <v>2469</v>
      </c>
      <c r="T255" s="6" t="s">
        <v>2470</v>
      </c>
      <c r="U255" s="6" t="s">
        <v>2480</v>
      </c>
      <c r="V255" s="6" t="s">
        <v>2478</v>
      </c>
      <c r="W255" s="6" t="s">
        <v>2465</v>
      </c>
      <c r="X255" s="8" t="s">
        <v>2894</v>
      </c>
      <c r="Y255" s="6" t="s">
        <v>3238</v>
      </c>
      <c r="Z255" s="6" t="s">
        <v>3261</v>
      </c>
      <c r="AA255" s="35" t="s">
        <v>3607</v>
      </c>
      <c r="AB255" s="35" t="s">
        <v>3608</v>
      </c>
      <c r="AC255" s="35" t="s">
        <v>3609</v>
      </c>
      <c r="AD255" s="35" t="s">
        <v>3610</v>
      </c>
      <c r="AE255" s="35" t="s">
        <v>3610</v>
      </c>
      <c r="AF255" s="35" t="s">
        <v>3611</v>
      </c>
      <c r="AG255" s="35" t="s">
        <v>3612</v>
      </c>
      <c r="AH255" s="35" t="s">
        <v>3613</v>
      </c>
    </row>
    <row r="256" spans="1:34" ht="14.45" hidden="1" customHeight="1" x14ac:dyDescent="0.3">
      <c r="A256" s="6" t="s">
        <v>1014</v>
      </c>
      <c r="B256" s="7">
        <v>41609</v>
      </c>
      <c r="C256" s="6" t="s">
        <v>1013</v>
      </c>
      <c r="D256" s="6" t="s">
        <v>5</v>
      </c>
      <c r="E256" s="6" t="s">
        <v>1003</v>
      </c>
      <c r="F256" s="6" t="s">
        <v>3229</v>
      </c>
      <c r="G256" s="8">
        <v>0.79649999999999999</v>
      </c>
      <c r="H256" s="8">
        <v>6.8007999999999997</v>
      </c>
      <c r="I256" s="6" t="s">
        <v>2477</v>
      </c>
      <c r="J256" s="6" t="s">
        <v>2459</v>
      </c>
      <c r="K256" s="6" t="s">
        <v>2460</v>
      </c>
      <c r="L256" s="6"/>
      <c r="M256" s="6"/>
      <c r="N256" s="6" t="s">
        <v>3268</v>
      </c>
      <c r="O256" s="6" t="s">
        <v>7</v>
      </c>
      <c r="P256" s="6" t="str">
        <f>VLOOKUP(Tableau1[[#This Row],[SITES NAMES]],[1]Feuil1!$1:$1048576,8,FALSE)</f>
        <v>OK</v>
      </c>
      <c r="Q256" s="6" t="str">
        <f>VLOOKUP(Tableau1[[#This Row],[SITES NAMES]],[1]Feuil1!$1:$1048576,9,FALSE)</f>
        <v>NO</v>
      </c>
      <c r="R256" s="6" t="str">
        <f>VLOOKUP(Tableau1[[#This Row],[SITES NAMES]],[1]Feuil1!$1:$1048576,10,FALSE)</f>
        <v>NO</v>
      </c>
      <c r="S256" s="6" t="s">
        <v>2469</v>
      </c>
      <c r="T256" s="6" t="s">
        <v>2470</v>
      </c>
      <c r="U256" s="6" t="s">
        <v>2480</v>
      </c>
      <c r="V256" s="6" t="s">
        <v>2472</v>
      </c>
      <c r="W256" s="6" t="s">
        <v>2473</v>
      </c>
      <c r="X256" s="8" t="s">
        <v>2842</v>
      </c>
      <c r="Y256" s="6" t="s">
        <v>3241</v>
      </c>
      <c r="Z256" s="6"/>
      <c r="AA256" s="37" t="s">
        <v>3634</v>
      </c>
      <c r="AB256" s="38" t="s">
        <v>3627</v>
      </c>
      <c r="AC256" s="37" t="s">
        <v>3635</v>
      </c>
      <c r="AD256" s="37" t="s">
        <v>3636</v>
      </c>
      <c r="AE256" s="37" t="s">
        <v>3637</v>
      </c>
      <c r="AF256" s="37" t="s">
        <v>3636</v>
      </c>
      <c r="AG256" s="37" t="s">
        <v>3638</v>
      </c>
      <c r="AH256" s="37" t="s">
        <v>3639</v>
      </c>
    </row>
    <row r="257" spans="1:34" ht="14.45" hidden="1" customHeight="1" x14ac:dyDescent="0.25">
      <c r="A257" s="6" t="s">
        <v>1636</v>
      </c>
      <c r="B257" s="7">
        <v>44614</v>
      </c>
      <c r="C257" s="6" t="s">
        <v>1635</v>
      </c>
      <c r="D257" s="6" t="s">
        <v>66</v>
      </c>
      <c r="E257" s="6" t="s">
        <v>3236</v>
      </c>
      <c r="F257" s="6" t="s">
        <v>3229</v>
      </c>
      <c r="G257" s="8">
        <v>1.11453599</v>
      </c>
      <c r="H257" s="8">
        <v>6.2564109999999999</v>
      </c>
      <c r="I257" s="6" t="s">
        <v>2475</v>
      </c>
      <c r="J257" s="6" t="s">
        <v>2459</v>
      </c>
      <c r="K257" s="6" t="s">
        <v>2460</v>
      </c>
      <c r="L257" s="6"/>
      <c r="M257" s="6"/>
      <c r="N257" s="6" t="s">
        <v>3268</v>
      </c>
      <c r="O257" s="6" t="s">
        <v>7</v>
      </c>
      <c r="P257" s="6" t="str">
        <f>VLOOKUP(Tableau1[[#This Row],[SITES NAMES]],[1]Feuil1!$1:$1048576,8,FALSE)</f>
        <v>OK</v>
      </c>
      <c r="Q257" s="6" t="str">
        <f>VLOOKUP(Tableau1[[#This Row],[SITES NAMES]],[1]Feuil1!$1:$1048576,9,FALSE)</f>
        <v>NO</v>
      </c>
      <c r="R257" s="6" t="str">
        <f>VLOOKUP(Tableau1[[#This Row],[SITES NAMES]],[1]Feuil1!$1:$1048576,10,FALSE)</f>
        <v>YES</v>
      </c>
      <c r="S257" s="6" t="s">
        <v>2461</v>
      </c>
      <c r="T257" s="6" t="s">
        <v>2462</v>
      </c>
      <c r="U257" s="6" t="s">
        <v>2463</v>
      </c>
      <c r="V257" s="6" t="s">
        <v>2464</v>
      </c>
      <c r="W257" s="6" t="s">
        <v>2476</v>
      </c>
      <c r="X257" s="8" t="s">
        <v>2991</v>
      </c>
      <c r="Y257" s="6" t="s">
        <v>3238</v>
      </c>
      <c r="Z257" s="6" t="s">
        <v>3263</v>
      </c>
      <c r="AA257" s="35" t="s">
        <v>3616</v>
      </c>
      <c r="AB257" s="35" t="s">
        <v>3608</v>
      </c>
      <c r="AC257" s="35" t="s">
        <v>3619</v>
      </c>
      <c r="AD257" s="35" t="s">
        <v>3610</v>
      </c>
      <c r="AE257" s="35" t="s">
        <v>3610</v>
      </c>
      <c r="AF257" s="35" t="s">
        <v>3611</v>
      </c>
      <c r="AG257" s="35" t="s">
        <v>3612</v>
      </c>
      <c r="AH257" s="35" t="s">
        <v>3620</v>
      </c>
    </row>
    <row r="258" spans="1:34" ht="14.45" hidden="1" customHeight="1" x14ac:dyDescent="0.25">
      <c r="A258" s="6" t="s">
        <v>1638</v>
      </c>
      <c r="B258" s="7">
        <v>0</v>
      </c>
      <c r="C258" s="6" t="s">
        <v>1637</v>
      </c>
      <c r="D258" s="6" t="s">
        <v>66</v>
      </c>
      <c r="E258" s="6" t="s">
        <v>3236</v>
      </c>
      <c r="F258" s="6" t="s">
        <v>3229</v>
      </c>
      <c r="G258" s="8">
        <v>1.1368194439999999</v>
      </c>
      <c r="H258" s="8">
        <v>6.2599523179999998</v>
      </c>
      <c r="I258" s="6" t="s">
        <v>2486</v>
      </c>
      <c r="J258" s="6" t="s">
        <v>2459</v>
      </c>
      <c r="K258" s="6" t="s">
        <v>2460</v>
      </c>
      <c r="L258" s="6"/>
      <c r="M258" s="6"/>
      <c r="N258" s="6" t="s">
        <v>3268</v>
      </c>
      <c r="O258" s="6" t="s">
        <v>7</v>
      </c>
      <c r="P258" s="6" t="str">
        <f>VLOOKUP(Tableau1[[#This Row],[SITES NAMES]],[1]Feuil1!$1:$1048576,8,FALSE)</f>
        <v>OK</v>
      </c>
      <c r="Q258" s="6" t="str">
        <f>VLOOKUP(Tableau1[[#This Row],[SITES NAMES]],[1]Feuil1!$1:$1048576,9,FALSE)</f>
        <v>NO</v>
      </c>
      <c r="R258" s="6" t="str">
        <f>VLOOKUP(Tableau1[[#This Row],[SITES NAMES]],[1]Feuil1!$1:$1048576,10,FALSE)</f>
        <v>NO</v>
      </c>
      <c r="S258" s="6" t="s">
        <v>2469</v>
      </c>
      <c r="T258" s="6" t="s">
        <v>2470</v>
      </c>
      <c r="U258" s="6" t="s">
        <v>2480</v>
      </c>
      <c r="V258" s="6" t="s">
        <v>2478</v>
      </c>
      <c r="W258" s="6" t="s">
        <v>2476</v>
      </c>
      <c r="X258" s="8">
        <v>70996669</v>
      </c>
      <c r="Y258" s="6" t="s">
        <v>3238</v>
      </c>
      <c r="Z258" s="6" t="s">
        <v>3263</v>
      </c>
      <c r="AA258" s="35" t="s">
        <v>3616</v>
      </c>
      <c r="AB258" s="35" t="s">
        <v>3608</v>
      </c>
      <c r="AC258" s="35" t="s">
        <v>3619</v>
      </c>
      <c r="AD258" s="35" t="s">
        <v>3610</v>
      </c>
      <c r="AE258" s="35" t="s">
        <v>3610</v>
      </c>
      <c r="AF258" s="35" t="s">
        <v>3611</v>
      </c>
      <c r="AG258" s="35" t="s">
        <v>3612</v>
      </c>
      <c r="AH258" s="35" t="s">
        <v>3620</v>
      </c>
    </row>
    <row r="259" spans="1:34" ht="14.45" hidden="1" customHeight="1" x14ac:dyDescent="0.3">
      <c r="A259" s="6" t="s">
        <v>22</v>
      </c>
      <c r="B259" s="7">
        <v>41557</v>
      </c>
      <c r="C259" s="6" t="s">
        <v>21</v>
      </c>
      <c r="D259" s="6" t="s">
        <v>5</v>
      </c>
      <c r="E259" s="6" t="s">
        <v>6</v>
      </c>
      <c r="F259" s="6" t="s">
        <v>3229</v>
      </c>
      <c r="G259" s="8">
        <v>1.651376</v>
      </c>
      <c r="H259" s="8">
        <v>6.4001210000000004</v>
      </c>
      <c r="I259" s="6" t="s">
        <v>2477</v>
      </c>
      <c r="J259" s="6" t="s">
        <v>2459</v>
      </c>
      <c r="K259" s="6" t="s">
        <v>2468</v>
      </c>
      <c r="L259" s="6" t="s">
        <v>3372</v>
      </c>
      <c r="M259" s="6"/>
      <c r="N259" s="6" t="s">
        <v>2468</v>
      </c>
      <c r="O259" s="6" t="s">
        <v>7</v>
      </c>
      <c r="P259" s="6" t="str">
        <f>VLOOKUP(Tableau1[[#This Row],[SITES NAMES]],[1]Feuil1!$1:$1048576,8,FALSE)</f>
        <v>OK</v>
      </c>
      <c r="Q259" s="6" t="str">
        <f>VLOOKUP(Tableau1[[#This Row],[SITES NAMES]],[1]Feuil1!$1:$1048576,9,FALSE)</f>
        <v>NO</v>
      </c>
      <c r="R259" s="6" t="str">
        <f>VLOOKUP(Tableau1[[#This Row],[SITES NAMES]],[1]Feuil1!$1:$1048576,10,FALSE)</f>
        <v>YES</v>
      </c>
      <c r="S259" s="6" t="s">
        <v>2469</v>
      </c>
      <c r="T259" s="6" t="s">
        <v>2470</v>
      </c>
      <c r="U259" s="6" t="s">
        <v>2480</v>
      </c>
      <c r="V259" s="6" t="s">
        <v>2472</v>
      </c>
      <c r="W259" s="6" t="s">
        <v>2473</v>
      </c>
      <c r="X259" s="8" t="s">
        <v>2484</v>
      </c>
      <c r="Y259" s="6" t="s">
        <v>3241</v>
      </c>
      <c r="Z259" t="e">
        <f>VLOOKUP(Tableau1[[#This Row],[SITES NAMES]],#REF!,3,FALSE)</f>
        <v>#REF!</v>
      </c>
      <c r="AA259" s="37" t="s">
        <v>3626</v>
      </c>
      <c r="AB259" s="38" t="s">
        <v>3627</v>
      </c>
      <c r="AC259" s="37" t="s">
        <v>3633</v>
      </c>
      <c r="AD259" s="37" t="s">
        <v>3628</v>
      </c>
      <c r="AE259" s="37" t="s">
        <v>3629</v>
      </c>
      <c r="AF259" s="39" t="s">
        <v>3630</v>
      </c>
      <c r="AG259" s="37" t="s">
        <v>3631</v>
      </c>
      <c r="AH259" s="37" t="s">
        <v>3632</v>
      </c>
    </row>
    <row r="260" spans="1:34" ht="14.45" hidden="1" customHeight="1" x14ac:dyDescent="0.3">
      <c r="A260" s="6" t="s">
        <v>141</v>
      </c>
      <c r="B260" s="7">
        <v>40148</v>
      </c>
      <c r="C260" s="6" t="s">
        <v>140</v>
      </c>
      <c r="D260" s="6" t="s">
        <v>132</v>
      </c>
      <c r="E260" s="6" t="s">
        <v>133</v>
      </c>
      <c r="F260" s="6" t="s">
        <v>3229</v>
      </c>
      <c r="G260" s="8">
        <v>1.1806179999999999</v>
      </c>
      <c r="H260" s="8">
        <v>7.6409099999999999</v>
      </c>
      <c r="I260" s="6" t="s">
        <v>2525</v>
      </c>
      <c r="J260" s="6" t="s">
        <v>2459</v>
      </c>
      <c r="K260" s="6" t="s">
        <v>2460</v>
      </c>
      <c r="L260" s="6"/>
      <c r="M260" s="6"/>
      <c r="N260" s="6" t="s">
        <v>3268</v>
      </c>
      <c r="O260" s="6" t="s">
        <v>40</v>
      </c>
      <c r="P260" s="6" t="str">
        <f>VLOOKUP(Tableau1[[#This Row],[SITES NAMES]],[1]Feuil1!$1:$1048576,8,FALSE)</f>
        <v>OK</v>
      </c>
      <c r="Q260" s="6" t="str">
        <f>VLOOKUP(Tableau1[[#This Row],[SITES NAMES]],[1]Feuil1!$1:$1048576,9,FALSE)</f>
        <v>NO</v>
      </c>
      <c r="R260" s="6" t="str">
        <f>VLOOKUP(Tableau1[[#This Row],[SITES NAMES]],[1]Feuil1!$1:$1048576,10,FALSE)</f>
        <v>NO</v>
      </c>
      <c r="S260" s="6" t="s">
        <v>2469</v>
      </c>
      <c r="T260" s="6" t="s">
        <v>2470</v>
      </c>
      <c r="U260" s="6" t="s">
        <v>2480</v>
      </c>
      <c r="V260" s="6" t="s">
        <v>2472</v>
      </c>
      <c r="W260" s="6" t="s">
        <v>2473</v>
      </c>
      <c r="X260" s="8" t="s">
        <v>2526</v>
      </c>
      <c r="Y260" s="6" t="s">
        <v>3238</v>
      </c>
      <c r="Z260" s="6" t="s">
        <v>3258</v>
      </c>
      <c r="AA260" s="37" t="s">
        <v>3643</v>
      </c>
      <c r="AB260" s="39" t="s">
        <v>3644</v>
      </c>
      <c r="AC260" s="37" t="s">
        <v>3645</v>
      </c>
      <c r="AD260" s="39" t="s">
        <v>3646</v>
      </c>
      <c r="AE260" s="39" t="s">
        <v>3647</v>
      </c>
      <c r="AF260" s="39" t="s">
        <v>3648</v>
      </c>
      <c r="AG260" s="37" t="s">
        <v>3649</v>
      </c>
      <c r="AH260" s="37" t="s">
        <v>3650</v>
      </c>
    </row>
    <row r="261" spans="1:34" ht="14.45" hidden="1" customHeight="1" x14ac:dyDescent="0.3">
      <c r="A261" s="6" t="s">
        <v>939</v>
      </c>
      <c r="B261" s="7">
        <v>39445</v>
      </c>
      <c r="C261" s="6" t="s">
        <v>938</v>
      </c>
      <c r="D261" s="6" t="s">
        <v>657</v>
      </c>
      <c r="E261" s="6" t="s">
        <v>3235</v>
      </c>
      <c r="F261" s="18" t="s">
        <v>3230</v>
      </c>
      <c r="G261" s="8">
        <v>1.214083333</v>
      </c>
      <c r="H261" s="8">
        <v>9.4414083150000003</v>
      </c>
      <c r="I261" s="6" t="s">
        <v>2486</v>
      </c>
      <c r="J261" s="6" t="s">
        <v>2459</v>
      </c>
      <c r="K261" s="6" t="s">
        <v>2460</v>
      </c>
      <c r="L261" s="6"/>
      <c r="M261" s="6"/>
      <c r="N261" s="6" t="s">
        <v>3268</v>
      </c>
      <c r="O261" s="6" t="s">
        <v>7</v>
      </c>
      <c r="P261" s="6" t="str">
        <f>VLOOKUP(Tableau1[[#This Row],[SITES NAMES]],[1]Feuil1!$1:$1048576,8,FALSE)</f>
        <v>NOK</v>
      </c>
      <c r="Q261" s="6" t="str">
        <f>VLOOKUP(Tableau1[[#This Row],[SITES NAMES]],[1]Feuil1!$1:$1048576,9,FALSE)</f>
        <v>NO</v>
      </c>
      <c r="R261" s="6" t="str">
        <f>VLOOKUP(Tableau1[[#This Row],[SITES NAMES]],[1]Feuil1!$1:$1048576,10,FALSE)</f>
        <v>NO</v>
      </c>
      <c r="S261" s="6" t="s">
        <v>2469</v>
      </c>
      <c r="T261" s="6" t="s">
        <v>2470</v>
      </c>
      <c r="U261" s="6" t="s">
        <v>2480</v>
      </c>
      <c r="V261" s="6" t="s">
        <v>2464</v>
      </c>
      <c r="W261" s="6" t="s">
        <v>2465</v>
      </c>
      <c r="X261" s="8" t="s">
        <v>2815</v>
      </c>
      <c r="Y261" s="6" t="s">
        <v>3239</v>
      </c>
      <c r="Z261" s="6" t="s">
        <v>3253</v>
      </c>
      <c r="AA261" s="37" t="s">
        <v>3698</v>
      </c>
      <c r="AB261" s="38" t="s">
        <v>3683</v>
      </c>
      <c r="AC261" s="39" t="s">
        <v>3699</v>
      </c>
      <c r="AD261" s="39" t="s">
        <v>3700</v>
      </c>
      <c r="AE261" s="37" t="s">
        <v>3701</v>
      </c>
      <c r="AF261" s="39" t="s">
        <v>3702</v>
      </c>
      <c r="AG261" s="40" t="s">
        <v>3685</v>
      </c>
      <c r="AH261" s="37" t="s">
        <v>3703</v>
      </c>
    </row>
    <row r="262" spans="1:34" ht="14.45" hidden="1" customHeight="1" x14ac:dyDescent="0.25">
      <c r="A262" s="6" t="s">
        <v>1765</v>
      </c>
      <c r="B262" s="7">
        <v>41974</v>
      </c>
      <c r="C262" s="6" t="s">
        <v>1764</v>
      </c>
      <c r="D262" s="6" t="s">
        <v>66</v>
      </c>
      <c r="E262" s="6" t="s">
        <v>3234</v>
      </c>
      <c r="F262" s="6" t="s">
        <v>3229</v>
      </c>
      <c r="G262" s="8">
        <v>1.168416667</v>
      </c>
      <c r="H262" s="8">
        <v>6.1731388889999996</v>
      </c>
      <c r="I262" s="6" t="s">
        <v>2497</v>
      </c>
      <c r="J262" s="6" t="s">
        <v>2459</v>
      </c>
      <c r="K262" s="6" t="s">
        <v>2460</v>
      </c>
      <c r="L262" s="6"/>
      <c r="M262" s="6"/>
      <c r="N262" s="6" t="s">
        <v>3268</v>
      </c>
      <c r="O262" s="6" t="s">
        <v>7</v>
      </c>
      <c r="P262" s="6" t="str">
        <f>VLOOKUP(Tableau1[[#This Row],[SITES NAMES]],[1]Feuil1!$1:$1048576,8,FALSE)</f>
        <v>OK</v>
      </c>
      <c r="Q262" s="6" t="str">
        <f>VLOOKUP(Tableau1[[#This Row],[SITES NAMES]],[1]Feuil1!$1:$1048576,9,FALSE)</f>
        <v>NO</v>
      </c>
      <c r="R262" s="6" t="str">
        <f>VLOOKUP(Tableau1[[#This Row],[SITES NAMES]],[1]Feuil1!$1:$1048576,10,FALSE)</f>
        <v>NO</v>
      </c>
      <c r="S262" s="6" t="s">
        <v>2469</v>
      </c>
      <c r="T262" s="6" t="s">
        <v>2470</v>
      </c>
      <c r="U262" s="6" t="s">
        <v>2480</v>
      </c>
      <c r="V262" s="6" t="s">
        <v>2478</v>
      </c>
      <c r="W262" s="6" t="s">
        <v>2476</v>
      </c>
      <c r="X262" s="8" t="s">
        <v>3020</v>
      </c>
      <c r="Y262" s="6" t="s">
        <v>3238</v>
      </c>
      <c r="Z262" s="6" t="s">
        <v>3265</v>
      </c>
      <c r="AA262" s="35" t="s">
        <v>3607</v>
      </c>
      <c r="AB262" s="35" t="s">
        <v>3608</v>
      </c>
      <c r="AC262" s="35" t="s">
        <v>3614</v>
      </c>
      <c r="AD262" s="35" t="s">
        <v>3610</v>
      </c>
      <c r="AE262" s="35" t="s">
        <v>3610</v>
      </c>
      <c r="AF262" s="35" t="s">
        <v>3611</v>
      </c>
      <c r="AG262" s="35" t="s">
        <v>3612</v>
      </c>
      <c r="AH262" s="35" t="s">
        <v>3615</v>
      </c>
    </row>
    <row r="263" spans="1:34" ht="14.45" hidden="1" customHeight="1" x14ac:dyDescent="0.25">
      <c r="A263" s="6" t="s">
        <v>1728</v>
      </c>
      <c r="B263" s="7">
        <v>46022</v>
      </c>
      <c r="C263" s="6" t="s">
        <v>1727</v>
      </c>
      <c r="D263" s="6" t="s">
        <v>66</v>
      </c>
      <c r="E263" s="6" t="s">
        <v>3234</v>
      </c>
      <c r="F263" s="6" t="s">
        <v>3229</v>
      </c>
      <c r="G263" s="8">
        <v>1.1672389999999999</v>
      </c>
      <c r="H263" s="8">
        <v>6.1784039999999996</v>
      </c>
      <c r="I263" s="15" t="s">
        <v>2475</v>
      </c>
      <c r="J263" s="6" t="s">
        <v>2459</v>
      </c>
      <c r="K263" s="6" t="s">
        <v>2468</v>
      </c>
      <c r="L263" s="6"/>
      <c r="M263" s="6"/>
      <c r="N263" s="6" t="s">
        <v>2468</v>
      </c>
      <c r="O263" s="6" t="s">
        <v>7</v>
      </c>
      <c r="P263" s="6"/>
      <c r="Q263" s="6"/>
      <c r="R263" s="6"/>
      <c r="S263" s="6"/>
      <c r="T263" s="6"/>
      <c r="U263" s="6"/>
      <c r="V263" s="6"/>
      <c r="W263" s="6"/>
      <c r="X263" s="8"/>
      <c r="Y263" s="6" t="s">
        <v>3238</v>
      </c>
      <c r="Z263" s="6" t="s">
        <v>3265</v>
      </c>
      <c r="AA263" s="35" t="s">
        <v>3607</v>
      </c>
      <c r="AB263" s="35" t="s">
        <v>3608</v>
      </c>
      <c r="AC263" s="35" t="s">
        <v>3614</v>
      </c>
      <c r="AD263" s="35" t="s">
        <v>3610</v>
      </c>
      <c r="AE263" s="35" t="s">
        <v>3610</v>
      </c>
      <c r="AF263" s="35" t="s">
        <v>3611</v>
      </c>
      <c r="AG263" s="35" t="s">
        <v>3612</v>
      </c>
      <c r="AH263" s="35" t="s">
        <v>3615</v>
      </c>
    </row>
    <row r="264" spans="1:34" ht="14.45" hidden="1" customHeight="1" x14ac:dyDescent="0.3">
      <c r="A264" s="6" t="s">
        <v>1060</v>
      </c>
      <c r="B264" s="7">
        <v>41609</v>
      </c>
      <c r="C264" s="6" t="s">
        <v>1059</v>
      </c>
      <c r="D264" s="6" t="s">
        <v>5</v>
      </c>
      <c r="E264" s="6" t="s">
        <v>1003</v>
      </c>
      <c r="F264" s="6" t="s">
        <v>3229</v>
      </c>
      <c r="G264" s="8">
        <v>0.66591100000000003</v>
      </c>
      <c r="H264" s="8">
        <v>7.3330919999999997</v>
      </c>
      <c r="I264" s="6" t="s">
        <v>2477</v>
      </c>
      <c r="J264" s="6" t="s">
        <v>2459</v>
      </c>
      <c r="K264" s="6" t="s">
        <v>2468</v>
      </c>
      <c r="L264" s="6"/>
      <c r="M264" s="6"/>
      <c r="N264" s="6" t="s">
        <v>2468</v>
      </c>
      <c r="O264" s="6" t="s">
        <v>40</v>
      </c>
      <c r="P264" s="6" t="str">
        <f>VLOOKUP(Tableau1[[#This Row],[SITES NAMES]],[1]Feuil1!$1:$1048576,8,FALSE)</f>
        <v>OK</v>
      </c>
      <c r="Q264" s="6" t="str">
        <f>VLOOKUP(Tableau1[[#This Row],[SITES NAMES]],[1]Feuil1!$1:$1048576,9,FALSE)</f>
        <v>NO</v>
      </c>
      <c r="R264" s="6" t="str">
        <f>VLOOKUP(Tableau1[[#This Row],[SITES NAMES]],[1]Feuil1!$1:$1048576,10,FALSE)</f>
        <v>YES</v>
      </c>
      <c r="S264" s="6" t="s">
        <v>2469</v>
      </c>
      <c r="T264" s="6" t="s">
        <v>2470</v>
      </c>
      <c r="U264" s="6" t="s">
        <v>2480</v>
      </c>
      <c r="V264" s="6" t="s">
        <v>2472</v>
      </c>
      <c r="W264" s="6" t="s">
        <v>2473</v>
      </c>
      <c r="X264" s="8" t="s">
        <v>2854</v>
      </c>
      <c r="Y264" s="6" t="s">
        <v>3241</v>
      </c>
      <c r="Z264" s="6"/>
      <c r="AA264" s="37" t="s">
        <v>3634</v>
      </c>
      <c r="AB264" s="38" t="s">
        <v>3627</v>
      </c>
      <c r="AC264" s="37" t="s">
        <v>3635</v>
      </c>
      <c r="AD264" s="37" t="s">
        <v>3636</v>
      </c>
      <c r="AE264" s="37" t="s">
        <v>3637</v>
      </c>
      <c r="AF264" s="37" t="s">
        <v>3636</v>
      </c>
      <c r="AG264" s="37" t="s">
        <v>3638</v>
      </c>
      <c r="AH264" s="37" t="s">
        <v>3639</v>
      </c>
    </row>
    <row r="265" spans="1:34" ht="14.45" hidden="1" customHeight="1" x14ac:dyDescent="0.3">
      <c r="A265" s="6" t="s">
        <v>2079</v>
      </c>
      <c r="B265" s="7">
        <v>43720</v>
      </c>
      <c r="C265" s="6" t="s">
        <v>2078</v>
      </c>
      <c r="D265" s="6" t="s">
        <v>132</v>
      </c>
      <c r="E265" s="6" t="s">
        <v>2049</v>
      </c>
      <c r="F265" s="6" t="s">
        <v>3229</v>
      </c>
      <c r="G265" s="8">
        <v>1.1008599999999999</v>
      </c>
      <c r="H265" s="8">
        <v>6.7930099999999998</v>
      </c>
      <c r="I265" s="6" t="s">
        <v>2477</v>
      </c>
      <c r="J265" s="6" t="s">
        <v>2459</v>
      </c>
      <c r="K265" s="6" t="s">
        <v>2468</v>
      </c>
      <c r="L265" s="6" t="s">
        <v>3373</v>
      </c>
      <c r="M265" s="6"/>
      <c r="N265" s="6" t="s">
        <v>2468</v>
      </c>
      <c r="O265" s="6" t="s">
        <v>40</v>
      </c>
      <c r="P265" s="6" t="str">
        <f>VLOOKUP(Tableau1[[#This Row],[SITES NAMES]],[1]Feuil1!$1:$1048576,8,FALSE)</f>
        <v>OK</v>
      </c>
      <c r="Q265" s="6" t="str">
        <f>VLOOKUP(Tableau1[[#This Row],[SITES NAMES]],[1]Feuil1!$1:$1048576,9,FALSE)</f>
        <v>NO</v>
      </c>
      <c r="R265" s="6" t="str">
        <f>VLOOKUP(Tableau1[[#This Row],[SITES NAMES]],[1]Feuil1!$1:$1048576,10,FALSE)</f>
        <v>NO</v>
      </c>
      <c r="S265" s="6" t="s">
        <v>2469</v>
      </c>
      <c r="T265" s="6" t="s">
        <v>2470</v>
      </c>
      <c r="U265" s="6" t="s">
        <v>2480</v>
      </c>
      <c r="V265" s="6" t="s">
        <v>2472</v>
      </c>
      <c r="W265" s="6" t="s">
        <v>2473</v>
      </c>
      <c r="X265" s="8" t="s">
        <v>3106</v>
      </c>
      <c r="Y265" s="6" t="s">
        <v>3238</v>
      </c>
      <c r="Z265" s="6" t="s">
        <v>3257</v>
      </c>
      <c r="AA265" s="45" t="s">
        <v>3656</v>
      </c>
      <c r="AB265" s="39" t="s">
        <v>3644</v>
      </c>
      <c r="AC265" s="45" t="s">
        <v>3657</v>
      </c>
      <c r="AD265" s="37" t="s">
        <v>3658</v>
      </c>
      <c r="AE265" s="37" t="s">
        <v>3647</v>
      </c>
      <c r="AF265" s="39" t="s">
        <v>3648</v>
      </c>
      <c r="AG265" s="37" t="s">
        <v>3649</v>
      </c>
      <c r="AH265" s="37" t="s">
        <v>3659</v>
      </c>
    </row>
    <row r="266" spans="1:34" ht="14.45" hidden="1" customHeight="1" x14ac:dyDescent="0.3">
      <c r="A266" s="6" t="s">
        <v>2081</v>
      </c>
      <c r="B266" s="7">
        <v>44672</v>
      </c>
      <c r="C266" s="6" t="s">
        <v>2080</v>
      </c>
      <c r="D266" s="6" t="s">
        <v>132</v>
      </c>
      <c r="E266" s="6" t="s">
        <v>2049</v>
      </c>
      <c r="F266" s="6" t="s">
        <v>3229</v>
      </c>
      <c r="G266" s="8">
        <v>1.2393669899999999</v>
      </c>
      <c r="H266" s="8">
        <v>7.0607329959999996</v>
      </c>
      <c r="I266" s="6" t="s">
        <v>2477</v>
      </c>
      <c r="J266" s="6" t="s">
        <v>2459</v>
      </c>
      <c r="K266" s="6" t="s">
        <v>2468</v>
      </c>
      <c r="L266" s="6" t="s">
        <v>2059</v>
      </c>
      <c r="M266" s="6"/>
      <c r="N266" s="6" t="s">
        <v>2468</v>
      </c>
      <c r="O266" s="6" t="s">
        <v>40</v>
      </c>
      <c r="P266" s="6" t="str">
        <f>VLOOKUP(Tableau1[[#This Row],[SITES NAMES]],[1]Feuil1!$1:$1048576,8,FALSE)</f>
        <v>OK</v>
      </c>
      <c r="Q266" s="6" t="str">
        <f>VLOOKUP(Tableau1[[#This Row],[SITES NAMES]],[1]Feuil1!$1:$1048576,9,FALSE)</f>
        <v>NO</v>
      </c>
      <c r="R266" s="6" t="str">
        <f>VLOOKUP(Tableau1[[#This Row],[SITES NAMES]],[1]Feuil1!$1:$1048576,10,FALSE)</f>
        <v>YES</v>
      </c>
      <c r="S266" s="6" t="s">
        <v>2461</v>
      </c>
      <c r="T266" s="6" t="s">
        <v>2462</v>
      </c>
      <c r="U266" s="6" t="s">
        <v>2463</v>
      </c>
      <c r="V266" s="6" t="s">
        <v>2472</v>
      </c>
      <c r="W266" s="6" t="s">
        <v>2473</v>
      </c>
      <c r="X266" s="8" t="s">
        <v>3107</v>
      </c>
      <c r="Y266" s="6" t="s">
        <v>3238</v>
      </c>
      <c r="Z266" s="6" t="s">
        <v>3257</v>
      </c>
      <c r="AA266" s="45" t="s">
        <v>3656</v>
      </c>
      <c r="AB266" s="39" t="s">
        <v>3644</v>
      </c>
      <c r="AC266" s="45" t="s">
        <v>3657</v>
      </c>
      <c r="AD266" s="37" t="s">
        <v>3658</v>
      </c>
      <c r="AE266" s="37" t="s">
        <v>3647</v>
      </c>
      <c r="AF266" s="39" t="s">
        <v>3648</v>
      </c>
      <c r="AG266" s="37" t="s">
        <v>3649</v>
      </c>
      <c r="AH266" s="37" t="s">
        <v>3659</v>
      </c>
    </row>
    <row r="267" spans="1:34" ht="14.45" hidden="1" customHeight="1" x14ac:dyDescent="0.3">
      <c r="A267" s="6" t="s">
        <v>200</v>
      </c>
      <c r="B267" s="7">
        <v>44852</v>
      </c>
      <c r="C267" s="6" t="s">
        <v>199</v>
      </c>
      <c r="D267" s="6" t="s">
        <v>132</v>
      </c>
      <c r="E267" s="6" t="s">
        <v>133</v>
      </c>
      <c r="F267" s="6" t="s">
        <v>3229</v>
      </c>
      <c r="G267" s="8">
        <v>1.4196169999999999</v>
      </c>
      <c r="H267" s="8">
        <v>7.58725</v>
      </c>
      <c r="I267" s="6" t="s">
        <v>2477</v>
      </c>
      <c r="J267" s="6" t="s">
        <v>2459</v>
      </c>
      <c r="K267" s="6" t="s">
        <v>2468</v>
      </c>
      <c r="L267" s="6" t="s">
        <v>3374</v>
      </c>
      <c r="M267" s="6"/>
      <c r="N267" s="6" t="s">
        <v>2468</v>
      </c>
      <c r="O267" s="6" t="s">
        <v>40</v>
      </c>
      <c r="P267" s="6" t="str">
        <f>VLOOKUP(Tableau1[[#This Row],[SITES NAMES]],[1]Feuil1!$1:$1048576,8,FALSE)</f>
        <v>OK</v>
      </c>
      <c r="Q267" s="6" t="str">
        <f>VLOOKUP(Tableau1[[#This Row],[SITES NAMES]],[1]Feuil1!$1:$1048576,9,FALSE)</f>
        <v>NO</v>
      </c>
      <c r="R267" s="6" t="str">
        <f>VLOOKUP(Tableau1[[#This Row],[SITES NAMES]],[1]Feuil1!$1:$1048576,10,FALSE)</f>
        <v>YES</v>
      </c>
      <c r="S267" s="6" t="s">
        <v>2461</v>
      </c>
      <c r="T267" s="6" t="s">
        <v>2462</v>
      </c>
      <c r="U267" s="6" t="s">
        <v>2463</v>
      </c>
      <c r="V267" s="6" t="s">
        <v>2472</v>
      </c>
      <c r="W267" s="6" t="s">
        <v>2473</v>
      </c>
      <c r="X267" s="8" t="s">
        <v>2543</v>
      </c>
      <c r="Y267" s="6" t="s">
        <v>3238</v>
      </c>
      <c r="Z267" s="6" t="s">
        <v>3258</v>
      </c>
      <c r="AA267" s="37" t="s">
        <v>3643</v>
      </c>
      <c r="AB267" s="39" t="s">
        <v>3644</v>
      </c>
      <c r="AC267" s="37" t="s">
        <v>3645</v>
      </c>
      <c r="AD267" s="39" t="s">
        <v>3646</v>
      </c>
      <c r="AE267" s="39" t="s">
        <v>3647</v>
      </c>
      <c r="AF267" s="39" t="s">
        <v>3648</v>
      </c>
      <c r="AG267" s="37" t="s">
        <v>3649</v>
      </c>
      <c r="AH267" s="37" t="s">
        <v>3650</v>
      </c>
    </row>
    <row r="268" spans="1:34" ht="14.45" hidden="1" customHeight="1" x14ac:dyDescent="0.3">
      <c r="A268" s="6" t="s">
        <v>1062</v>
      </c>
      <c r="B268" s="7">
        <v>45044</v>
      </c>
      <c r="C268" s="6" t="s">
        <v>1061</v>
      </c>
      <c r="D268" s="6" t="s">
        <v>5</v>
      </c>
      <c r="E268" s="6" t="s">
        <v>1003</v>
      </c>
      <c r="F268" s="6" t="s">
        <v>3229</v>
      </c>
      <c r="G268" s="8">
        <v>0.85777000000000003</v>
      </c>
      <c r="H268" s="8">
        <v>7.2405999999999997</v>
      </c>
      <c r="I268" s="6" t="s">
        <v>2477</v>
      </c>
      <c r="J268" s="6" t="s">
        <v>2459</v>
      </c>
      <c r="K268" s="6" t="s">
        <v>2468</v>
      </c>
      <c r="L268" s="6" t="s">
        <v>3375</v>
      </c>
      <c r="M268" s="6"/>
      <c r="N268" s="6" t="s">
        <v>2468</v>
      </c>
      <c r="O268" s="6" t="s">
        <v>994</v>
      </c>
      <c r="P268" s="6"/>
      <c r="Q268" s="6" t="str">
        <f>VLOOKUP(Tableau1[[#This Row],[SITES NAMES]],[1]Feuil1!$1:$1048576,9,FALSE)</f>
        <v>NO</v>
      </c>
      <c r="R268" s="6" t="str">
        <f>VLOOKUP(Tableau1[[#This Row],[SITES NAMES]],[1]Feuil1!$1:$1048576,10,FALSE)</f>
        <v>YES</v>
      </c>
      <c r="S268" s="6" t="s">
        <v>2461</v>
      </c>
      <c r="T268" s="6" t="s">
        <v>2462</v>
      </c>
      <c r="U268" s="6" t="s">
        <v>2463</v>
      </c>
      <c r="V268" s="6" t="s">
        <v>2472</v>
      </c>
      <c r="W268" s="6" t="s">
        <v>2473</v>
      </c>
      <c r="X268" s="8">
        <v>70997367</v>
      </c>
      <c r="Y268" s="6" t="s">
        <v>3241</v>
      </c>
      <c r="Z268" s="6"/>
      <c r="AA268" s="37" t="s">
        <v>3634</v>
      </c>
      <c r="AB268" s="38" t="s">
        <v>3627</v>
      </c>
      <c r="AC268" s="37" t="s">
        <v>3635</v>
      </c>
      <c r="AD268" s="37" t="s">
        <v>3636</v>
      </c>
      <c r="AE268" s="37" t="s">
        <v>3637</v>
      </c>
      <c r="AF268" s="37" t="s">
        <v>3636</v>
      </c>
      <c r="AG268" s="37" t="s">
        <v>3638</v>
      </c>
      <c r="AH268" s="37" t="s">
        <v>3639</v>
      </c>
    </row>
    <row r="269" spans="1:34" ht="14.45" hidden="1" customHeight="1" x14ac:dyDescent="0.3">
      <c r="A269" s="6" t="s">
        <v>489</v>
      </c>
      <c r="B269" s="7">
        <v>45029</v>
      </c>
      <c r="C269" s="6" t="s">
        <v>488</v>
      </c>
      <c r="D269" s="6" t="s">
        <v>395</v>
      </c>
      <c r="E269" s="6" t="s">
        <v>396</v>
      </c>
      <c r="F269" s="6" t="s">
        <v>3229</v>
      </c>
      <c r="G269" s="8">
        <v>0.31363000000000002</v>
      </c>
      <c r="H269" s="8">
        <v>10.82405</v>
      </c>
      <c r="I269" s="16" t="s">
        <v>2477</v>
      </c>
      <c r="J269" s="6" t="s">
        <v>2459</v>
      </c>
      <c r="K269" s="6" t="s">
        <v>2468</v>
      </c>
      <c r="L269" s="6" t="s">
        <v>560</v>
      </c>
      <c r="M269" s="6"/>
      <c r="N269" s="6" t="s">
        <v>2468</v>
      </c>
      <c r="O269" s="6" t="s">
        <v>40</v>
      </c>
      <c r="P269" s="6" t="str">
        <f>VLOOKUP(Tableau1[[#This Row],[SITES NAMES]],[1]Feuil1!$1:$1048576,8,FALSE)</f>
        <v>OK</v>
      </c>
      <c r="Q269" s="6" t="str">
        <f>VLOOKUP(Tableau1[[#This Row],[SITES NAMES]],[1]Feuil1!$1:$1048576,9,FALSE)</f>
        <v>NO</v>
      </c>
      <c r="R269" s="6" t="str">
        <f>VLOOKUP(Tableau1[[#This Row],[SITES NAMES]],[1]Feuil1!$1:$1048576,10,FALSE)</f>
        <v>NO</v>
      </c>
      <c r="S269" s="6" t="s">
        <v>2461</v>
      </c>
      <c r="T269" s="6" t="s">
        <v>2470</v>
      </c>
      <c r="U269" s="6" t="s">
        <v>2463</v>
      </c>
      <c r="V269" s="6" t="s">
        <v>2472</v>
      </c>
      <c r="W269" s="6" t="s">
        <v>2473</v>
      </c>
      <c r="X269" s="8"/>
      <c r="Y269" s="6" t="s">
        <v>3240</v>
      </c>
      <c r="Z269" s="6" t="s">
        <v>3255</v>
      </c>
      <c r="AA269" s="37" t="s">
        <v>3704</v>
      </c>
      <c r="AB269" s="39" t="s">
        <v>3705</v>
      </c>
      <c r="AC269" s="37" t="s">
        <v>3706</v>
      </c>
      <c r="AD269" s="37" t="s">
        <v>3707</v>
      </c>
      <c r="AE269" s="37" t="s">
        <v>3708</v>
      </c>
      <c r="AF269" s="37" t="s">
        <v>3709</v>
      </c>
      <c r="AG269" s="46" t="s">
        <v>3710</v>
      </c>
      <c r="AH269" s="37" t="s">
        <v>3711</v>
      </c>
    </row>
    <row r="270" spans="1:34" ht="14.45" hidden="1" customHeight="1" x14ac:dyDescent="0.3">
      <c r="A270" s="6" t="s">
        <v>636</v>
      </c>
      <c r="B270" s="7">
        <v>40609</v>
      </c>
      <c r="C270" s="6" t="s">
        <v>635</v>
      </c>
      <c r="D270" s="6" t="s">
        <v>132</v>
      </c>
      <c r="E270" s="6" t="s">
        <v>565</v>
      </c>
      <c r="F270" s="6" t="s">
        <v>3229</v>
      </c>
      <c r="G270" s="8">
        <v>1.53399</v>
      </c>
      <c r="H270" s="8">
        <v>8.1634700000000002</v>
      </c>
      <c r="I270" s="6" t="s">
        <v>2477</v>
      </c>
      <c r="J270" s="6" t="s">
        <v>2459</v>
      </c>
      <c r="K270" s="6" t="s">
        <v>2468</v>
      </c>
      <c r="L270" s="6" t="s">
        <v>654</v>
      </c>
      <c r="M270" s="6"/>
      <c r="N270" s="6" t="s">
        <v>2468</v>
      </c>
      <c r="O270" s="6" t="s">
        <v>40</v>
      </c>
      <c r="P270" s="6" t="str">
        <f>VLOOKUP(Tableau1[[#This Row],[SITES NAMES]],[1]Feuil1!$1:$1048576,8,FALSE)</f>
        <v>OK</v>
      </c>
      <c r="Q270" s="6" t="str">
        <f>VLOOKUP(Tableau1[[#This Row],[SITES NAMES]],[1]Feuil1!$1:$1048576,9,FALSE)</f>
        <v>NO</v>
      </c>
      <c r="R270" s="6" t="str">
        <f>VLOOKUP(Tableau1[[#This Row],[SITES NAMES]],[1]Feuil1!$1:$1048576,10,FALSE)</f>
        <v>NO</v>
      </c>
      <c r="S270" s="6" t="s">
        <v>2469</v>
      </c>
      <c r="T270" s="6" t="s">
        <v>2470</v>
      </c>
      <c r="U270" s="6" t="s">
        <v>2471</v>
      </c>
      <c r="V270" s="6" t="s">
        <v>2464</v>
      </c>
      <c r="W270" s="6" t="s">
        <v>2473</v>
      </c>
      <c r="X270" s="8" t="s">
        <v>2705</v>
      </c>
      <c r="Y270" s="6" t="s">
        <v>3238</v>
      </c>
      <c r="Z270" s="6" t="s">
        <v>3254</v>
      </c>
      <c r="AA270" s="37" t="s">
        <v>3660</v>
      </c>
      <c r="AB270" s="39" t="s">
        <v>3644</v>
      </c>
      <c r="AC270" s="37" t="s">
        <v>3661</v>
      </c>
      <c r="AD270" s="39" t="s">
        <v>3646</v>
      </c>
      <c r="AE270" s="39" t="s">
        <v>3647</v>
      </c>
      <c r="AF270" s="39" t="s">
        <v>3662</v>
      </c>
      <c r="AG270" s="37" t="s">
        <v>3649</v>
      </c>
      <c r="AH270" s="37" t="s">
        <v>3663</v>
      </c>
    </row>
    <row r="271" spans="1:34" ht="14.45" hidden="1" customHeight="1" x14ac:dyDescent="0.3">
      <c r="A271" s="6" t="s">
        <v>2339</v>
      </c>
      <c r="B271" s="7">
        <v>41040</v>
      </c>
      <c r="C271" s="6" t="s">
        <v>2338</v>
      </c>
      <c r="D271" s="6" t="s">
        <v>5</v>
      </c>
      <c r="E271" s="6" t="s">
        <v>2333</v>
      </c>
      <c r="F271" s="6" t="s">
        <v>3229</v>
      </c>
      <c r="G271" s="8">
        <v>0.98480800000000002</v>
      </c>
      <c r="H271" s="8">
        <v>6.3721769999999998</v>
      </c>
      <c r="I271" s="6" t="s">
        <v>2477</v>
      </c>
      <c r="J271" s="6" t="s">
        <v>2459</v>
      </c>
      <c r="K271" s="6" t="s">
        <v>2460</v>
      </c>
      <c r="L271" s="6"/>
      <c r="M271" s="6"/>
      <c r="N271" s="6" t="s">
        <v>3268</v>
      </c>
      <c r="O271" s="6" t="s">
        <v>7</v>
      </c>
      <c r="P271" s="6" t="str">
        <f>VLOOKUP(Tableau1[[#This Row],[SITES NAMES]],[1]Feuil1!$1:$1048576,8,FALSE)</f>
        <v>OK</v>
      </c>
      <c r="Q271" s="6" t="str">
        <f>VLOOKUP(Tableau1[[#This Row],[SITES NAMES]],[1]Feuil1!$1:$1048576,9,FALSE)</f>
        <v>NO</v>
      </c>
      <c r="R271" s="6" t="str">
        <f>VLOOKUP(Tableau1[[#This Row],[SITES NAMES]],[1]Feuil1!$1:$1048576,10,FALSE)</f>
        <v>NO</v>
      </c>
      <c r="S271" s="6" t="s">
        <v>2469</v>
      </c>
      <c r="T271" s="6" t="s">
        <v>2470</v>
      </c>
      <c r="U271" s="6" t="s">
        <v>2480</v>
      </c>
      <c r="V271" s="6" t="s">
        <v>2464</v>
      </c>
      <c r="W271" s="6" t="s">
        <v>2473</v>
      </c>
      <c r="X271" s="8" t="s">
        <v>3201</v>
      </c>
      <c r="Y271" s="6" t="s">
        <v>3241</v>
      </c>
      <c r="Z271" t="e">
        <f>VLOOKUP(Tableau1[[#This Row],[SITES NAMES]],#REF!,3,FALSE)</f>
        <v>#REF!</v>
      </c>
      <c r="AA271" s="37"/>
      <c r="AB271" s="38" t="s">
        <v>3627</v>
      </c>
      <c r="AC271" s="37" t="s">
        <v>3640</v>
      </c>
      <c r="AD271" s="39" t="s">
        <v>3641</v>
      </c>
      <c r="AE271" s="37"/>
      <c r="AF271" s="39" t="s">
        <v>3641</v>
      </c>
      <c r="AG271" s="37"/>
      <c r="AH271" s="37" t="s">
        <v>3642</v>
      </c>
    </row>
    <row r="272" spans="1:34" ht="14.45" hidden="1" customHeight="1" x14ac:dyDescent="0.3">
      <c r="A272" s="6" t="s">
        <v>251</v>
      </c>
      <c r="B272" s="7">
        <v>0</v>
      </c>
      <c r="C272" s="6" t="s">
        <v>290</v>
      </c>
      <c r="D272" s="6" t="s">
        <v>132</v>
      </c>
      <c r="E272" s="6" t="s">
        <v>251</v>
      </c>
      <c r="F272" s="6" t="s">
        <v>3229</v>
      </c>
      <c r="G272" s="8">
        <v>0.60033999999999998</v>
      </c>
      <c r="H272" s="8">
        <v>7.5814500000000002</v>
      </c>
      <c r="I272" s="6" t="s">
        <v>2475</v>
      </c>
      <c r="J272" s="6" t="s">
        <v>2459</v>
      </c>
      <c r="K272" s="6" t="s">
        <v>2460</v>
      </c>
      <c r="L272" s="6"/>
      <c r="M272" s="6"/>
      <c r="N272" s="6" t="s">
        <v>3268</v>
      </c>
      <c r="O272" s="6" t="s">
        <v>291</v>
      </c>
      <c r="P272" s="6" t="str">
        <f>VLOOKUP(Tableau1[[#This Row],[SITES NAMES]],[1]Feuil1!$1:$1048576,8,FALSE)</f>
        <v>OK</v>
      </c>
      <c r="Q272" s="6" t="str">
        <f>VLOOKUP(Tableau1[[#This Row],[SITES NAMES]],[1]Feuil1!$1:$1048576,9,FALSE)</f>
        <v>NO</v>
      </c>
      <c r="R272" s="6" t="str">
        <f>VLOOKUP(Tableau1[[#This Row],[SITES NAMES]],[1]Feuil1!$1:$1048576,10,FALSE)</f>
        <v>YES</v>
      </c>
      <c r="S272" s="6" t="s">
        <v>2461</v>
      </c>
      <c r="T272" s="6" t="s">
        <v>2462</v>
      </c>
      <c r="U272" s="6" t="s">
        <v>2463</v>
      </c>
      <c r="V272" s="6" t="s">
        <v>2464</v>
      </c>
      <c r="W272" s="6" t="s">
        <v>2476</v>
      </c>
      <c r="X272" s="8" t="s">
        <v>2579</v>
      </c>
      <c r="Y272" s="6" t="s">
        <v>3238</v>
      </c>
      <c r="Z272" s="6" t="s">
        <v>3256</v>
      </c>
      <c r="AA272" s="37" t="s">
        <v>3651</v>
      </c>
      <c r="AB272" s="39" t="s">
        <v>3644</v>
      </c>
      <c r="AC272" s="45" t="s">
        <v>3652</v>
      </c>
      <c r="AD272" s="39" t="s">
        <v>3646</v>
      </c>
      <c r="AE272" s="37" t="s">
        <v>3653</v>
      </c>
      <c r="AF272" s="37" t="s">
        <v>3654</v>
      </c>
      <c r="AG272" s="37" t="s">
        <v>3649</v>
      </c>
      <c r="AH272" s="37" t="s">
        <v>3655</v>
      </c>
    </row>
    <row r="273" spans="1:34" ht="14.45" hidden="1" customHeight="1" x14ac:dyDescent="0.3">
      <c r="A273" s="6" t="s">
        <v>250</v>
      </c>
      <c r="B273" s="7">
        <v>45066</v>
      </c>
      <c r="C273" s="6" t="s">
        <v>249</v>
      </c>
      <c r="D273" s="6" t="s">
        <v>132</v>
      </c>
      <c r="E273" s="6" t="s">
        <v>251</v>
      </c>
      <c r="F273" s="6" t="s">
        <v>3229</v>
      </c>
      <c r="G273" s="8">
        <v>0.610006618</v>
      </c>
      <c r="H273" s="8">
        <v>7.58519231</v>
      </c>
      <c r="I273" s="6" t="s">
        <v>2479</v>
      </c>
      <c r="J273" s="6" t="s">
        <v>2459</v>
      </c>
      <c r="K273" s="6" t="s">
        <v>2460</v>
      </c>
      <c r="L273" s="6" t="s">
        <v>3376</v>
      </c>
      <c r="M273" s="6"/>
      <c r="N273" s="6" t="s">
        <v>3268</v>
      </c>
      <c r="O273" s="6" t="s">
        <v>7</v>
      </c>
      <c r="P273" s="6" t="str">
        <f>VLOOKUP(Tableau1[[#This Row],[SITES NAMES]],[1]Feuil1!$1:$1048576,8,FALSE)</f>
        <v>OK</v>
      </c>
      <c r="Q273" s="6" t="str">
        <f>VLOOKUP(Tableau1[[#This Row],[SITES NAMES]],[1]Feuil1!$1:$1048576,9,FALSE)</f>
        <v>NO</v>
      </c>
      <c r="R273" s="6" t="str">
        <f>VLOOKUP(Tableau1[[#This Row],[SITES NAMES]],[1]Feuil1!$1:$1048576,10,FALSE)</f>
        <v>YES</v>
      </c>
      <c r="S273" s="6" t="s">
        <v>2461</v>
      </c>
      <c r="T273" s="6" t="s">
        <v>2462</v>
      </c>
      <c r="U273" s="6" t="s">
        <v>2463</v>
      </c>
      <c r="V273" s="6" t="s">
        <v>2478</v>
      </c>
      <c r="W273" s="6" t="s">
        <v>2465</v>
      </c>
      <c r="X273" s="8"/>
      <c r="Y273" s="6" t="s">
        <v>3238</v>
      </c>
      <c r="Z273" s="6" t="s">
        <v>3256</v>
      </c>
      <c r="AA273" s="37" t="s">
        <v>3651</v>
      </c>
      <c r="AB273" s="39" t="s">
        <v>3644</v>
      </c>
      <c r="AC273" s="45" t="s">
        <v>3652</v>
      </c>
      <c r="AD273" s="39" t="s">
        <v>3646</v>
      </c>
      <c r="AE273" s="37" t="s">
        <v>3653</v>
      </c>
      <c r="AF273" s="37" t="s">
        <v>3654</v>
      </c>
      <c r="AG273" s="37" t="s">
        <v>3649</v>
      </c>
      <c r="AH273" s="37" t="s">
        <v>3655</v>
      </c>
    </row>
    <row r="274" spans="1:34" ht="14.45" hidden="1" customHeight="1" x14ac:dyDescent="0.3">
      <c r="A274" s="6" t="s">
        <v>24</v>
      </c>
      <c r="B274" s="7">
        <v>41345</v>
      </c>
      <c r="C274" s="6" t="s">
        <v>23</v>
      </c>
      <c r="D274" s="6" t="s">
        <v>5</v>
      </c>
      <c r="E274" s="6" t="s">
        <v>6</v>
      </c>
      <c r="F274" s="6" t="s">
        <v>3229</v>
      </c>
      <c r="G274" s="8">
        <v>1.5146120000000001</v>
      </c>
      <c r="H274" s="8">
        <v>6.2395800000000001</v>
      </c>
      <c r="I274" s="6" t="s">
        <v>2477</v>
      </c>
      <c r="J274" s="6" t="s">
        <v>2459</v>
      </c>
      <c r="K274" s="6" t="s">
        <v>2468</v>
      </c>
      <c r="L274" s="6" t="s">
        <v>3377</v>
      </c>
      <c r="M274" s="6"/>
      <c r="N274" s="6" t="s">
        <v>2468</v>
      </c>
      <c r="O274" s="6" t="s">
        <v>7</v>
      </c>
      <c r="P274" s="6" t="str">
        <f>VLOOKUP(Tableau1[[#This Row],[SITES NAMES]],[1]Feuil1!$1:$1048576,8,FALSE)</f>
        <v>NOK</v>
      </c>
      <c r="Q274" s="6" t="str">
        <f>VLOOKUP(Tableau1[[#This Row],[SITES NAMES]],[1]Feuil1!$1:$1048576,9,FALSE)</f>
        <v>NO</v>
      </c>
      <c r="R274" s="6" t="str">
        <f>VLOOKUP(Tableau1[[#This Row],[SITES NAMES]],[1]Feuil1!$1:$1048576,10,FALSE)</f>
        <v>NO</v>
      </c>
      <c r="S274" s="6" t="s">
        <v>2469</v>
      </c>
      <c r="T274" s="6" t="s">
        <v>2470</v>
      </c>
      <c r="U274" s="6" t="s">
        <v>2471</v>
      </c>
      <c r="V274" s="6" t="s">
        <v>2472</v>
      </c>
      <c r="W274" s="6" t="s">
        <v>2473</v>
      </c>
      <c r="X274" s="8" t="s">
        <v>2485</v>
      </c>
      <c r="Y274" s="6" t="s">
        <v>3241</v>
      </c>
      <c r="Z274" t="e">
        <f>VLOOKUP(Tableau1[[#This Row],[SITES NAMES]],#REF!,3,FALSE)</f>
        <v>#REF!</v>
      </c>
      <c r="AA274" s="37" t="s">
        <v>3626</v>
      </c>
      <c r="AB274" s="38" t="s">
        <v>3627</v>
      </c>
      <c r="AC274" s="37" t="s">
        <v>3633</v>
      </c>
      <c r="AD274" s="37" t="s">
        <v>3628</v>
      </c>
      <c r="AE274" s="37" t="s">
        <v>3629</v>
      </c>
      <c r="AF274" s="39" t="s">
        <v>3630</v>
      </c>
      <c r="AG274" s="37" t="s">
        <v>3631</v>
      </c>
      <c r="AH274" s="37" t="s">
        <v>3632</v>
      </c>
    </row>
    <row r="275" spans="1:34" ht="14.45" hidden="1" customHeight="1" x14ac:dyDescent="0.3">
      <c r="A275" s="6" t="s">
        <v>255</v>
      </c>
      <c r="B275" s="7">
        <v>40878</v>
      </c>
      <c r="C275" s="6" t="s">
        <v>254</v>
      </c>
      <c r="D275" s="6" t="s">
        <v>132</v>
      </c>
      <c r="E275" s="6" t="s">
        <v>251</v>
      </c>
      <c r="F275" s="6" t="s">
        <v>3229</v>
      </c>
      <c r="G275" s="8">
        <v>0.60626000000000002</v>
      </c>
      <c r="H275" s="8">
        <v>7.6025799999999997</v>
      </c>
      <c r="I275" s="6" t="s">
        <v>2525</v>
      </c>
      <c r="J275" s="6" t="s">
        <v>2459</v>
      </c>
      <c r="K275" s="6" t="s">
        <v>2460</v>
      </c>
      <c r="L275" s="6"/>
      <c r="M275" s="6"/>
      <c r="N275" s="6" t="s">
        <v>3268</v>
      </c>
      <c r="O275" s="6" t="s">
        <v>7</v>
      </c>
      <c r="P275" s="6" t="str">
        <f>VLOOKUP(Tableau1[[#This Row],[SITES NAMES]],[1]Feuil1!$1:$1048576,8,FALSE)</f>
        <v>NOK</v>
      </c>
      <c r="Q275" s="6" t="str">
        <f>VLOOKUP(Tableau1[[#This Row],[SITES NAMES]],[1]Feuil1!$1:$1048576,9,FALSE)</f>
        <v>NO</v>
      </c>
      <c r="R275" s="6" t="str">
        <f>VLOOKUP(Tableau1[[#This Row],[SITES NAMES]],[1]Feuil1!$1:$1048576,10,FALSE)</f>
        <v>NO</v>
      </c>
      <c r="S275" s="6" t="s">
        <v>2469</v>
      </c>
      <c r="T275" s="6" t="s">
        <v>2470</v>
      </c>
      <c r="U275" s="6" t="s">
        <v>2480</v>
      </c>
      <c r="V275" s="6" t="s">
        <v>2472</v>
      </c>
      <c r="W275" s="6" t="s">
        <v>2476</v>
      </c>
      <c r="X275" s="8" t="s">
        <v>2568</v>
      </c>
      <c r="Y275" s="6" t="s">
        <v>3238</v>
      </c>
      <c r="Z275" s="6" t="s">
        <v>3256</v>
      </c>
      <c r="AA275" s="37" t="s">
        <v>3651</v>
      </c>
      <c r="AB275" s="39" t="s">
        <v>3644</v>
      </c>
      <c r="AC275" s="45" t="s">
        <v>3652</v>
      </c>
      <c r="AD275" s="39" t="s">
        <v>3646</v>
      </c>
      <c r="AE275" s="37" t="s">
        <v>3653</v>
      </c>
      <c r="AF275" s="37" t="s">
        <v>3654</v>
      </c>
      <c r="AG275" s="37" t="s">
        <v>3649</v>
      </c>
      <c r="AH275" s="37" t="s">
        <v>3655</v>
      </c>
    </row>
    <row r="276" spans="1:34" ht="14.45" hidden="1" customHeight="1" x14ac:dyDescent="0.3">
      <c r="A276" s="6" t="s">
        <v>941</v>
      </c>
      <c r="B276" s="7">
        <v>0</v>
      </c>
      <c r="C276" s="6" t="s">
        <v>940</v>
      </c>
      <c r="D276" s="6" t="s">
        <v>657</v>
      </c>
      <c r="E276" s="6" t="s">
        <v>3235</v>
      </c>
      <c r="F276" s="6" t="s">
        <v>3229</v>
      </c>
      <c r="G276" s="8">
        <v>1.2478</v>
      </c>
      <c r="H276" s="8">
        <v>9.3476400000000002</v>
      </c>
      <c r="I276" s="14" t="s">
        <v>2475</v>
      </c>
      <c r="J276" s="6" t="s">
        <v>2459</v>
      </c>
      <c r="K276" s="6" t="s">
        <v>2460</v>
      </c>
      <c r="L276" s="6"/>
      <c r="M276" s="6"/>
      <c r="N276" s="6" t="s">
        <v>3268</v>
      </c>
      <c r="O276" s="6" t="s">
        <v>7</v>
      </c>
      <c r="P276" s="6" t="str">
        <f>VLOOKUP(Tableau1[[#This Row],[SITES NAMES]],[1]Feuil1!$1:$1048576,8,FALSE)</f>
        <v>NOK</v>
      </c>
      <c r="Q276" s="6" t="str">
        <f>VLOOKUP(Tableau1[[#This Row],[SITES NAMES]],[1]Feuil1!$1:$1048576,9,FALSE)</f>
        <v>NO</v>
      </c>
      <c r="R276" s="6" t="str">
        <f>VLOOKUP(Tableau1[[#This Row],[SITES NAMES]],[1]Feuil1!$1:$1048576,10,FALSE)</f>
        <v>NO</v>
      </c>
      <c r="S276" s="6" t="s">
        <v>2461</v>
      </c>
      <c r="T276" s="6" t="s">
        <v>2462</v>
      </c>
      <c r="U276" s="6" t="s">
        <v>2463</v>
      </c>
      <c r="V276" s="6" t="s">
        <v>2464</v>
      </c>
      <c r="W276" s="6" t="s">
        <v>2476</v>
      </c>
      <c r="X276" s="8" t="s">
        <v>2816</v>
      </c>
      <c r="Y276" s="6" t="s">
        <v>3239</v>
      </c>
      <c r="Z276" s="6" t="s">
        <v>3253</v>
      </c>
      <c r="AA276" s="37" t="s">
        <v>3698</v>
      </c>
      <c r="AB276" s="38" t="s">
        <v>3683</v>
      </c>
      <c r="AC276" s="39" t="s">
        <v>3699</v>
      </c>
      <c r="AD276" s="39" t="s">
        <v>3700</v>
      </c>
      <c r="AE276" s="37" t="s">
        <v>3701</v>
      </c>
      <c r="AF276" s="39" t="s">
        <v>3702</v>
      </c>
      <c r="AG276" s="40" t="s">
        <v>3685</v>
      </c>
      <c r="AH276" s="37" t="s">
        <v>3703</v>
      </c>
    </row>
    <row r="277" spans="1:34" ht="14.45" hidden="1" customHeight="1" x14ac:dyDescent="0.3">
      <c r="A277" s="6" t="s">
        <v>943</v>
      </c>
      <c r="B277" s="7">
        <v>45112</v>
      </c>
      <c r="C277" s="6" t="s">
        <v>942</v>
      </c>
      <c r="D277" s="6" t="s">
        <v>657</v>
      </c>
      <c r="E277" s="6" t="s">
        <v>3235</v>
      </c>
      <c r="F277" s="6" t="s">
        <v>3229</v>
      </c>
      <c r="G277" s="8">
        <v>1.2381800000000001</v>
      </c>
      <c r="H277" s="8">
        <v>9.35534</v>
      </c>
      <c r="I277" s="14" t="s">
        <v>2479</v>
      </c>
      <c r="J277" s="6" t="s">
        <v>2459</v>
      </c>
      <c r="K277" s="6" t="s">
        <v>2460</v>
      </c>
      <c r="L277" s="6"/>
      <c r="M277" s="6"/>
      <c r="N277" s="6" t="s">
        <v>3268</v>
      </c>
      <c r="O277" s="6" t="s">
        <v>7</v>
      </c>
      <c r="P277" s="6" t="str">
        <f>VLOOKUP(Tableau1[[#This Row],[SITES NAMES]],[1]Feuil1!$1:$1048576,8,FALSE)</f>
        <v>OK</v>
      </c>
      <c r="Q277" s="6" t="str">
        <f>VLOOKUP(Tableau1[[#This Row],[SITES NAMES]],[1]Feuil1!$1:$1048576,9,FALSE)</f>
        <v>NO</v>
      </c>
      <c r="R277" s="6" t="str">
        <f>VLOOKUP(Tableau1[[#This Row],[SITES NAMES]],[1]Feuil1!$1:$1048576,10,FALSE)</f>
        <v>NO</v>
      </c>
      <c r="S277" s="6" t="s">
        <v>2461</v>
      </c>
      <c r="T277" s="6" t="s">
        <v>2462</v>
      </c>
      <c r="U277" s="6" t="s">
        <v>2463</v>
      </c>
      <c r="V277" s="6" t="s">
        <v>2464</v>
      </c>
      <c r="W277" s="6" t="s">
        <v>2476</v>
      </c>
      <c r="X277" s="8"/>
      <c r="Y277" s="6" t="s">
        <v>3239</v>
      </c>
      <c r="Z277" s="6" t="s">
        <v>3253</v>
      </c>
      <c r="AA277" s="37" t="s">
        <v>3698</v>
      </c>
      <c r="AB277" s="38" t="s">
        <v>3683</v>
      </c>
      <c r="AC277" s="39" t="s">
        <v>3699</v>
      </c>
      <c r="AD277" s="39" t="s">
        <v>3700</v>
      </c>
      <c r="AE277" s="37" t="s">
        <v>3701</v>
      </c>
      <c r="AF277" s="39" t="s">
        <v>3702</v>
      </c>
      <c r="AG277" s="40" t="s">
        <v>3685</v>
      </c>
      <c r="AH277" s="37" t="s">
        <v>3703</v>
      </c>
    </row>
    <row r="278" spans="1:34" ht="14.45" hidden="1" customHeight="1" x14ac:dyDescent="0.3">
      <c r="A278" s="6" t="s">
        <v>945</v>
      </c>
      <c r="B278" s="7">
        <v>0</v>
      </c>
      <c r="C278" s="6" t="s">
        <v>944</v>
      </c>
      <c r="D278" s="6" t="s">
        <v>657</v>
      </c>
      <c r="E278" s="6" t="s">
        <v>3235</v>
      </c>
      <c r="F278" s="6" t="s">
        <v>3229</v>
      </c>
      <c r="G278" s="8">
        <v>1.2495799999999999</v>
      </c>
      <c r="H278" s="8">
        <v>9.3597300000000008</v>
      </c>
      <c r="I278" s="6" t="s">
        <v>2475</v>
      </c>
      <c r="J278" s="6" t="s">
        <v>2459</v>
      </c>
      <c r="K278" s="6" t="s">
        <v>2460</v>
      </c>
      <c r="L278" s="6"/>
      <c r="M278" s="6"/>
      <c r="N278" s="6" t="s">
        <v>3268</v>
      </c>
      <c r="O278" s="6" t="s">
        <v>7</v>
      </c>
      <c r="P278" s="6" t="str">
        <f>VLOOKUP(Tableau1[[#This Row],[SITES NAMES]],[1]Feuil1!$1:$1048576,8,FALSE)</f>
        <v>NOK</v>
      </c>
      <c r="Q278" s="6" t="str">
        <f>VLOOKUP(Tableau1[[#This Row],[SITES NAMES]],[1]Feuil1!$1:$1048576,9,FALSE)</f>
        <v>NO</v>
      </c>
      <c r="R278" s="6" t="str">
        <f>VLOOKUP(Tableau1[[#This Row],[SITES NAMES]],[1]Feuil1!$1:$1048576,10,FALSE)</f>
        <v>NO</v>
      </c>
      <c r="S278" s="6" t="s">
        <v>2461</v>
      </c>
      <c r="T278" s="6" t="s">
        <v>2462</v>
      </c>
      <c r="U278" s="6" t="s">
        <v>2463</v>
      </c>
      <c r="V278" s="6" t="s">
        <v>2464</v>
      </c>
      <c r="W278" s="6" t="s">
        <v>2476</v>
      </c>
      <c r="X278" s="8">
        <v>70996682</v>
      </c>
      <c r="Y278" s="6" t="s">
        <v>3239</v>
      </c>
      <c r="Z278" s="6" t="s">
        <v>3253</v>
      </c>
      <c r="AA278" s="37" t="s">
        <v>3698</v>
      </c>
      <c r="AB278" s="38" t="s">
        <v>3683</v>
      </c>
      <c r="AC278" s="39" t="s">
        <v>3699</v>
      </c>
      <c r="AD278" s="39" t="s">
        <v>3700</v>
      </c>
      <c r="AE278" s="37" t="s">
        <v>3701</v>
      </c>
      <c r="AF278" s="39" t="s">
        <v>3702</v>
      </c>
      <c r="AG278" s="40" t="s">
        <v>3685</v>
      </c>
      <c r="AH278" s="37" t="s">
        <v>3703</v>
      </c>
    </row>
    <row r="279" spans="1:34" ht="14.45" hidden="1" customHeight="1" x14ac:dyDescent="0.3">
      <c r="A279" s="6" t="s">
        <v>919</v>
      </c>
      <c r="B279" s="7">
        <v>46022</v>
      </c>
      <c r="C279" s="6" t="s">
        <v>918</v>
      </c>
      <c r="D279" s="6" t="s">
        <v>657</v>
      </c>
      <c r="E279" s="6" t="s">
        <v>3235</v>
      </c>
      <c r="F279" s="6" t="s">
        <v>3229</v>
      </c>
      <c r="G279" s="8">
        <v>1.256926</v>
      </c>
      <c r="H279" s="8">
        <v>9.3558730000000008</v>
      </c>
      <c r="I279" s="15" t="s">
        <v>3227</v>
      </c>
      <c r="J279" s="6" t="s">
        <v>2459</v>
      </c>
      <c r="K279" s="6" t="s">
        <v>2468</v>
      </c>
      <c r="L279" s="6"/>
      <c r="M279" s="6"/>
      <c r="N279" s="6" t="s">
        <v>2468</v>
      </c>
      <c r="O279" s="6" t="s">
        <v>7</v>
      </c>
      <c r="P279" s="6"/>
      <c r="Q279" s="6"/>
      <c r="R279" s="6"/>
      <c r="S279" s="6"/>
      <c r="T279" s="6"/>
      <c r="U279" s="6"/>
      <c r="V279" s="6"/>
      <c r="W279" s="6"/>
      <c r="X279" s="8"/>
      <c r="Y279" s="6" t="s">
        <v>3239</v>
      </c>
      <c r="Z279" s="6" t="s">
        <v>3253</v>
      </c>
      <c r="AA279" s="37" t="s">
        <v>3698</v>
      </c>
      <c r="AB279" s="38" t="s">
        <v>3683</v>
      </c>
      <c r="AC279" s="39" t="s">
        <v>3699</v>
      </c>
      <c r="AD279" s="39" t="s">
        <v>3700</v>
      </c>
      <c r="AE279" s="37" t="s">
        <v>3701</v>
      </c>
      <c r="AF279" s="39" t="s">
        <v>3702</v>
      </c>
      <c r="AG279" s="40" t="s">
        <v>3685</v>
      </c>
      <c r="AH279" s="37" t="s">
        <v>3703</v>
      </c>
    </row>
    <row r="280" spans="1:34" ht="14.45" hidden="1" customHeight="1" x14ac:dyDescent="0.3">
      <c r="A280" s="6" t="s">
        <v>833</v>
      </c>
      <c r="B280" s="7">
        <v>41572</v>
      </c>
      <c r="C280" s="6" t="s">
        <v>832</v>
      </c>
      <c r="D280" s="6" t="s">
        <v>657</v>
      </c>
      <c r="E280" s="6" t="s">
        <v>3237</v>
      </c>
      <c r="F280" s="6" t="s">
        <v>3229</v>
      </c>
      <c r="G280" s="8">
        <v>1.0972222220000001</v>
      </c>
      <c r="H280" s="8">
        <v>9.8026388890000007</v>
      </c>
      <c r="I280" s="6" t="s">
        <v>2486</v>
      </c>
      <c r="J280" s="6" t="s">
        <v>2459</v>
      </c>
      <c r="K280" s="6" t="s">
        <v>2460</v>
      </c>
      <c r="L280" s="6"/>
      <c r="M280" s="6"/>
      <c r="N280" s="6" t="s">
        <v>3268</v>
      </c>
      <c r="O280" s="6" t="s">
        <v>7</v>
      </c>
      <c r="P280" s="6" t="str">
        <f>VLOOKUP(Tableau1[[#This Row],[SITES NAMES]],[1]Feuil1!$1:$1048576,8,FALSE)</f>
        <v>NOK</v>
      </c>
      <c r="Q280" s="6" t="str">
        <f>VLOOKUP(Tableau1[[#This Row],[SITES NAMES]],[1]Feuil1!$1:$1048576,9,FALSE)</f>
        <v>NO</v>
      </c>
      <c r="R280" s="6" t="str">
        <f>VLOOKUP(Tableau1[[#This Row],[SITES NAMES]],[1]Feuil1!$1:$1048576,10,FALSE)</f>
        <v>NO</v>
      </c>
      <c r="S280" s="6" t="s">
        <v>2461</v>
      </c>
      <c r="T280" s="6" t="s">
        <v>2462</v>
      </c>
      <c r="U280" s="6" t="s">
        <v>2463</v>
      </c>
      <c r="V280" s="6" t="s">
        <v>2472</v>
      </c>
      <c r="W280" s="6" t="s">
        <v>2465</v>
      </c>
      <c r="X280" s="8" t="s">
        <v>2780</v>
      </c>
      <c r="Y280" s="6" t="s">
        <v>3239</v>
      </c>
      <c r="Z280" s="6" t="s">
        <v>3253</v>
      </c>
      <c r="AA280" s="37" t="s">
        <v>3692</v>
      </c>
      <c r="AB280" s="38" t="s">
        <v>3683</v>
      </c>
      <c r="AC280" s="39" t="s">
        <v>3693</v>
      </c>
      <c r="AD280" s="39" t="s">
        <v>3694</v>
      </c>
      <c r="AE280" s="37" t="s">
        <v>3695</v>
      </c>
      <c r="AF280" s="39" t="s">
        <v>3696</v>
      </c>
      <c r="AG280" s="40" t="s">
        <v>3685</v>
      </c>
      <c r="AH280" s="37" t="s">
        <v>3697</v>
      </c>
    </row>
    <row r="281" spans="1:34" ht="14.45" hidden="1" customHeight="1" x14ac:dyDescent="0.3">
      <c r="A281" s="6" t="s">
        <v>678</v>
      </c>
      <c r="B281" s="7">
        <v>38626</v>
      </c>
      <c r="C281" s="6" t="s">
        <v>677</v>
      </c>
      <c r="D281" s="6" t="s">
        <v>657</v>
      </c>
      <c r="E281" s="6" t="s">
        <v>658</v>
      </c>
      <c r="F281" s="6" t="s">
        <v>3229</v>
      </c>
      <c r="G281" s="8">
        <v>0.69333</v>
      </c>
      <c r="H281" s="8">
        <v>9.0626300000000004</v>
      </c>
      <c r="I281" s="6" t="s">
        <v>2477</v>
      </c>
      <c r="J281" s="6" t="s">
        <v>2459</v>
      </c>
      <c r="K281" s="6" t="s">
        <v>2460</v>
      </c>
      <c r="L281" s="6" t="s">
        <v>2223</v>
      </c>
      <c r="M281" s="6"/>
      <c r="N281" s="6" t="s">
        <v>3268</v>
      </c>
      <c r="O281" s="6" t="s">
        <v>40</v>
      </c>
      <c r="P281" s="6" t="str">
        <f>VLOOKUP(Tableau1[[#This Row],[SITES NAMES]],[1]Feuil1!$1:$1048576,8,FALSE)</f>
        <v>OK</v>
      </c>
      <c r="Q281" s="6" t="str">
        <f>VLOOKUP(Tableau1[[#This Row],[SITES NAMES]],[1]Feuil1!$1:$1048576,9,FALSE)</f>
        <v>NO</v>
      </c>
      <c r="R281" s="6" t="str">
        <f>VLOOKUP(Tableau1[[#This Row],[SITES NAMES]],[1]Feuil1!$1:$1048576,10,FALSE)</f>
        <v>NO</v>
      </c>
      <c r="S281" s="6" t="s">
        <v>2461</v>
      </c>
      <c r="T281" s="6" t="s">
        <v>2462</v>
      </c>
      <c r="U281" s="6" t="s">
        <v>2463</v>
      </c>
      <c r="V281" s="6" t="s">
        <v>2464</v>
      </c>
      <c r="W281" s="6" t="s">
        <v>2473</v>
      </c>
      <c r="X281" s="8" t="s">
        <v>2722</v>
      </c>
      <c r="Y281" s="6" t="s">
        <v>3239</v>
      </c>
      <c r="Z281" s="6" t="s">
        <v>3253</v>
      </c>
      <c r="AA281" s="38" t="s">
        <v>3682</v>
      </c>
      <c r="AB281" s="38" t="s">
        <v>3683</v>
      </c>
      <c r="AC281" s="38" t="s">
        <v>3684</v>
      </c>
      <c r="AD281" s="38" t="s">
        <v>3682</v>
      </c>
      <c r="AE281" s="38" t="s">
        <v>3682</v>
      </c>
      <c r="AF281" s="38" t="s">
        <v>3682</v>
      </c>
      <c r="AG281" s="40" t="s">
        <v>3685</v>
      </c>
      <c r="AH281" s="37" t="s">
        <v>3686</v>
      </c>
    </row>
    <row r="282" spans="1:34" ht="14.45" hidden="1" customHeight="1" x14ac:dyDescent="0.3">
      <c r="A282" s="6" t="s">
        <v>2276</v>
      </c>
      <c r="B282" s="7">
        <v>39457</v>
      </c>
      <c r="C282" s="6" t="s">
        <v>2275</v>
      </c>
      <c r="D282" s="6" t="s">
        <v>320</v>
      </c>
      <c r="E282" s="6" t="s">
        <v>2274</v>
      </c>
      <c r="F282" s="6" t="s">
        <v>3229</v>
      </c>
      <c r="G282" s="8">
        <v>1.40361</v>
      </c>
      <c r="H282" s="8">
        <v>8.5172899999999991</v>
      </c>
      <c r="I282" s="6" t="s">
        <v>2477</v>
      </c>
      <c r="J282" s="6" t="s">
        <v>2459</v>
      </c>
      <c r="K282" s="6" t="s">
        <v>2460</v>
      </c>
      <c r="L282" s="6" t="s">
        <v>2143</v>
      </c>
      <c r="M282" s="6"/>
      <c r="N282" s="6" t="s">
        <v>3268</v>
      </c>
      <c r="O282" s="6" t="s">
        <v>40</v>
      </c>
      <c r="P282" s="6" t="str">
        <f>VLOOKUP(Tableau1[[#This Row],[SITES NAMES]],[1]Feuil1!$1:$1048576,8,FALSE)</f>
        <v>OK</v>
      </c>
      <c r="Q282" s="6" t="str">
        <f>VLOOKUP(Tableau1[[#This Row],[SITES NAMES]],[1]Feuil1!$1:$1048576,9,FALSE)</f>
        <v>NO</v>
      </c>
      <c r="R282" s="6" t="str">
        <f>VLOOKUP(Tableau1[[#This Row],[SITES NAMES]],[1]Feuil1!$1:$1048576,10,FALSE)</f>
        <v>NO</v>
      </c>
      <c r="S282" s="6" t="s">
        <v>2461</v>
      </c>
      <c r="T282" s="6" t="s">
        <v>2462</v>
      </c>
      <c r="U282" s="6" t="s">
        <v>2463</v>
      </c>
      <c r="V282" s="6" t="s">
        <v>2464</v>
      </c>
      <c r="W282" s="6" t="s">
        <v>2473</v>
      </c>
      <c r="X282" s="8" t="s">
        <v>3178</v>
      </c>
      <c r="Y282" s="6" t="s">
        <v>3238</v>
      </c>
      <c r="Z282" s="6" t="s">
        <v>3254</v>
      </c>
      <c r="AA282" s="37" t="s">
        <v>3678</v>
      </c>
      <c r="AB282" s="39" t="s">
        <v>3665</v>
      </c>
      <c r="AC282" s="37" t="s">
        <v>3679</v>
      </c>
      <c r="AD282" s="37" t="s">
        <v>3678</v>
      </c>
      <c r="AE282" s="37" t="s">
        <v>3680</v>
      </c>
      <c r="AF282" s="39" t="s">
        <v>3676</v>
      </c>
      <c r="AG282" s="37" t="s">
        <v>3670</v>
      </c>
      <c r="AH282" s="37" t="s">
        <v>3681</v>
      </c>
    </row>
    <row r="283" spans="1:34" ht="14.45" hidden="1" customHeight="1" x14ac:dyDescent="0.3">
      <c r="A283" s="6" t="s">
        <v>416</v>
      </c>
      <c r="B283" s="7">
        <v>42122</v>
      </c>
      <c r="C283" s="6" t="s">
        <v>415</v>
      </c>
      <c r="D283" s="6" t="s">
        <v>395</v>
      </c>
      <c r="E283" s="6" t="s">
        <v>396</v>
      </c>
      <c r="F283" s="6" t="s">
        <v>3229</v>
      </c>
      <c r="G283" s="8">
        <v>0.71880599999999994</v>
      </c>
      <c r="H283" s="8">
        <v>10.883611</v>
      </c>
      <c r="I283" s="6" t="s">
        <v>2477</v>
      </c>
      <c r="J283" s="6" t="s">
        <v>2459</v>
      </c>
      <c r="K283" s="6" t="s">
        <v>2468</v>
      </c>
      <c r="L283" s="6" t="s">
        <v>3378</v>
      </c>
      <c r="M283" s="6"/>
      <c r="N283" s="6" t="s">
        <v>2468</v>
      </c>
      <c r="O283" s="6" t="s">
        <v>40</v>
      </c>
      <c r="P283" s="6" t="str">
        <f>VLOOKUP(Tableau1[[#This Row],[SITES NAMES]],[1]Feuil1!$1:$1048576,8,FALSE)</f>
        <v>NOK</v>
      </c>
      <c r="Q283" s="6" t="str">
        <f>VLOOKUP(Tableau1[[#This Row],[SITES NAMES]],[1]Feuil1!$1:$1048576,9,FALSE)</f>
        <v>NO</v>
      </c>
      <c r="R283" s="6" t="str">
        <f>VLOOKUP(Tableau1[[#This Row],[SITES NAMES]],[1]Feuil1!$1:$1048576,10,FALSE)</f>
        <v>NO</v>
      </c>
      <c r="S283" s="6" t="s">
        <v>2461</v>
      </c>
      <c r="T283" s="6" t="s">
        <v>2462</v>
      </c>
      <c r="U283" s="6" t="s">
        <v>2463</v>
      </c>
      <c r="V283" s="6" t="s">
        <v>2472</v>
      </c>
      <c r="W283" s="6" t="s">
        <v>2473</v>
      </c>
      <c r="X283" s="8" t="s">
        <v>2626</v>
      </c>
      <c r="Y283" s="6" t="s">
        <v>3240</v>
      </c>
      <c r="Z283" s="6" t="s">
        <v>3255</v>
      </c>
      <c r="AA283" s="37" t="s">
        <v>3704</v>
      </c>
      <c r="AB283" s="39" t="s">
        <v>3705</v>
      </c>
      <c r="AC283" s="37" t="s">
        <v>3706</v>
      </c>
      <c r="AD283" s="37" t="s">
        <v>3707</v>
      </c>
      <c r="AE283" s="37" t="s">
        <v>3708</v>
      </c>
      <c r="AF283" s="37" t="s">
        <v>3709</v>
      </c>
      <c r="AG283" s="46" t="s">
        <v>3710</v>
      </c>
      <c r="AH283" s="37" t="s">
        <v>3711</v>
      </c>
    </row>
    <row r="284" spans="1:34" ht="14.45" hidden="1" customHeight="1" x14ac:dyDescent="0.25">
      <c r="A284" s="6" t="s">
        <v>1372</v>
      </c>
      <c r="B284" s="7">
        <v>0</v>
      </c>
      <c r="C284" s="6" t="s">
        <v>1371</v>
      </c>
      <c r="D284" s="6" t="s">
        <v>66</v>
      </c>
      <c r="E284" s="6" t="s">
        <v>3231</v>
      </c>
      <c r="F284" s="6" t="s">
        <v>3229</v>
      </c>
      <c r="G284" s="8">
        <v>1.333164</v>
      </c>
      <c r="H284" s="8">
        <v>6.1781630920000001</v>
      </c>
      <c r="I284" s="6" t="s">
        <v>2486</v>
      </c>
      <c r="J284" s="6" t="s">
        <v>2459</v>
      </c>
      <c r="K284" s="6" t="s">
        <v>2460</v>
      </c>
      <c r="L284" s="6"/>
      <c r="M284" s="6"/>
      <c r="N284" s="6" t="s">
        <v>3268</v>
      </c>
      <c r="O284" s="6" t="s">
        <v>7</v>
      </c>
      <c r="P284" s="6" t="str">
        <f>VLOOKUP(Tableau1[[#This Row],[SITES NAMES]],[1]Feuil1!$1:$1048576,8,FALSE)</f>
        <v>OK</v>
      </c>
      <c r="Q284" s="6" t="str">
        <f>VLOOKUP(Tableau1[[#This Row],[SITES NAMES]],[1]Feuil1!$1:$1048576,9,FALSE)</f>
        <v>YES</v>
      </c>
      <c r="R284" s="6" t="str">
        <f>VLOOKUP(Tableau1[[#This Row],[SITES NAMES]],[1]Feuil1!$1:$1048576,10,FALSE)</f>
        <v>NO</v>
      </c>
      <c r="S284" s="6" t="s">
        <v>2469</v>
      </c>
      <c r="T284" s="6" t="s">
        <v>2470</v>
      </c>
      <c r="U284" s="6" t="s">
        <v>2480</v>
      </c>
      <c r="V284" s="6" t="s">
        <v>2464</v>
      </c>
      <c r="W284" s="6" t="s">
        <v>2476</v>
      </c>
      <c r="X284" s="8"/>
      <c r="Y284" s="6" t="s">
        <v>3238</v>
      </c>
      <c r="Z284" s="6"/>
      <c r="AA284" s="35" t="s">
        <v>3621</v>
      </c>
      <c r="AB284" s="35" t="s">
        <v>3608</v>
      </c>
      <c r="AC284" s="35" t="s">
        <v>3622</v>
      </c>
      <c r="AD284" s="35" t="s">
        <v>3610</v>
      </c>
      <c r="AE284" s="35" t="s">
        <v>3610</v>
      </c>
      <c r="AF284" s="35" t="s">
        <v>3611</v>
      </c>
      <c r="AG284" s="35" t="s">
        <v>3612</v>
      </c>
      <c r="AH284" s="35" t="s">
        <v>3623</v>
      </c>
    </row>
    <row r="285" spans="1:34" ht="14.45" hidden="1" customHeight="1" x14ac:dyDescent="0.25">
      <c r="A285" s="6" t="s">
        <v>1374</v>
      </c>
      <c r="B285" s="7">
        <v>39570</v>
      </c>
      <c r="C285" s="6" t="s">
        <v>1373</v>
      </c>
      <c r="D285" s="6" t="s">
        <v>66</v>
      </c>
      <c r="E285" s="6" t="s">
        <v>3231</v>
      </c>
      <c r="F285" s="6" t="s">
        <v>3229</v>
      </c>
      <c r="G285" s="8">
        <v>1.322678</v>
      </c>
      <c r="H285" s="8">
        <v>6.1761388750000004</v>
      </c>
      <c r="I285" s="6" t="s">
        <v>2497</v>
      </c>
      <c r="J285" s="6" t="s">
        <v>2459</v>
      </c>
      <c r="K285" s="6" t="s">
        <v>2460</v>
      </c>
      <c r="L285" s="6"/>
      <c r="M285" s="6"/>
      <c r="N285" s="6" t="s">
        <v>3268</v>
      </c>
      <c r="O285" s="6" t="s">
        <v>7</v>
      </c>
      <c r="P285" s="6" t="str">
        <f>VLOOKUP(Tableau1[[#This Row],[SITES NAMES]],[1]Feuil1!$1:$1048576,8,FALSE)</f>
        <v>OK</v>
      </c>
      <c r="Q285" s="6" t="str">
        <f>VLOOKUP(Tableau1[[#This Row],[SITES NAMES]],[1]Feuil1!$1:$1048576,9,FALSE)</f>
        <v>NO</v>
      </c>
      <c r="R285" s="6" t="str">
        <f>VLOOKUP(Tableau1[[#This Row],[SITES NAMES]],[1]Feuil1!$1:$1048576,10,FALSE)</f>
        <v>NO</v>
      </c>
      <c r="S285" s="6" t="s">
        <v>2461</v>
      </c>
      <c r="T285" s="6" t="s">
        <v>2462</v>
      </c>
      <c r="U285" s="6" t="s">
        <v>2463</v>
      </c>
      <c r="V285" s="6" t="s">
        <v>2478</v>
      </c>
      <c r="W285" s="6" t="s">
        <v>2476</v>
      </c>
      <c r="X285" s="8" t="s">
        <v>2934</v>
      </c>
      <c r="Y285" s="6" t="s">
        <v>3238</v>
      </c>
      <c r="Z285" s="6"/>
      <c r="AA285" s="35" t="s">
        <v>3621</v>
      </c>
      <c r="AB285" s="35" t="s">
        <v>3608</v>
      </c>
      <c r="AC285" s="35" t="s">
        <v>3622</v>
      </c>
      <c r="AD285" s="35" t="s">
        <v>3610</v>
      </c>
      <c r="AE285" s="35" t="s">
        <v>3610</v>
      </c>
      <c r="AF285" s="35" t="s">
        <v>3611</v>
      </c>
      <c r="AG285" s="35" t="s">
        <v>3612</v>
      </c>
      <c r="AH285" s="35" t="s">
        <v>3623</v>
      </c>
    </row>
    <row r="286" spans="1:34" ht="14.45" hidden="1" customHeight="1" x14ac:dyDescent="0.25">
      <c r="A286" s="6" t="s">
        <v>1314</v>
      </c>
      <c r="B286" s="7">
        <v>41445</v>
      </c>
      <c r="C286" s="6" t="s">
        <v>1313</v>
      </c>
      <c r="D286" s="6" t="s">
        <v>66</v>
      </c>
      <c r="E286" s="6" t="s">
        <v>3231</v>
      </c>
      <c r="F286" s="18" t="s">
        <v>3230</v>
      </c>
      <c r="G286" s="8">
        <v>1.338708</v>
      </c>
      <c r="H286" s="8">
        <v>6.1758889999999997</v>
      </c>
      <c r="I286" s="6" t="s">
        <v>2486</v>
      </c>
      <c r="J286" s="6" t="s">
        <v>2459</v>
      </c>
      <c r="K286" s="6" t="s">
        <v>2460</v>
      </c>
      <c r="L286" s="6"/>
      <c r="M286" s="6"/>
      <c r="N286" s="6" t="s">
        <v>3268</v>
      </c>
      <c r="O286" s="6" t="s">
        <v>7</v>
      </c>
      <c r="P286" s="6" t="str">
        <f>VLOOKUP(Tableau1[[#This Row],[SITES NAMES]],[1]Feuil1!$1:$1048576,8,FALSE)</f>
        <v>OK</v>
      </c>
      <c r="Q286" s="6" t="str">
        <f>VLOOKUP(Tableau1[[#This Row],[SITES NAMES]],[1]Feuil1!$1:$1048576,9,FALSE)</f>
        <v>NO</v>
      </c>
      <c r="R286" s="6" t="str">
        <f>VLOOKUP(Tableau1[[#This Row],[SITES NAMES]],[1]Feuil1!$1:$1048576,10,FALSE)</f>
        <v>NO</v>
      </c>
      <c r="S286" s="6" t="s">
        <v>2461</v>
      </c>
      <c r="T286" s="6" t="s">
        <v>2462</v>
      </c>
      <c r="U286" s="6" t="s">
        <v>2463</v>
      </c>
      <c r="V286" s="6" t="s">
        <v>2464</v>
      </c>
      <c r="W286" s="6" t="s">
        <v>2476</v>
      </c>
      <c r="X286" s="8" t="s">
        <v>2927</v>
      </c>
      <c r="Y286" s="6" t="s">
        <v>3238</v>
      </c>
      <c r="Z286" s="6"/>
      <c r="AA286" s="35" t="s">
        <v>3621</v>
      </c>
      <c r="AB286" s="35" t="s">
        <v>3608</v>
      </c>
      <c r="AC286" s="35" t="s">
        <v>3622</v>
      </c>
      <c r="AD286" s="35" t="s">
        <v>3610</v>
      </c>
      <c r="AE286" s="35" t="s">
        <v>3610</v>
      </c>
      <c r="AF286" s="35" t="s">
        <v>3611</v>
      </c>
      <c r="AG286" s="35" t="s">
        <v>3612</v>
      </c>
      <c r="AH286" s="35" t="s">
        <v>3623</v>
      </c>
    </row>
    <row r="287" spans="1:34" ht="14.45" hidden="1" customHeight="1" x14ac:dyDescent="0.25">
      <c r="A287" s="6" t="s">
        <v>1376</v>
      </c>
      <c r="B287" s="7">
        <v>41974</v>
      </c>
      <c r="C287" s="6" t="s">
        <v>1375</v>
      </c>
      <c r="D287" s="6" t="s">
        <v>66</v>
      </c>
      <c r="E287" s="6" t="s">
        <v>3231</v>
      </c>
      <c r="F287" s="6" t="s">
        <v>3229</v>
      </c>
      <c r="G287" s="8">
        <v>1.3280749999999999</v>
      </c>
      <c r="H287" s="8">
        <v>6.1690500000000004</v>
      </c>
      <c r="I287" s="6" t="s">
        <v>2497</v>
      </c>
      <c r="J287" s="6" t="s">
        <v>2459</v>
      </c>
      <c r="K287" s="6" t="s">
        <v>2460</v>
      </c>
      <c r="L287" s="6"/>
      <c r="M287" s="6"/>
      <c r="N287" s="6" t="s">
        <v>3268</v>
      </c>
      <c r="O287" s="6" t="s">
        <v>7</v>
      </c>
      <c r="P287" s="6" t="str">
        <f>VLOOKUP(Tableau1[[#This Row],[SITES NAMES]],[1]Feuil1!$1:$1048576,8,FALSE)</f>
        <v>OK</v>
      </c>
      <c r="Q287" s="6" t="str">
        <f>VLOOKUP(Tableau1[[#This Row],[SITES NAMES]],[1]Feuil1!$1:$1048576,9,FALSE)</f>
        <v>NO</v>
      </c>
      <c r="R287" s="6" t="str">
        <f>VLOOKUP(Tableau1[[#This Row],[SITES NAMES]],[1]Feuil1!$1:$1048576,10,FALSE)</f>
        <v>NO</v>
      </c>
      <c r="S287" s="6" t="s">
        <v>2461</v>
      </c>
      <c r="T287" s="6" t="s">
        <v>2462</v>
      </c>
      <c r="U287" s="6" t="s">
        <v>2463</v>
      </c>
      <c r="V287" s="6" t="s">
        <v>2478</v>
      </c>
      <c r="W287" s="6" t="s">
        <v>2476</v>
      </c>
      <c r="X287" s="8" t="s">
        <v>2935</v>
      </c>
      <c r="Y287" s="6" t="s">
        <v>3238</v>
      </c>
      <c r="Z287" s="6"/>
      <c r="AA287" s="35" t="s">
        <v>3621</v>
      </c>
      <c r="AB287" s="35" t="s">
        <v>3608</v>
      </c>
      <c r="AC287" s="35" t="s">
        <v>3622</v>
      </c>
      <c r="AD287" s="35" t="s">
        <v>3610</v>
      </c>
      <c r="AE287" s="35" t="s">
        <v>3610</v>
      </c>
      <c r="AF287" s="35" t="s">
        <v>3611</v>
      </c>
      <c r="AG287" s="35" t="s">
        <v>3612</v>
      </c>
      <c r="AH287" s="35" t="s">
        <v>3623</v>
      </c>
    </row>
    <row r="288" spans="1:34" ht="14.45" hidden="1" customHeight="1" x14ac:dyDescent="0.25">
      <c r="A288" s="6" t="s">
        <v>1378</v>
      </c>
      <c r="B288" s="7">
        <v>43440</v>
      </c>
      <c r="C288" s="6" t="s">
        <v>1377</v>
      </c>
      <c r="D288" s="6" t="s">
        <v>66</v>
      </c>
      <c r="E288" s="6" t="s">
        <v>3231</v>
      </c>
      <c r="F288" s="6" t="s">
        <v>3229</v>
      </c>
      <c r="G288" s="8">
        <v>1.346227778</v>
      </c>
      <c r="H288" s="8">
        <v>6.1733583330000004</v>
      </c>
      <c r="I288" s="6" t="s">
        <v>2497</v>
      </c>
      <c r="J288" s="6" t="s">
        <v>2459</v>
      </c>
      <c r="K288" s="6" t="s">
        <v>2460</v>
      </c>
      <c r="L288" s="6"/>
      <c r="M288" s="6"/>
      <c r="N288" s="6" t="s">
        <v>3268</v>
      </c>
      <c r="O288" s="6" t="s">
        <v>7</v>
      </c>
      <c r="P288" s="6" t="str">
        <f>VLOOKUP(Tableau1[[#This Row],[SITES NAMES]],[1]Feuil1!$1:$1048576,8,FALSE)</f>
        <v>OK</v>
      </c>
      <c r="Q288" s="6" t="str">
        <f>VLOOKUP(Tableau1[[#This Row],[SITES NAMES]],[1]Feuil1!$1:$1048576,9,FALSE)</f>
        <v>NO</v>
      </c>
      <c r="R288" s="6" t="str">
        <f>VLOOKUP(Tableau1[[#This Row],[SITES NAMES]],[1]Feuil1!$1:$1048576,10,FALSE)</f>
        <v>NO</v>
      </c>
      <c r="S288" s="6" t="s">
        <v>2461</v>
      </c>
      <c r="T288" s="6" t="s">
        <v>2462</v>
      </c>
      <c r="U288" s="6" t="s">
        <v>2463</v>
      </c>
      <c r="V288" s="6" t="s">
        <v>2464</v>
      </c>
      <c r="W288" s="6" t="s">
        <v>2476</v>
      </c>
      <c r="X288" s="8"/>
      <c r="Y288" s="6" t="s">
        <v>3238</v>
      </c>
      <c r="Z288" s="6"/>
      <c r="AA288" s="35" t="s">
        <v>3621</v>
      </c>
      <c r="AB288" s="35" t="s">
        <v>3608</v>
      </c>
      <c r="AC288" s="35" t="s">
        <v>3622</v>
      </c>
      <c r="AD288" s="35" t="s">
        <v>3610</v>
      </c>
      <c r="AE288" s="35" t="s">
        <v>3610</v>
      </c>
      <c r="AF288" s="35" t="s">
        <v>3611</v>
      </c>
      <c r="AG288" s="35" t="s">
        <v>3612</v>
      </c>
      <c r="AH288" s="35" t="s">
        <v>3623</v>
      </c>
    </row>
    <row r="289" spans="1:34" ht="14.45" hidden="1" customHeight="1" x14ac:dyDescent="0.25">
      <c r="A289" s="6" t="s">
        <v>1380</v>
      </c>
      <c r="B289" s="7">
        <v>0</v>
      </c>
      <c r="C289" s="6" t="s">
        <v>1379</v>
      </c>
      <c r="D289" s="6" t="s">
        <v>66</v>
      </c>
      <c r="E289" s="6" t="s">
        <v>3231</v>
      </c>
      <c r="F289" s="6" t="s">
        <v>3229</v>
      </c>
      <c r="G289" s="8">
        <v>1.3388199999999999</v>
      </c>
      <c r="H289" s="8">
        <v>6.1670299999999996</v>
      </c>
      <c r="I289" s="6" t="s">
        <v>2497</v>
      </c>
      <c r="J289" s="6" t="s">
        <v>2459</v>
      </c>
      <c r="K289" s="6" t="s">
        <v>2460</v>
      </c>
      <c r="L289" s="6"/>
      <c r="M289" s="6"/>
      <c r="N289" s="6" t="s">
        <v>3268</v>
      </c>
      <c r="O289" s="6" t="s">
        <v>7</v>
      </c>
      <c r="P289" s="6" t="str">
        <f>VLOOKUP(Tableau1[[#This Row],[SITES NAMES]],[1]Feuil1!$1:$1048576,8,FALSE)</f>
        <v>OK</v>
      </c>
      <c r="Q289" s="6" t="str">
        <f>VLOOKUP(Tableau1[[#This Row],[SITES NAMES]],[1]Feuil1!$1:$1048576,9,FALSE)</f>
        <v>YES</v>
      </c>
      <c r="R289" s="6" t="str">
        <f>VLOOKUP(Tableau1[[#This Row],[SITES NAMES]],[1]Feuil1!$1:$1048576,10,FALSE)</f>
        <v>NO</v>
      </c>
      <c r="S289" s="6" t="s">
        <v>2469</v>
      </c>
      <c r="T289" s="6" t="s">
        <v>2470</v>
      </c>
      <c r="U289" s="6" t="s">
        <v>2480</v>
      </c>
      <c r="V289" s="6" t="s">
        <v>2464</v>
      </c>
      <c r="W289" s="6" t="s">
        <v>2476</v>
      </c>
      <c r="X289" s="8"/>
      <c r="Y289" s="6" t="s">
        <v>3238</v>
      </c>
      <c r="Z289" s="6"/>
      <c r="AA289" s="35" t="s">
        <v>3621</v>
      </c>
      <c r="AB289" s="35" t="s">
        <v>3608</v>
      </c>
      <c r="AC289" s="35" t="s">
        <v>3622</v>
      </c>
      <c r="AD289" s="35" t="s">
        <v>3610</v>
      </c>
      <c r="AE289" s="35" t="s">
        <v>3610</v>
      </c>
      <c r="AF289" s="35" t="s">
        <v>3611</v>
      </c>
      <c r="AG289" s="35" t="s">
        <v>3612</v>
      </c>
      <c r="AH289" s="35" t="s">
        <v>3623</v>
      </c>
    </row>
    <row r="290" spans="1:34" ht="14.45" hidden="1" customHeight="1" x14ac:dyDescent="0.25">
      <c r="A290" s="6" t="s">
        <v>1382</v>
      </c>
      <c r="B290" s="7">
        <v>45255</v>
      </c>
      <c r="C290" s="6" t="s">
        <v>1381</v>
      </c>
      <c r="D290" s="6" t="s">
        <v>66</v>
      </c>
      <c r="E290" s="6" t="s">
        <v>3231</v>
      </c>
      <c r="F290" s="6" t="s">
        <v>3229</v>
      </c>
      <c r="G290" s="8">
        <v>1.3188800000000001</v>
      </c>
      <c r="H290" s="8">
        <v>6.1654099999999996</v>
      </c>
      <c r="I290" s="6" t="s">
        <v>2475</v>
      </c>
      <c r="J290" s="6" t="s">
        <v>2459</v>
      </c>
      <c r="K290" s="6" t="s">
        <v>2460</v>
      </c>
      <c r="L290" s="6"/>
      <c r="M290" s="6"/>
      <c r="N290" s="6" t="s">
        <v>3268</v>
      </c>
      <c r="O290" s="6" t="s">
        <v>7</v>
      </c>
      <c r="P290" s="6" t="str">
        <f>VLOOKUP(Tableau1[[#This Row],[SITES NAMES]],[1]Feuil1!$1:$1048576,8,FALSE)</f>
        <v>OK</v>
      </c>
      <c r="Q290" s="6" t="str">
        <f>VLOOKUP(Tableau1[[#This Row],[SITES NAMES]],[1]Feuil1!$1:$1048576,9,FALSE)</f>
        <v>NO</v>
      </c>
      <c r="R290" s="6" t="str">
        <f>VLOOKUP(Tableau1[[#This Row],[SITES NAMES]],[1]Feuil1!$1:$1048576,10,FALSE)</f>
        <v>NO</v>
      </c>
      <c r="S290" s="6" t="s">
        <v>2469</v>
      </c>
      <c r="T290" s="6" t="s">
        <v>2470</v>
      </c>
      <c r="U290" s="6" t="s">
        <v>2480</v>
      </c>
      <c r="V290" s="6" t="s">
        <v>2472</v>
      </c>
      <c r="W290" s="6" t="s">
        <v>2531</v>
      </c>
      <c r="X290" s="8"/>
      <c r="Y290" s="6" t="s">
        <v>3238</v>
      </c>
      <c r="Z290" s="6"/>
      <c r="AA290" s="35" t="s">
        <v>3621</v>
      </c>
      <c r="AB290" s="35" t="s">
        <v>3608</v>
      </c>
      <c r="AC290" s="35" t="s">
        <v>3622</v>
      </c>
      <c r="AD290" s="35" t="s">
        <v>3610</v>
      </c>
      <c r="AE290" s="35" t="s">
        <v>3610</v>
      </c>
      <c r="AF290" s="35" t="s">
        <v>3611</v>
      </c>
      <c r="AG290" s="35" t="s">
        <v>3612</v>
      </c>
      <c r="AH290" s="35" t="s">
        <v>3623</v>
      </c>
    </row>
    <row r="291" spans="1:34" ht="14.45" hidden="1" customHeight="1" x14ac:dyDescent="0.25">
      <c r="A291" s="6" t="s">
        <v>1384</v>
      </c>
      <c r="B291" s="7">
        <v>43395</v>
      </c>
      <c r="C291" s="6" t="s">
        <v>1383</v>
      </c>
      <c r="D291" s="6" t="s">
        <v>66</v>
      </c>
      <c r="E291" s="6" t="s">
        <v>3231</v>
      </c>
      <c r="F291" s="6" t="s">
        <v>3229</v>
      </c>
      <c r="G291" s="8">
        <v>1.325971</v>
      </c>
      <c r="H291" s="8">
        <v>6.1652719999999999</v>
      </c>
      <c r="I291" s="6" t="s">
        <v>2497</v>
      </c>
      <c r="J291" s="6" t="s">
        <v>2459</v>
      </c>
      <c r="K291" s="6" t="s">
        <v>2460</v>
      </c>
      <c r="L291" s="6"/>
      <c r="M291" s="6"/>
      <c r="N291" s="6" t="s">
        <v>3268</v>
      </c>
      <c r="O291" s="6" t="s">
        <v>1206</v>
      </c>
      <c r="P291" s="6"/>
      <c r="Q291" s="6" t="str">
        <f>VLOOKUP(Tableau1[[#This Row],[SITES NAMES]],[1]Feuil1!$1:$1048576,9,FALSE)</f>
        <v>YES</v>
      </c>
      <c r="R291" s="6" t="str">
        <f>VLOOKUP(Tableau1[[#This Row],[SITES NAMES]],[1]Feuil1!$1:$1048576,10,FALSE)</f>
        <v>NO</v>
      </c>
      <c r="S291" s="6" t="s">
        <v>2469</v>
      </c>
      <c r="T291" s="6" t="s">
        <v>2470</v>
      </c>
      <c r="U291" s="6" t="s">
        <v>2480</v>
      </c>
      <c r="V291" s="6" t="s">
        <v>2464</v>
      </c>
      <c r="W291" s="6" t="s">
        <v>2476</v>
      </c>
      <c r="X291" s="8"/>
      <c r="Y291" s="6" t="s">
        <v>3238</v>
      </c>
      <c r="Z291" s="6"/>
      <c r="AA291" s="35" t="s">
        <v>3621</v>
      </c>
      <c r="AB291" s="35" t="s">
        <v>3608</v>
      </c>
      <c r="AC291" s="35" t="s">
        <v>3622</v>
      </c>
      <c r="AD291" s="35" t="s">
        <v>3610</v>
      </c>
      <c r="AE291" s="35" t="s">
        <v>3610</v>
      </c>
      <c r="AF291" s="35" t="s">
        <v>3611</v>
      </c>
      <c r="AG291" s="35" t="s">
        <v>3612</v>
      </c>
      <c r="AH291" s="35" t="s">
        <v>3623</v>
      </c>
    </row>
    <row r="292" spans="1:34" ht="14.45" hidden="1" customHeight="1" x14ac:dyDescent="0.3">
      <c r="A292" s="6" t="s">
        <v>2304</v>
      </c>
      <c r="B292" s="7">
        <v>0</v>
      </c>
      <c r="C292" s="6" t="s">
        <v>2303</v>
      </c>
      <c r="D292" s="6" t="s">
        <v>320</v>
      </c>
      <c r="E292" s="6" t="s">
        <v>2274</v>
      </c>
      <c r="F292" s="6" t="s">
        <v>3229</v>
      </c>
      <c r="G292" s="8">
        <v>1.60642</v>
      </c>
      <c r="H292" s="8">
        <v>8.8728499999999997</v>
      </c>
      <c r="I292" s="6" t="s">
        <v>2479</v>
      </c>
      <c r="J292" s="6" t="s">
        <v>2459</v>
      </c>
      <c r="K292" s="6" t="s">
        <v>2468</v>
      </c>
      <c r="L292" s="6" t="s">
        <v>2310</v>
      </c>
      <c r="M292" s="6"/>
      <c r="N292" s="6" t="s">
        <v>2468</v>
      </c>
      <c r="O292" s="6" t="s">
        <v>18</v>
      </c>
      <c r="P292" s="6" t="str">
        <f>VLOOKUP(Tableau1[[#This Row],[SITES NAMES]],[1]Feuil1!$1:$1048576,8,FALSE)</f>
        <v>NOK</v>
      </c>
      <c r="Q292" s="6" t="str">
        <f>VLOOKUP(Tableau1[[#This Row],[SITES NAMES]],[1]Feuil1!$1:$1048576,9,FALSE)</f>
        <v>NO</v>
      </c>
      <c r="R292" s="6" t="str">
        <f>VLOOKUP(Tableau1[[#This Row],[SITES NAMES]],[1]Feuil1!$1:$1048576,10,FALSE)</f>
        <v>NO</v>
      </c>
      <c r="S292" s="6" t="s">
        <v>2469</v>
      </c>
      <c r="T292" s="6" t="s">
        <v>2470</v>
      </c>
      <c r="U292" s="6" t="s">
        <v>2480</v>
      </c>
      <c r="V292" s="6" t="s">
        <v>2472</v>
      </c>
      <c r="W292" s="6" t="s">
        <v>2473</v>
      </c>
      <c r="X292" s="8" t="s">
        <v>3189</v>
      </c>
      <c r="Y292" s="6" t="s">
        <v>3238</v>
      </c>
      <c r="Z292" s="6" t="s">
        <v>3254</v>
      </c>
      <c r="AA292" s="37" t="s">
        <v>3678</v>
      </c>
      <c r="AB292" s="39" t="s">
        <v>3665</v>
      </c>
      <c r="AC292" s="37" t="s">
        <v>3679</v>
      </c>
      <c r="AD292" s="37" t="s">
        <v>3678</v>
      </c>
      <c r="AE292" s="37" t="s">
        <v>3680</v>
      </c>
      <c r="AF292" s="39" t="s">
        <v>3676</v>
      </c>
      <c r="AG292" s="37" t="s">
        <v>3670</v>
      </c>
      <c r="AH292" s="37" t="s">
        <v>3681</v>
      </c>
    </row>
    <row r="293" spans="1:34" ht="14.45" hidden="1" customHeight="1" x14ac:dyDescent="0.3">
      <c r="A293" s="6" t="s">
        <v>660</v>
      </c>
      <c r="B293" s="7">
        <v>39052</v>
      </c>
      <c r="C293" s="6" t="s">
        <v>659</v>
      </c>
      <c r="D293" s="6" t="s">
        <v>657</v>
      </c>
      <c r="E293" s="6" t="s">
        <v>658</v>
      </c>
      <c r="F293" s="6" t="s">
        <v>3229</v>
      </c>
      <c r="G293" s="8">
        <v>0.62274099999999999</v>
      </c>
      <c r="H293" s="8">
        <v>9.4252140000000004</v>
      </c>
      <c r="I293" s="6" t="s">
        <v>2477</v>
      </c>
      <c r="J293" s="6" t="s">
        <v>2459</v>
      </c>
      <c r="K293" s="6" t="s">
        <v>2460</v>
      </c>
      <c r="L293" s="6"/>
      <c r="M293" s="6"/>
      <c r="N293" s="6" t="s">
        <v>3268</v>
      </c>
      <c r="O293" s="6" t="s">
        <v>18</v>
      </c>
      <c r="P293" s="6" t="str">
        <f>VLOOKUP(Tableau1[[#This Row],[SITES NAMES]],[1]Feuil1!$1:$1048576,8,FALSE)</f>
        <v>NOK</v>
      </c>
      <c r="Q293" s="6" t="str">
        <f>VLOOKUP(Tableau1[[#This Row],[SITES NAMES]],[1]Feuil1!$1:$1048576,9,FALSE)</f>
        <v>NO</v>
      </c>
      <c r="R293" s="6" t="str">
        <f>VLOOKUP(Tableau1[[#This Row],[SITES NAMES]],[1]Feuil1!$1:$1048576,10,FALSE)</f>
        <v>YES</v>
      </c>
      <c r="S293" s="6" t="s">
        <v>2469</v>
      </c>
      <c r="T293" s="6" t="s">
        <v>2470</v>
      </c>
      <c r="U293" s="6" t="s">
        <v>2471</v>
      </c>
      <c r="V293" s="6" t="s">
        <v>2472</v>
      </c>
      <c r="W293" s="6" t="s">
        <v>2473</v>
      </c>
      <c r="X293" s="8" t="s">
        <v>2713</v>
      </c>
      <c r="Y293" s="6" t="s">
        <v>3239</v>
      </c>
      <c r="Z293" s="6" t="s">
        <v>3253</v>
      </c>
      <c r="AA293" s="38" t="s">
        <v>3682</v>
      </c>
      <c r="AB293" s="38" t="s">
        <v>3683</v>
      </c>
      <c r="AC293" s="38" t="s">
        <v>3684</v>
      </c>
      <c r="AD293" s="38" t="s">
        <v>3682</v>
      </c>
      <c r="AE293" s="38" t="s">
        <v>3682</v>
      </c>
      <c r="AF293" s="38" t="s">
        <v>3682</v>
      </c>
      <c r="AG293" s="40" t="s">
        <v>3685</v>
      </c>
      <c r="AH293" s="37" t="s">
        <v>3686</v>
      </c>
    </row>
    <row r="294" spans="1:34" ht="14.45" hidden="1" customHeight="1" x14ac:dyDescent="0.3">
      <c r="A294" s="6" t="s">
        <v>680</v>
      </c>
      <c r="B294" s="7">
        <v>39459</v>
      </c>
      <c r="C294" s="6" t="s">
        <v>679</v>
      </c>
      <c r="D294" s="6" t="s">
        <v>657</v>
      </c>
      <c r="E294" s="6" t="s">
        <v>658</v>
      </c>
      <c r="F294" s="6" t="s">
        <v>3229</v>
      </c>
      <c r="G294" s="8">
        <v>0.61070999999999998</v>
      </c>
      <c r="H294" s="8">
        <v>9.5287299999999995</v>
      </c>
      <c r="I294" s="6" t="s">
        <v>2477</v>
      </c>
      <c r="J294" s="6" t="s">
        <v>2459</v>
      </c>
      <c r="K294" s="6" t="s">
        <v>2468</v>
      </c>
      <c r="L294" s="6" t="s">
        <v>3379</v>
      </c>
      <c r="M294" s="6"/>
      <c r="N294" s="6" t="s">
        <v>2468</v>
      </c>
      <c r="O294" s="6" t="s">
        <v>40</v>
      </c>
      <c r="P294" s="6" t="str">
        <f>VLOOKUP(Tableau1[[#This Row],[SITES NAMES]],[1]Feuil1!$1:$1048576,8,FALSE)</f>
        <v>OK</v>
      </c>
      <c r="Q294" s="6" t="str">
        <f>VLOOKUP(Tableau1[[#This Row],[SITES NAMES]],[1]Feuil1!$1:$1048576,9,FALSE)</f>
        <v>NO</v>
      </c>
      <c r="R294" s="6" t="str">
        <f>VLOOKUP(Tableau1[[#This Row],[SITES NAMES]],[1]Feuil1!$1:$1048576,10,FALSE)</f>
        <v>NO</v>
      </c>
      <c r="S294" s="6" t="s">
        <v>2469</v>
      </c>
      <c r="T294" s="6" t="s">
        <v>2470</v>
      </c>
      <c r="U294" s="6" t="s">
        <v>2480</v>
      </c>
      <c r="V294" s="6" t="s">
        <v>2472</v>
      </c>
      <c r="W294" s="6" t="s">
        <v>2473</v>
      </c>
      <c r="X294" s="8" t="s">
        <v>2723</v>
      </c>
      <c r="Y294" s="6" t="s">
        <v>3239</v>
      </c>
      <c r="Z294" s="6" t="s">
        <v>3253</v>
      </c>
      <c r="AA294" s="38" t="s">
        <v>3682</v>
      </c>
      <c r="AB294" s="38" t="s">
        <v>3683</v>
      </c>
      <c r="AC294" s="38" t="s">
        <v>3684</v>
      </c>
      <c r="AD294" s="38" t="s">
        <v>3682</v>
      </c>
      <c r="AE294" s="38" t="s">
        <v>3682</v>
      </c>
      <c r="AF294" s="38" t="s">
        <v>3682</v>
      </c>
      <c r="AG294" s="40" t="s">
        <v>3685</v>
      </c>
      <c r="AH294" s="37" t="s">
        <v>3686</v>
      </c>
    </row>
    <row r="295" spans="1:34" ht="14.45" hidden="1" customHeight="1" x14ac:dyDescent="0.3">
      <c r="A295" s="6" t="s">
        <v>2189</v>
      </c>
      <c r="B295" s="7" t="s">
        <v>2514</v>
      </c>
      <c r="C295" s="6" t="s">
        <v>2188</v>
      </c>
      <c r="D295" s="6" t="s">
        <v>320</v>
      </c>
      <c r="E295" s="6" t="s">
        <v>2141</v>
      </c>
      <c r="F295" s="6" t="s">
        <v>3229</v>
      </c>
      <c r="G295" s="8">
        <v>1.1337581999999999</v>
      </c>
      <c r="H295" s="8">
        <v>8.9785559999999993</v>
      </c>
      <c r="I295" s="6" t="s">
        <v>2475</v>
      </c>
      <c r="J295" s="6" t="s">
        <v>2459</v>
      </c>
      <c r="K295" s="6" t="s">
        <v>2460</v>
      </c>
      <c r="L295" s="6"/>
      <c r="M295" s="6"/>
      <c r="N295" s="6" t="s">
        <v>3268</v>
      </c>
      <c r="O295" s="6" t="s">
        <v>7</v>
      </c>
      <c r="P295" s="6" t="str">
        <f>VLOOKUP(Tableau1[[#This Row],[SITES NAMES]],[1]Feuil1!$1:$1048576,8,FALSE)</f>
        <v>OK</v>
      </c>
      <c r="Q295" s="6" t="str">
        <f>VLOOKUP(Tableau1[[#This Row],[SITES NAMES]],[1]Feuil1!$1:$1048576,9,FALSE)</f>
        <v>NO</v>
      </c>
      <c r="R295" s="6" t="str">
        <f>VLOOKUP(Tableau1[[#This Row],[SITES NAMES]],[1]Feuil1!$1:$1048576,10,FALSE)</f>
        <v>NO</v>
      </c>
      <c r="S295" s="6" t="s">
        <v>2469</v>
      </c>
      <c r="T295" s="6" t="s">
        <v>2470</v>
      </c>
      <c r="U295" s="6" t="s">
        <v>2480</v>
      </c>
      <c r="V295" s="6" t="s">
        <v>2478</v>
      </c>
      <c r="W295" s="6" t="s">
        <v>2476</v>
      </c>
      <c r="X295" s="8"/>
      <c r="Y295" s="6" t="s">
        <v>3238</v>
      </c>
      <c r="Z295" s="6" t="s">
        <v>3254</v>
      </c>
      <c r="AA295" s="37" t="s">
        <v>3672</v>
      </c>
      <c r="AB295" s="39" t="s">
        <v>3665</v>
      </c>
      <c r="AC295" s="37" t="s">
        <v>3673</v>
      </c>
      <c r="AD295" s="37" t="s">
        <v>3674</v>
      </c>
      <c r="AE295" s="37" t="s">
        <v>3675</v>
      </c>
      <c r="AF295" s="39" t="s">
        <v>3676</v>
      </c>
      <c r="AG295" s="37" t="s">
        <v>3670</v>
      </c>
      <c r="AH295" s="37" t="s">
        <v>3677</v>
      </c>
    </row>
    <row r="296" spans="1:34" ht="14.45" hidden="1" customHeight="1" x14ac:dyDescent="0.3">
      <c r="A296" s="6" t="s">
        <v>1971</v>
      </c>
      <c r="B296" s="7">
        <v>0</v>
      </c>
      <c r="C296" s="6" t="s">
        <v>1970</v>
      </c>
      <c r="D296" s="6" t="s">
        <v>395</v>
      </c>
      <c r="E296" s="6" t="s">
        <v>1965</v>
      </c>
      <c r="F296" s="6" t="s">
        <v>3229</v>
      </c>
      <c r="G296" s="8">
        <v>0.30619200000000002</v>
      </c>
      <c r="H296" s="8">
        <v>10.550571</v>
      </c>
      <c r="I296" s="6" t="s">
        <v>2525</v>
      </c>
      <c r="J296" s="6" t="s">
        <v>2459</v>
      </c>
      <c r="K296" s="6" t="s">
        <v>2460</v>
      </c>
      <c r="L296" s="6"/>
      <c r="M296" s="6"/>
      <c r="N296" s="6" t="s">
        <v>3268</v>
      </c>
      <c r="O296" s="6" t="s">
        <v>7</v>
      </c>
      <c r="P296" s="6" t="str">
        <f>VLOOKUP(Tableau1[[#This Row],[SITES NAMES]],[1]Feuil1!$1:$1048576,8,FALSE)</f>
        <v>OK</v>
      </c>
      <c r="Q296" s="6" t="str">
        <f>VLOOKUP(Tableau1[[#This Row],[SITES NAMES]],[1]Feuil1!$1:$1048576,9,FALSE)</f>
        <v>NO</v>
      </c>
      <c r="R296" s="6" t="str">
        <f>VLOOKUP(Tableau1[[#This Row],[SITES NAMES]],[1]Feuil1!$1:$1048576,10,FALSE)</f>
        <v>NO</v>
      </c>
      <c r="S296" s="6" t="s">
        <v>2469</v>
      </c>
      <c r="T296" s="6" t="s">
        <v>2470</v>
      </c>
      <c r="U296" s="6" t="s">
        <v>2480</v>
      </c>
      <c r="V296" s="6" t="s">
        <v>2478</v>
      </c>
      <c r="W296" s="6" t="s">
        <v>2465</v>
      </c>
      <c r="X296" s="8" t="s">
        <v>3067</v>
      </c>
      <c r="Y296" s="6" t="s">
        <v>3240</v>
      </c>
      <c r="Z296" s="6" t="s">
        <v>3255</v>
      </c>
      <c r="AA296" s="37" t="s">
        <v>3712</v>
      </c>
      <c r="AB296" s="39" t="s">
        <v>3705</v>
      </c>
      <c r="AC296" s="37" t="s">
        <v>3713</v>
      </c>
      <c r="AD296" s="37" t="s">
        <v>3712</v>
      </c>
      <c r="AE296" s="37" t="s">
        <v>3712</v>
      </c>
      <c r="AF296" s="37" t="s">
        <v>3712</v>
      </c>
      <c r="AG296" s="40" t="s">
        <v>3714</v>
      </c>
      <c r="AH296" s="37" t="s">
        <v>3715</v>
      </c>
    </row>
    <row r="297" spans="1:34" ht="14.45" hidden="1" customHeight="1" x14ac:dyDescent="0.3">
      <c r="A297" s="6" t="s">
        <v>2191</v>
      </c>
      <c r="B297" s="7">
        <v>42205</v>
      </c>
      <c r="C297" s="6" t="s">
        <v>2190</v>
      </c>
      <c r="D297" s="6" t="s">
        <v>320</v>
      </c>
      <c r="E297" s="6" t="s">
        <v>2141</v>
      </c>
      <c r="F297" s="6" t="s">
        <v>3229</v>
      </c>
      <c r="G297" s="8">
        <v>1.1368696</v>
      </c>
      <c r="H297" s="8">
        <v>8.9927583000000002</v>
      </c>
      <c r="I297" s="6" t="s">
        <v>2475</v>
      </c>
      <c r="J297" s="6" t="s">
        <v>2459</v>
      </c>
      <c r="K297" s="6" t="s">
        <v>2460</v>
      </c>
      <c r="L297" s="6"/>
      <c r="M297" s="6"/>
      <c r="N297" s="6" t="s">
        <v>3268</v>
      </c>
      <c r="O297" s="6" t="s">
        <v>7</v>
      </c>
      <c r="P297" s="6" t="str">
        <f>VLOOKUP(Tableau1[[#This Row],[SITES NAMES]],[1]Feuil1!$1:$1048576,8,FALSE)</f>
        <v>OK</v>
      </c>
      <c r="Q297" s="6" t="str">
        <f>VLOOKUP(Tableau1[[#This Row],[SITES NAMES]],[1]Feuil1!$1:$1048576,9,FALSE)</f>
        <v>NO</v>
      </c>
      <c r="R297" s="6" t="str">
        <f>VLOOKUP(Tableau1[[#This Row],[SITES NAMES]],[1]Feuil1!$1:$1048576,10,FALSE)</f>
        <v>YES</v>
      </c>
      <c r="S297" s="6" t="s">
        <v>2469</v>
      </c>
      <c r="T297" s="6" t="s">
        <v>2470</v>
      </c>
      <c r="U297" s="6" t="s">
        <v>2480</v>
      </c>
      <c r="V297" s="6" t="s">
        <v>2464</v>
      </c>
      <c r="W297" s="6" t="s">
        <v>2476</v>
      </c>
      <c r="X297" s="8" t="s">
        <v>3151</v>
      </c>
      <c r="Y297" s="6" t="s">
        <v>3238</v>
      </c>
      <c r="Z297" s="6" t="s">
        <v>3254</v>
      </c>
      <c r="AA297" s="37" t="s">
        <v>3672</v>
      </c>
      <c r="AB297" s="39" t="s">
        <v>3665</v>
      </c>
      <c r="AC297" s="37" t="s">
        <v>3673</v>
      </c>
      <c r="AD297" s="37" t="s">
        <v>3674</v>
      </c>
      <c r="AE297" s="37" t="s">
        <v>3675</v>
      </c>
      <c r="AF297" s="39" t="s">
        <v>3676</v>
      </c>
      <c r="AG297" s="37" t="s">
        <v>3670</v>
      </c>
      <c r="AH297" s="37" t="s">
        <v>3677</v>
      </c>
    </row>
    <row r="298" spans="1:34" ht="14.45" hidden="1" customHeight="1" x14ac:dyDescent="0.25">
      <c r="A298" s="6" t="s">
        <v>1869</v>
      </c>
      <c r="B298" s="7">
        <v>44723</v>
      </c>
      <c r="C298" s="6" t="s">
        <v>1868</v>
      </c>
      <c r="D298" s="6" t="s">
        <v>66</v>
      </c>
      <c r="E298" s="6" t="s">
        <v>3232</v>
      </c>
      <c r="F298" s="6" t="s">
        <v>3229</v>
      </c>
      <c r="G298" s="8">
        <v>1.2419199999999999</v>
      </c>
      <c r="H298" s="8">
        <v>6.1408899999999997</v>
      </c>
      <c r="I298" s="6" t="s">
        <v>2475</v>
      </c>
      <c r="J298" s="6" t="s">
        <v>2459</v>
      </c>
      <c r="K298" s="6" t="s">
        <v>2529</v>
      </c>
      <c r="L298" s="6" t="s">
        <v>3478</v>
      </c>
      <c r="M298" s="6"/>
      <c r="N298" s="6" t="s">
        <v>2468</v>
      </c>
      <c r="O298" s="6" t="s">
        <v>7</v>
      </c>
      <c r="P298" s="6" t="str">
        <f>VLOOKUP(Tableau1[[#This Row],[SITES NAMES]],[1]Feuil1!$1:$1048576,8,FALSE)</f>
        <v>OK</v>
      </c>
      <c r="Q298" s="6" t="str">
        <f>VLOOKUP(Tableau1[[#This Row],[SITES NAMES]],[1]Feuil1!$1:$1048576,9,FALSE)</f>
        <v>NO</v>
      </c>
      <c r="R298" s="6" t="str">
        <f>VLOOKUP(Tableau1[[#This Row],[SITES NAMES]],[1]Feuil1!$1:$1048576,10,FALSE)</f>
        <v>NO</v>
      </c>
      <c r="S298" s="6" t="s">
        <v>2469</v>
      </c>
      <c r="T298" s="6"/>
      <c r="U298" s="6"/>
      <c r="V298" s="6" t="s">
        <v>2464</v>
      </c>
      <c r="W298" s="6" t="s">
        <v>2476</v>
      </c>
      <c r="X298" s="8"/>
      <c r="Y298" s="6" t="s">
        <v>3238</v>
      </c>
      <c r="Z298" s="6" t="s">
        <v>3262</v>
      </c>
      <c r="AA298" s="35" t="s">
        <v>3621</v>
      </c>
      <c r="AB298" s="35" t="s">
        <v>3608</v>
      </c>
      <c r="AC298" s="35" t="s">
        <v>3624</v>
      </c>
      <c r="AD298" s="35" t="s">
        <v>3610</v>
      </c>
      <c r="AE298" s="35" t="s">
        <v>3610</v>
      </c>
      <c r="AF298" s="35" t="s">
        <v>3611</v>
      </c>
      <c r="AG298" s="35" t="s">
        <v>3612</v>
      </c>
      <c r="AH298" s="35" t="s">
        <v>3625</v>
      </c>
    </row>
    <row r="299" spans="1:34" ht="14.45" hidden="1" customHeight="1" x14ac:dyDescent="0.25">
      <c r="A299" s="6" t="s">
        <v>1871</v>
      </c>
      <c r="B299" s="7">
        <v>0</v>
      </c>
      <c r="C299" s="6" t="s">
        <v>1870</v>
      </c>
      <c r="D299" s="6" t="s">
        <v>66</v>
      </c>
      <c r="E299" s="6" t="s">
        <v>3232</v>
      </c>
      <c r="F299" s="6" t="s">
        <v>3229</v>
      </c>
      <c r="G299" s="8">
        <v>1.237180556</v>
      </c>
      <c r="H299" s="8">
        <v>6.1408700859999996</v>
      </c>
      <c r="I299" s="6" t="s">
        <v>2497</v>
      </c>
      <c r="J299" s="6" t="s">
        <v>2459</v>
      </c>
      <c r="K299" s="6" t="s">
        <v>2460</v>
      </c>
      <c r="L299" s="6"/>
      <c r="M299" s="6"/>
      <c r="N299" s="6" t="s">
        <v>3268</v>
      </c>
      <c r="O299" s="6" t="s">
        <v>7</v>
      </c>
      <c r="P299" s="6" t="str">
        <f>VLOOKUP(Tableau1[[#This Row],[SITES NAMES]],[1]Feuil1!$1:$1048576,8,FALSE)</f>
        <v>OK</v>
      </c>
      <c r="Q299" s="6" t="str">
        <f>VLOOKUP(Tableau1[[#This Row],[SITES NAMES]],[1]Feuil1!$1:$1048576,9,FALSE)</f>
        <v>NO</v>
      </c>
      <c r="R299" s="6" t="str">
        <f>VLOOKUP(Tableau1[[#This Row],[SITES NAMES]],[1]Feuil1!$1:$1048576,10,FALSE)</f>
        <v>NO</v>
      </c>
      <c r="S299" s="6" t="s">
        <v>2469</v>
      </c>
      <c r="T299" s="6" t="s">
        <v>2470</v>
      </c>
      <c r="U299" s="6" t="s">
        <v>2480</v>
      </c>
      <c r="V299" s="6" t="s">
        <v>2478</v>
      </c>
      <c r="W299" s="6" t="s">
        <v>2476</v>
      </c>
      <c r="X299" s="8" t="s">
        <v>3042</v>
      </c>
      <c r="Y299" s="6" t="s">
        <v>3238</v>
      </c>
      <c r="Z299" s="6" t="s">
        <v>3262</v>
      </c>
      <c r="AA299" s="35" t="s">
        <v>3621</v>
      </c>
      <c r="AB299" s="35" t="s">
        <v>3608</v>
      </c>
      <c r="AC299" s="35" t="s">
        <v>3624</v>
      </c>
      <c r="AD299" s="35" t="s">
        <v>3610</v>
      </c>
      <c r="AE299" s="35" t="s">
        <v>3610</v>
      </c>
      <c r="AF299" s="35" t="s">
        <v>3611</v>
      </c>
      <c r="AG299" s="35" t="s">
        <v>3612</v>
      </c>
      <c r="AH299" s="35" t="s">
        <v>3625</v>
      </c>
    </row>
    <row r="300" spans="1:34" ht="14.45" hidden="1" customHeight="1" x14ac:dyDescent="0.3">
      <c r="A300" s="6" t="s">
        <v>626</v>
      </c>
      <c r="B300" s="7">
        <v>43881</v>
      </c>
      <c r="C300" s="6" t="s">
        <v>625</v>
      </c>
      <c r="D300" s="6" t="s">
        <v>132</v>
      </c>
      <c r="E300" s="6" t="s">
        <v>565</v>
      </c>
      <c r="F300" s="6" t="s">
        <v>3229</v>
      </c>
      <c r="G300" s="8">
        <v>1.5990500000000001</v>
      </c>
      <c r="H300" s="8">
        <v>8.1961499999999994</v>
      </c>
      <c r="I300" s="6" t="s">
        <v>2482</v>
      </c>
      <c r="J300" s="6" t="s">
        <v>2459</v>
      </c>
      <c r="K300" s="6" t="s">
        <v>2468</v>
      </c>
      <c r="L300" s="6" t="s">
        <v>3380</v>
      </c>
      <c r="M300" s="6"/>
      <c r="N300" s="6" t="s">
        <v>2468</v>
      </c>
      <c r="O300" s="6" t="s">
        <v>37</v>
      </c>
      <c r="P300" s="6" t="str">
        <f>VLOOKUP(Tableau1[[#This Row],[SITES NAMES]],[1]Feuil1!$1:$1048576,8,FALSE)</f>
        <v>NOK</v>
      </c>
      <c r="Q300" s="6" t="str">
        <f>VLOOKUP(Tableau1[[#This Row],[SITES NAMES]],[1]Feuil1!$1:$1048576,9,FALSE)</f>
        <v>NO</v>
      </c>
      <c r="R300" s="6" t="str">
        <f>VLOOKUP(Tableau1[[#This Row],[SITES NAMES]],[1]Feuil1!$1:$1048576,10,FALSE)</f>
        <v>NO</v>
      </c>
      <c r="S300" s="6" t="s">
        <v>2469</v>
      </c>
      <c r="T300" s="6" t="s">
        <v>2470</v>
      </c>
      <c r="U300" s="6" t="s">
        <v>2480</v>
      </c>
      <c r="V300" s="6" t="s">
        <v>2472</v>
      </c>
      <c r="W300" s="6" t="s">
        <v>2473</v>
      </c>
      <c r="X300" s="8" t="s">
        <v>2702</v>
      </c>
      <c r="Y300" s="6" t="s">
        <v>3238</v>
      </c>
      <c r="Z300" s="6" t="s">
        <v>3254</v>
      </c>
      <c r="AA300" s="37" t="s">
        <v>3660</v>
      </c>
      <c r="AB300" s="39" t="s">
        <v>3644</v>
      </c>
      <c r="AC300" s="37" t="s">
        <v>3661</v>
      </c>
      <c r="AD300" s="39" t="s">
        <v>3646</v>
      </c>
      <c r="AE300" s="39" t="s">
        <v>3647</v>
      </c>
      <c r="AF300" s="39" t="s">
        <v>3662</v>
      </c>
      <c r="AG300" s="37" t="s">
        <v>3649</v>
      </c>
      <c r="AH300" s="37" t="s">
        <v>3663</v>
      </c>
    </row>
    <row r="301" spans="1:34" ht="15.75" hidden="1" x14ac:dyDescent="0.3">
      <c r="A301" s="6" t="s">
        <v>682</v>
      </c>
      <c r="B301" s="7">
        <v>44180</v>
      </c>
      <c r="C301" s="6" t="s">
        <v>681</v>
      </c>
      <c r="D301" s="6" t="s">
        <v>657</v>
      </c>
      <c r="E301" s="6" t="s">
        <v>658</v>
      </c>
      <c r="F301" s="18" t="s">
        <v>3230</v>
      </c>
      <c r="G301" s="8">
        <v>0.782806</v>
      </c>
      <c r="H301" s="8">
        <v>9.2551900000000007</v>
      </c>
      <c r="I301" s="6" t="s">
        <v>2497</v>
      </c>
      <c r="J301" s="6" t="s">
        <v>2459</v>
      </c>
      <c r="K301" s="6" t="s">
        <v>2460</v>
      </c>
      <c r="L301" s="6"/>
      <c r="M301" s="6"/>
      <c r="N301" s="21" t="s">
        <v>3269</v>
      </c>
      <c r="O301" s="6" t="s">
        <v>7</v>
      </c>
      <c r="P301" s="6" t="str">
        <f>VLOOKUP(Tableau1[[#This Row],[SITES NAMES]],[1]Feuil1!$1:$1048576,8,FALSE)</f>
        <v>OK</v>
      </c>
      <c r="Q301" s="6" t="str">
        <f>VLOOKUP(Tableau1[[#This Row],[SITES NAMES]],[1]Feuil1!$1:$1048576,9,FALSE)</f>
        <v>NO</v>
      </c>
      <c r="R301" s="6" t="str">
        <f>VLOOKUP(Tableau1[[#This Row],[SITES NAMES]],[1]Feuil1!$1:$1048576,10,FALSE)</f>
        <v>NO</v>
      </c>
      <c r="S301" s="6" t="s">
        <v>2469</v>
      </c>
      <c r="T301" s="6" t="s">
        <v>2470</v>
      </c>
      <c r="U301" s="6" t="s">
        <v>2480</v>
      </c>
      <c r="V301" s="6" t="s">
        <v>2478</v>
      </c>
      <c r="W301" s="6" t="s">
        <v>2476</v>
      </c>
      <c r="X301" s="8" t="s">
        <v>2724</v>
      </c>
      <c r="Y301" s="6" t="s">
        <v>3239</v>
      </c>
      <c r="Z301" s="6" t="s">
        <v>3253</v>
      </c>
      <c r="AA301" s="38" t="s">
        <v>3682</v>
      </c>
      <c r="AB301" s="38" t="s">
        <v>3683</v>
      </c>
      <c r="AC301" s="38" t="s">
        <v>3684</v>
      </c>
      <c r="AD301" s="38" t="s">
        <v>3682</v>
      </c>
      <c r="AE301" s="38" t="s">
        <v>3682</v>
      </c>
      <c r="AF301" s="38" t="s">
        <v>3682</v>
      </c>
      <c r="AG301" s="40" t="s">
        <v>3685</v>
      </c>
      <c r="AH301" s="37" t="s">
        <v>3686</v>
      </c>
    </row>
    <row r="302" spans="1:34" ht="14.45" hidden="1" customHeight="1" x14ac:dyDescent="0.3">
      <c r="A302" s="6" t="s">
        <v>684</v>
      </c>
      <c r="B302" s="7">
        <v>41598</v>
      </c>
      <c r="C302" s="6" t="s">
        <v>683</v>
      </c>
      <c r="D302" s="6" t="s">
        <v>657</v>
      </c>
      <c r="E302" s="6" t="s">
        <v>658</v>
      </c>
      <c r="F302" s="6" t="s">
        <v>3229</v>
      </c>
      <c r="G302" s="8">
        <v>0.78422199999999997</v>
      </c>
      <c r="H302" s="8">
        <v>9.2731399999999997</v>
      </c>
      <c r="I302" s="6" t="s">
        <v>2486</v>
      </c>
      <c r="J302" s="6" t="s">
        <v>2459</v>
      </c>
      <c r="K302" s="6" t="s">
        <v>2460</v>
      </c>
      <c r="L302" s="6"/>
      <c r="M302" s="6"/>
      <c r="N302" s="6" t="s">
        <v>3268</v>
      </c>
      <c r="O302" s="6" t="s">
        <v>7</v>
      </c>
      <c r="P302" s="6" t="str">
        <f>VLOOKUP(Tableau1[[#This Row],[SITES NAMES]],[1]Feuil1!$1:$1048576,8,FALSE)</f>
        <v>OK</v>
      </c>
      <c r="Q302" s="6" t="str">
        <f>VLOOKUP(Tableau1[[#This Row],[SITES NAMES]],[1]Feuil1!$1:$1048576,9,FALSE)</f>
        <v>NO</v>
      </c>
      <c r="R302" s="6" t="str">
        <f>VLOOKUP(Tableau1[[#This Row],[SITES NAMES]],[1]Feuil1!$1:$1048576,10,FALSE)</f>
        <v>NO</v>
      </c>
      <c r="S302" s="6" t="s">
        <v>2469</v>
      </c>
      <c r="T302" s="6" t="s">
        <v>2470</v>
      </c>
      <c r="U302" s="6" t="s">
        <v>2480</v>
      </c>
      <c r="V302" s="6" t="s">
        <v>2472</v>
      </c>
      <c r="W302" s="6" t="s">
        <v>2476</v>
      </c>
      <c r="X302" s="8" t="s">
        <v>2725</v>
      </c>
      <c r="Y302" s="6" t="s">
        <v>3239</v>
      </c>
      <c r="Z302" s="6" t="s">
        <v>3253</v>
      </c>
      <c r="AA302" s="38" t="s">
        <v>3682</v>
      </c>
      <c r="AB302" s="38" t="s">
        <v>3683</v>
      </c>
      <c r="AC302" s="38" t="s">
        <v>3684</v>
      </c>
      <c r="AD302" s="38" t="s">
        <v>3682</v>
      </c>
      <c r="AE302" s="38" t="s">
        <v>3682</v>
      </c>
      <c r="AF302" s="38" t="s">
        <v>3682</v>
      </c>
      <c r="AG302" s="40" t="s">
        <v>3685</v>
      </c>
      <c r="AH302" s="37" t="s">
        <v>3686</v>
      </c>
    </row>
    <row r="303" spans="1:34" ht="14.45" hidden="1" customHeight="1" x14ac:dyDescent="0.3">
      <c r="A303" s="6" t="s">
        <v>686</v>
      </c>
      <c r="B303" s="7">
        <v>38975</v>
      </c>
      <c r="C303" s="6" t="s">
        <v>685</v>
      </c>
      <c r="D303" s="6" t="s">
        <v>657</v>
      </c>
      <c r="E303" s="6" t="s">
        <v>658</v>
      </c>
      <c r="F303" s="6" t="s">
        <v>3229</v>
      </c>
      <c r="G303" s="8">
        <v>0.76911099999999999</v>
      </c>
      <c r="H303" s="8">
        <v>9.2623599999999993</v>
      </c>
      <c r="I303" s="6" t="s">
        <v>2486</v>
      </c>
      <c r="J303" s="6" t="s">
        <v>2459</v>
      </c>
      <c r="K303" s="6" t="s">
        <v>2460</v>
      </c>
      <c r="L303" s="6"/>
      <c r="M303" s="6"/>
      <c r="N303" s="6" t="s">
        <v>3268</v>
      </c>
      <c r="O303" s="6" t="s">
        <v>7</v>
      </c>
      <c r="P303" s="6" t="str">
        <f>VLOOKUP(Tableau1[[#This Row],[SITES NAMES]],[1]Feuil1!$1:$1048576,8,FALSE)</f>
        <v>OK</v>
      </c>
      <c r="Q303" s="6" t="str">
        <f>VLOOKUP(Tableau1[[#This Row],[SITES NAMES]],[1]Feuil1!$1:$1048576,9,FALSE)</f>
        <v>NO</v>
      </c>
      <c r="R303" s="6" t="str">
        <f>VLOOKUP(Tableau1[[#This Row],[SITES NAMES]],[1]Feuil1!$1:$1048576,10,FALSE)</f>
        <v>NO</v>
      </c>
      <c r="S303" s="6" t="s">
        <v>2469</v>
      </c>
      <c r="T303" s="6" t="s">
        <v>2470</v>
      </c>
      <c r="U303" s="6" t="s">
        <v>2480</v>
      </c>
      <c r="V303" s="6" t="s">
        <v>2464</v>
      </c>
      <c r="W303" s="6" t="s">
        <v>2476</v>
      </c>
      <c r="X303" s="8" t="s">
        <v>2726</v>
      </c>
      <c r="Y303" s="6" t="s">
        <v>3239</v>
      </c>
      <c r="Z303" s="6" t="s">
        <v>3253</v>
      </c>
      <c r="AA303" s="38" t="s">
        <v>3682</v>
      </c>
      <c r="AB303" s="38" t="s">
        <v>3683</v>
      </c>
      <c r="AC303" s="38" t="s">
        <v>3684</v>
      </c>
      <c r="AD303" s="38" t="s">
        <v>3682</v>
      </c>
      <c r="AE303" s="38" t="s">
        <v>3682</v>
      </c>
      <c r="AF303" s="38" t="s">
        <v>3682</v>
      </c>
      <c r="AG303" s="40" t="s">
        <v>3685</v>
      </c>
      <c r="AH303" s="37" t="s">
        <v>3686</v>
      </c>
    </row>
    <row r="304" spans="1:34" ht="14.45" hidden="1" customHeight="1" x14ac:dyDescent="0.3">
      <c r="A304" s="6" t="s">
        <v>688</v>
      </c>
      <c r="B304" s="7">
        <v>44180</v>
      </c>
      <c r="C304" s="6" t="s">
        <v>687</v>
      </c>
      <c r="D304" s="6" t="s">
        <v>657</v>
      </c>
      <c r="E304" s="6" t="s">
        <v>658</v>
      </c>
      <c r="F304" s="6" t="s">
        <v>3229</v>
      </c>
      <c r="G304" s="8">
        <v>0.77943818499999995</v>
      </c>
      <c r="H304" s="8">
        <v>9.2648334190000003</v>
      </c>
      <c r="I304" s="6" t="s">
        <v>2486</v>
      </c>
      <c r="J304" s="6" t="s">
        <v>2459</v>
      </c>
      <c r="K304" s="6" t="s">
        <v>2460</v>
      </c>
      <c r="L304" s="6"/>
      <c r="M304" s="6"/>
      <c r="N304" s="6" t="s">
        <v>3268</v>
      </c>
      <c r="O304" s="6" t="s">
        <v>7</v>
      </c>
      <c r="P304" s="6" t="str">
        <f>VLOOKUP(Tableau1[[#This Row],[SITES NAMES]],[1]Feuil1!$1:$1048576,8,FALSE)</f>
        <v>OK</v>
      </c>
      <c r="Q304" s="6" t="str">
        <f>VLOOKUP(Tableau1[[#This Row],[SITES NAMES]],[1]Feuil1!$1:$1048576,9,FALSE)</f>
        <v>NO</v>
      </c>
      <c r="R304" s="6" t="str">
        <f>VLOOKUP(Tableau1[[#This Row],[SITES NAMES]],[1]Feuil1!$1:$1048576,10,FALSE)</f>
        <v>NO</v>
      </c>
      <c r="S304" s="6" t="s">
        <v>2469</v>
      </c>
      <c r="T304" s="6" t="s">
        <v>2470</v>
      </c>
      <c r="U304" s="6" t="s">
        <v>2480</v>
      </c>
      <c r="V304" s="6" t="s">
        <v>2478</v>
      </c>
      <c r="W304" s="6" t="s">
        <v>2476</v>
      </c>
      <c r="X304" s="8">
        <v>70997304</v>
      </c>
      <c r="Y304" s="6" t="s">
        <v>3239</v>
      </c>
      <c r="Z304" s="6" t="s">
        <v>3253</v>
      </c>
      <c r="AA304" s="38" t="s">
        <v>3682</v>
      </c>
      <c r="AB304" s="38" t="s">
        <v>3683</v>
      </c>
      <c r="AC304" s="38" t="s">
        <v>3684</v>
      </c>
      <c r="AD304" s="38" t="s">
        <v>3682</v>
      </c>
      <c r="AE304" s="38" t="s">
        <v>3682</v>
      </c>
      <c r="AF304" s="38" t="s">
        <v>3682</v>
      </c>
      <c r="AG304" s="40" t="s">
        <v>3685</v>
      </c>
      <c r="AH304" s="37" t="s">
        <v>3686</v>
      </c>
    </row>
    <row r="305" spans="1:34" ht="14.45" hidden="1" customHeight="1" x14ac:dyDescent="0.3">
      <c r="A305" s="6" t="s">
        <v>690</v>
      </c>
      <c r="B305" s="7">
        <v>45077</v>
      </c>
      <c r="C305" s="6" t="s">
        <v>689</v>
      </c>
      <c r="D305" s="6" t="s">
        <v>657</v>
      </c>
      <c r="E305" s="6" t="s">
        <v>658</v>
      </c>
      <c r="F305" s="6" t="s">
        <v>3229</v>
      </c>
      <c r="G305" s="8">
        <v>0.77669699999999997</v>
      </c>
      <c r="H305" s="8">
        <v>9.2685300000000002</v>
      </c>
      <c r="I305" s="6" t="s">
        <v>2479</v>
      </c>
      <c r="J305" s="6" t="s">
        <v>2459</v>
      </c>
      <c r="K305" s="6" t="s">
        <v>2460</v>
      </c>
      <c r="L305" s="6" t="s">
        <v>3381</v>
      </c>
      <c r="M305" s="6"/>
      <c r="N305" s="6" t="s">
        <v>3268</v>
      </c>
      <c r="O305" s="6" t="s">
        <v>7</v>
      </c>
      <c r="P305" s="6" t="str">
        <f>VLOOKUP(Tableau1[[#This Row],[SITES NAMES]],[1]Feuil1!$1:$1048576,8,FALSE)</f>
        <v>OK</v>
      </c>
      <c r="Q305" s="6" t="str">
        <f>VLOOKUP(Tableau1[[#This Row],[SITES NAMES]],[1]Feuil1!$1:$1048576,9,FALSE)</f>
        <v>NO</v>
      </c>
      <c r="R305" s="6" t="str">
        <f>VLOOKUP(Tableau1[[#This Row],[SITES NAMES]],[1]Feuil1!$1:$1048576,10,FALSE)</f>
        <v>NO</v>
      </c>
      <c r="S305" s="6" t="s">
        <v>2469</v>
      </c>
      <c r="T305" s="6" t="s">
        <v>2470</v>
      </c>
      <c r="U305" s="6" t="s">
        <v>2480</v>
      </c>
      <c r="V305" s="6" t="s">
        <v>2472</v>
      </c>
      <c r="W305" s="6" t="s">
        <v>2476</v>
      </c>
      <c r="X305" s="8"/>
      <c r="Y305" s="6" t="s">
        <v>3239</v>
      </c>
      <c r="Z305" s="6" t="s">
        <v>3253</v>
      </c>
      <c r="AA305" s="38" t="s">
        <v>3682</v>
      </c>
      <c r="AB305" s="38" t="s">
        <v>3683</v>
      </c>
      <c r="AC305" s="38" t="s">
        <v>3684</v>
      </c>
      <c r="AD305" s="38" t="s">
        <v>3682</v>
      </c>
      <c r="AE305" s="38" t="s">
        <v>3682</v>
      </c>
      <c r="AF305" s="38" t="s">
        <v>3682</v>
      </c>
      <c r="AG305" s="40" t="s">
        <v>3685</v>
      </c>
      <c r="AH305" s="37" t="s">
        <v>3686</v>
      </c>
    </row>
    <row r="306" spans="1:34" ht="14.45" hidden="1" customHeight="1" x14ac:dyDescent="0.3">
      <c r="A306" s="6" t="s">
        <v>2371</v>
      </c>
      <c r="B306" s="7">
        <v>41609</v>
      </c>
      <c r="C306" s="6" t="s">
        <v>2370</v>
      </c>
      <c r="D306" s="6" t="s">
        <v>5</v>
      </c>
      <c r="E306" s="6" t="s">
        <v>2333</v>
      </c>
      <c r="F306" s="6" t="s">
        <v>3229</v>
      </c>
      <c r="G306" s="8">
        <v>0.76537699999999997</v>
      </c>
      <c r="H306" s="8">
        <v>6.4731860000000001</v>
      </c>
      <c r="I306" s="6" t="s">
        <v>2477</v>
      </c>
      <c r="J306" s="6" t="s">
        <v>2459</v>
      </c>
      <c r="K306" s="6" t="s">
        <v>2468</v>
      </c>
      <c r="L306" s="6" t="s">
        <v>3382</v>
      </c>
      <c r="M306" s="6"/>
      <c r="N306" s="6" t="s">
        <v>2468</v>
      </c>
      <c r="O306" s="6" t="s">
        <v>18</v>
      </c>
      <c r="P306" s="6" t="str">
        <f>VLOOKUP(Tableau1[[#This Row],[SITES NAMES]],[1]Feuil1!$1:$1048576,8,FALSE)</f>
        <v>OK</v>
      </c>
      <c r="Q306" s="6" t="str">
        <f>VLOOKUP(Tableau1[[#This Row],[SITES NAMES]],[1]Feuil1!$1:$1048576,9,FALSE)</f>
        <v>NO</v>
      </c>
      <c r="R306" s="6" t="str">
        <f>VLOOKUP(Tableau1[[#This Row],[SITES NAMES]],[1]Feuil1!$1:$1048576,10,FALSE)</f>
        <v>NO</v>
      </c>
      <c r="S306" s="6" t="s">
        <v>2469</v>
      </c>
      <c r="T306" s="6" t="s">
        <v>2470</v>
      </c>
      <c r="U306" s="6" t="s">
        <v>2480</v>
      </c>
      <c r="V306" s="6" t="s">
        <v>2472</v>
      </c>
      <c r="W306" s="6" t="s">
        <v>2473</v>
      </c>
      <c r="X306" s="8" t="s">
        <v>3209</v>
      </c>
      <c r="Y306" s="6" t="s">
        <v>3241</v>
      </c>
      <c r="Z306" t="e">
        <f>VLOOKUP(Tableau1[[#This Row],[SITES NAMES]],#REF!,3,FALSE)</f>
        <v>#REF!</v>
      </c>
      <c r="AA306" s="37"/>
      <c r="AB306" s="38" t="s">
        <v>3627</v>
      </c>
      <c r="AC306" s="37" t="s">
        <v>3640</v>
      </c>
      <c r="AD306" s="39" t="s">
        <v>3641</v>
      </c>
      <c r="AE306" s="37"/>
      <c r="AF306" s="39" t="s">
        <v>3641</v>
      </c>
      <c r="AG306" s="37"/>
      <c r="AH306" s="37" t="s">
        <v>3642</v>
      </c>
    </row>
    <row r="307" spans="1:34" ht="14.45" hidden="1" customHeight="1" x14ac:dyDescent="0.25">
      <c r="A307" s="6" t="s">
        <v>1873</v>
      </c>
      <c r="B307" s="7">
        <v>44609</v>
      </c>
      <c r="C307" s="6" t="s">
        <v>1872</v>
      </c>
      <c r="D307" s="6" t="s">
        <v>66</v>
      </c>
      <c r="E307" s="6" t="s">
        <v>3232</v>
      </c>
      <c r="F307" s="6" t="s">
        <v>3229</v>
      </c>
      <c r="G307" s="8">
        <v>1.2423500000000001</v>
      </c>
      <c r="H307" s="8">
        <v>6.1463900000000002</v>
      </c>
      <c r="I307" s="14" t="s">
        <v>2475</v>
      </c>
      <c r="J307" s="6" t="s">
        <v>2459</v>
      </c>
      <c r="K307" s="6" t="s">
        <v>2460</v>
      </c>
      <c r="L307" s="6"/>
      <c r="M307" s="6"/>
      <c r="N307" s="6" t="s">
        <v>3268</v>
      </c>
      <c r="O307" s="6" t="s">
        <v>7</v>
      </c>
      <c r="P307" s="6" t="str">
        <f>VLOOKUP(Tableau1[[#This Row],[SITES NAMES]],[1]Feuil1!$1:$1048576,8,FALSE)</f>
        <v>OK</v>
      </c>
      <c r="Q307" s="6" t="str">
        <f>VLOOKUP(Tableau1[[#This Row],[SITES NAMES]],[1]Feuil1!$1:$1048576,9,FALSE)</f>
        <v>NO</v>
      </c>
      <c r="R307" s="6" t="str">
        <f>VLOOKUP(Tableau1[[#This Row],[SITES NAMES]],[1]Feuil1!$1:$1048576,10,FALSE)</f>
        <v>YES</v>
      </c>
      <c r="S307" s="6" t="s">
        <v>2469</v>
      </c>
      <c r="T307" s="6" t="s">
        <v>2470</v>
      </c>
      <c r="U307" s="6" t="s">
        <v>2480</v>
      </c>
      <c r="V307" s="6" t="s">
        <v>2464</v>
      </c>
      <c r="W307" s="6" t="s">
        <v>2476</v>
      </c>
      <c r="X307" s="8"/>
      <c r="Y307" s="6" t="s">
        <v>3238</v>
      </c>
      <c r="Z307" s="6" t="s">
        <v>3262</v>
      </c>
      <c r="AA307" s="35" t="s">
        <v>3621</v>
      </c>
      <c r="AB307" s="35" t="s">
        <v>3608</v>
      </c>
      <c r="AC307" s="35" t="s">
        <v>3624</v>
      </c>
      <c r="AD307" s="35" t="s">
        <v>3610</v>
      </c>
      <c r="AE307" s="35" t="s">
        <v>3610</v>
      </c>
      <c r="AF307" s="35" t="s">
        <v>3611</v>
      </c>
      <c r="AG307" s="35" t="s">
        <v>3612</v>
      </c>
      <c r="AH307" s="35" t="s">
        <v>3625</v>
      </c>
    </row>
    <row r="308" spans="1:34" ht="14.45" hidden="1" customHeight="1" x14ac:dyDescent="0.3">
      <c r="A308" s="6" t="s">
        <v>947</v>
      </c>
      <c r="B308" s="7">
        <v>40148</v>
      </c>
      <c r="C308" s="6" t="s">
        <v>946</v>
      </c>
      <c r="D308" s="6" t="s">
        <v>657</v>
      </c>
      <c r="E308" s="6" t="s">
        <v>3235</v>
      </c>
      <c r="F308" s="6" t="s">
        <v>3229</v>
      </c>
      <c r="G308" s="8">
        <v>1.07301</v>
      </c>
      <c r="H308" s="8">
        <v>9.4100800000000007</v>
      </c>
      <c r="I308" s="6" t="s">
        <v>2477</v>
      </c>
      <c r="J308" s="6" t="s">
        <v>2459</v>
      </c>
      <c r="K308" s="6" t="s">
        <v>2468</v>
      </c>
      <c r="L308" s="6" t="s">
        <v>977</v>
      </c>
      <c r="M308" s="6"/>
      <c r="N308" s="6" t="s">
        <v>2468</v>
      </c>
      <c r="O308" s="6" t="s">
        <v>40</v>
      </c>
      <c r="P308" s="6" t="str">
        <f>VLOOKUP(Tableau1[[#This Row],[SITES NAMES]],[1]Feuil1!$1:$1048576,8,FALSE)</f>
        <v>NOK</v>
      </c>
      <c r="Q308" s="6" t="str">
        <f>VLOOKUP(Tableau1[[#This Row],[SITES NAMES]],[1]Feuil1!$1:$1048576,9,FALSE)</f>
        <v>NO</v>
      </c>
      <c r="R308" s="6" t="str">
        <f>VLOOKUP(Tableau1[[#This Row],[SITES NAMES]],[1]Feuil1!$1:$1048576,10,FALSE)</f>
        <v>NO</v>
      </c>
      <c r="S308" s="6" t="s">
        <v>2469</v>
      </c>
      <c r="T308" s="6" t="s">
        <v>2470</v>
      </c>
      <c r="U308" s="6" t="s">
        <v>2480</v>
      </c>
      <c r="V308" s="6" t="s">
        <v>2472</v>
      </c>
      <c r="W308" s="6" t="s">
        <v>2473</v>
      </c>
      <c r="X308" s="8" t="s">
        <v>2817</v>
      </c>
      <c r="Y308" s="6" t="s">
        <v>3239</v>
      </c>
      <c r="Z308" s="6" t="s">
        <v>3253</v>
      </c>
      <c r="AA308" s="37" t="s">
        <v>3698</v>
      </c>
      <c r="AB308" s="38" t="s">
        <v>3683</v>
      </c>
      <c r="AC308" s="39" t="s">
        <v>3699</v>
      </c>
      <c r="AD308" s="39" t="s">
        <v>3700</v>
      </c>
      <c r="AE308" s="37" t="s">
        <v>3701</v>
      </c>
      <c r="AF308" s="39" t="s">
        <v>3702</v>
      </c>
      <c r="AG308" s="40" t="s">
        <v>3685</v>
      </c>
      <c r="AH308" s="37" t="s">
        <v>3703</v>
      </c>
    </row>
    <row r="309" spans="1:34" ht="14.45" hidden="1" customHeight="1" x14ac:dyDescent="0.25">
      <c r="A309" s="6" t="s">
        <v>1875</v>
      </c>
      <c r="B309" s="7">
        <v>37803</v>
      </c>
      <c r="C309" s="6" t="s">
        <v>1874</v>
      </c>
      <c r="D309" s="6" t="s">
        <v>66</v>
      </c>
      <c r="E309" s="6" t="s">
        <v>3232</v>
      </c>
      <c r="F309" s="6" t="s">
        <v>3229</v>
      </c>
      <c r="G309" s="8">
        <v>1.2381329999999999</v>
      </c>
      <c r="H309" s="8">
        <v>6.1354959999999998</v>
      </c>
      <c r="I309" s="6" t="s">
        <v>2497</v>
      </c>
      <c r="J309" s="6" t="s">
        <v>2459</v>
      </c>
      <c r="K309" s="6" t="s">
        <v>2460</v>
      </c>
      <c r="L309" s="6"/>
      <c r="M309" s="6"/>
      <c r="N309" s="6" t="s">
        <v>3268</v>
      </c>
      <c r="O309" s="6" t="s">
        <v>7</v>
      </c>
      <c r="P309" s="6" t="str">
        <f>VLOOKUP(Tableau1[[#This Row],[SITES NAMES]],[1]Feuil1!$1:$1048576,8,FALSE)</f>
        <v>OK</v>
      </c>
      <c r="Q309" s="6" t="str">
        <f>VLOOKUP(Tableau1[[#This Row],[SITES NAMES]],[1]Feuil1!$1:$1048576,9,FALSE)</f>
        <v>NO</v>
      </c>
      <c r="R309" s="6" t="str">
        <f>VLOOKUP(Tableau1[[#This Row],[SITES NAMES]],[1]Feuil1!$1:$1048576,10,FALSE)</f>
        <v>NO</v>
      </c>
      <c r="S309" s="6" t="s">
        <v>2469</v>
      </c>
      <c r="T309" s="6" t="s">
        <v>2470</v>
      </c>
      <c r="U309" s="6" t="s">
        <v>2480</v>
      </c>
      <c r="V309" s="6" t="s">
        <v>2464</v>
      </c>
      <c r="W309" s="6" t="s">
        <v>2476</v>
      </c>
      <c r="X309" s="8"/>
      <c r="Y309" s="6" t="s">
        <v>3238</v>
      </c>
      <c r="Z309" s="6" t="s">
        <v>3262</v>
      </c>
      <c r="AA309" s="35" t="s">
        <v>3621</v>
      </c>
      <c r="AB309" s="35" t="s">
        <v>3608</v>
      </c>
      <c r="AC309" s="35" t="s">
        <v>3624</v>
      </c>
      <c r="AD309" s="35" t="s">
        <v>3610</v>
      </c>
      <c r="AE309" s="35" t="s">
        <v>3610</v>
      </c>
      <c r="AF309" s="35" t="s">
        <v>3611</v>
      </c>
      <c r="AG309" s="35" t="s">
        <v>3612</v>
      </c>
      <c r="AH309" s="35" t="s">
        <v>3625</v>
      </c>
    </row>
    <row r="310" spans="1:34" ht="14.45" hidden="1" customHeight="1" x14ac:dyDescent="0.25">
      <c r="A310" s="6" t="s">
        <v>1877</v>
      </c>
      <c r="B310" s="7">
        <v>0</v>
      </c>
      <c r="C310" s="6" t="s">
        <v>1876</v>
      </c>
      <c r="D310" s="6" t="s">
        <v>66</v>
      </c>
      <c r="E310" s="6" t="s">
        <v>3232</v>
      </c>
      <c r="F310" s="18" t="s">
        <v>3230</v>
      </c>
      <c r="G310" s="8">
        <v>1.245892</v>
      </c>
      <c r="H310" s="8">
        <v>6.1410080000000002</v>
      </c>
      <c r="I310" s="6" t="s">
        <v>2497</v>
      </c>
      <c r="J310" s="6" t="s">
        <v>2459</v>
      </c>
      <c r="K310" s="6" t="s">
        <v>2460</v>
      </c>
      <c r="L310" s="6"/>
      <c r="M310" s="6"/>
      <c r="N310" s="6" t="s">
        <v>3268</v>
      </c>
      <c r="O310" s="6" t="s">
        <v>7</v>
      </c>
      <c r="P310" s="6" t="str">
        <f>VLOOKUP(Tableau1[[#This Row],[SITES NAMES]],[1]Feuil1!$1:$1048576,8,FALSE)</f>
        <v>OK</v>
      </c>
      <c r="Q310" s="6" t="str">
        <f>VLOOKUP(Tableau1[[#This Row],[SITES NAMES]],[1]Feuil1!$1:$1048576,9,FALSE)</f>
        <v>NO</v>
      </c>
      <c r="R310" s="6" t="str">
        <f>VLOOKUP(Tableau1[[#This Row],[SITES NAMES]],[1]Feuil1!$1:$1048576,10,FALSE)</f>
        <v>NO</v>
      </c>
      <c r="S310" s="6" t="s">
        <v>2469</v>
      </c>
      <c r="T310" s="6" t="s">
        <v>2470</v>
      </c>
      <c r="U310" s="6" t="s">
        <v>2471</v>
      </c>
      <c r="V310" s="6" t="s">
        <v>2464</v>
      </c>
      <c r="W310" s="6" t="s">
        <v>2476</v>
      </c>
      <c r="X310" s="8">
        <v>93741028</v>
      </c>
      <c r="Y310" s="6" t="s">
        <v>3238</v>
      </c>
      <c r="Z310" s="6" t="s">
        <v>3262</v>
      </c>
      <c r="AA310" s="35" t="s">
        <v>3621</v>
      </c>
      <c r="AB310" s="35" t="s">
        <v>3608</v>
      </c>
      <c r="AC310" s="35" t="s">
        <v>3624</v>
      </c>
      <c r="AD310" s="35" t="s">
        <v>3610</v>
      </c>
      <c r="AE310" s="35" t="s">
        <v>3610</v>
      </c>
      <c r="AF310" s="35" t="s">
        <v>3611</v>
      </c>
      <c r="AG310" s="35" t="s">
        <v>3612</v>
      </c>
      <c r="AH310" s="35" t="s">
        <v>3625</v>
      </c>
    </row>
    <row r="311" spans="1:34" ht="14.45" hidden="1" customHeight="1" x14ac:dyDescent="0.25">
      <c r="A311" s="6" t="s">
        <v>1879</v>
      </c>
      <c r="B311" s="7">
        <v>43430</v>
      </c>
      <c r="C311" s="6" t="s">
        <v>1878</v>
      </c>
      <c r="D311" s="6" t="s">
        <v>66</v>
      </c>
      <c r="E311" s="6" t="s">
        <v>3232</v>
      </c>
      <c r="F311" s="6" t="s">
        <v>3229</v>
      </c>
      <c r="G311" s="8">
        <v>1.2495000000000001</v>
      </c>
      <c r="H311" s="8">
        <v>6.1356099999999998</v>
      </c>
      <c r="I311" s="6" t="s">
        <v>2497</v>
      </c>
      <c r="J311" s="6" t="s">
        <v>2459</v>
      </c>
      <c r="K311" s="6" t="s">
        <v>2460</v>
      </c>
      <c r="L311" s="6"/>
      <c r="M311" s="6"/>
      <c r="N311" s="6" t="s">
        <v>3268</v>
      </c>
      <c r="O311" s="6" t="s">
        <v>7</v>
      </c>
      <c r="P311" s="6"/>
      <c r="Q311" s="6" t="str">
        <f>VLOOKUP(Tableau1[[#This Row],[SITES NAMES]],[1]Feuil1!$1:$1048576,9,FALSE)</f>
        <v>YES</v>
      </c>
      <c r="R311" s="6" t="str">
        <f>VLOOKUP(Tableau1[[#This Row],[SITES NAMES]],[1]Feuil1!$1:$1048576,10,FALSE)</f>
        <v>NO</v>
      </c>
      <c r="S311" s="6" t="s">
        <v>2469</v>
      </c>
      <c r="T311" s="6" t="s">
        <v>2470</v>
      </c>
      <c r="U311" s="6" t="s">
        <v>2471</v>
      </c>
      <c r="V311" s="6" t="s">
        <v>2464</v>
      </c>
      <c r="W311" s="6" t="s">
        <v>2476</v>
      </c>
      <c r="X311" s="8" t="s">
        <v>3043</v>
      </c>
      <c r="Y311" s="6" t="s">
        <v>3238</v>
      </c>
      <c r="Z311" s="6" t="s">
        <v>3262</v>
      </c>
      <c r="AA311" s="35" t="s">
        <v>3621</v>
      </c>
      <c r="AB311" s="35" t="s">
        <v>3608</v>
      </c>
      <c r="AC311" s="35" t="s">
        <v>3624</v>
      </c>
      <c r="AD311" s="35" t="s">
        <v>3610</v>
      </c>
      <c r="AE311" s="35" t="s">
        <v>3610</v>
      </c>
      <c r="AF311" s="35" t="s">
        <v>3611</v>
      </c>
      <c r="AG311" s="35" t="s">
        <v>3612</v>
      </c>
      <c r="AH311" s="35" t="s">
        <v>3625</v>
      </c>
    </row>
    <row r="312" spans="1:34" ht="14.45" hidden="1" customHeight="1" x14ac:dyDescent="0.25">
      <c r="A312" s="6" t="s">
        <v>1386</v>
      </c>
      <c r="B312" s="7">
        <v>44595</v>
      </c>
      <c r="C312" s="6" t="s">
        <v>1385</v>
      </c>
      <c r="D312" s="6" t="s">
        <v>66</v>
      </c>
      <c r="E312" s="6" t="s">
        <v>3231</v>
      </c>
      <c r="F312" s="6" t="s">
        <v>3229</v>
      </c>
      <c r="G312" s="8">
        <v>1.2506900000000001</v>
      </c>
      <c r="H312" s="8">
        <v>6.1549500000000004</v>
      </c>
      <c r="I312" s="6" t="s">
        <v>2475</v>
      </c>
      <c r="J312" s="6" t="s">
        <v>2459</v>
      </c>
      <c r="K312" s="6" t="s">
        <v>2460</v>
      </c>
      <c r="L312" s="6"/>
      <c r="M312" s="6"/>
      <c r="N312" s="6" t="s">
        <v>3268</v>
      </c>
      <c r="O312" s="6" t="s">
        <v>7</v>
      </c>
      <c r="P312" s="6" t="str">
        <f>VLOOKUP(Tableau1[[#This Row],[SITES NAMES]],[1]Feuil1!$1:$1048576,8,FALSE)</f>
        <v>OK</v>
      </c>
      <c r="Q312" s="6" t="str">
        <f>VLOOKUP(Tableau1[[#This Row],[SITES NAMES]],[1]Feuil1!$1:$1048576,9,FALSE)</f>
        <v>NO</v>
      </c>
      <c r="R312" s="6" t="str">
        <f>VLOOKUP(Tableau1[[#This Row],[SITES NAMES]],[1]Feuil1!$1:$1048576,10,FALSE)</f>
        <v>YES</v>
      </c>
      <c r="S312" s="6" t="s">
        <v>2469</v>
      </c>
      <c r="T312" s="6" t="s">
        <v>2470</v>
      </c>
      <c r="U312" s="6" t="s">
        <v>2471</v>
      </c>
      <c r="V312" s="6" t="s">
        <v>2472</v>
      </c>
      <c r="W312" s="6" t="s">
        <v>2476</v>
      </c>
      <c r="X312" s="8"/>
      <c r="Y312" s="6" t="s">
        <v>3238</v>
      </c>
      <c r="Z312" s="6"/>
      <c r="AA312" s="35" t="s">
        <v>3621</v>
      </c>
      <c r="AB312" s="35" t="s">
        <v>3608</v>
      </c>
      <c r="AC312" s="35" t="s">
        <v>3622</v>
      </c>
      <c r="AD312" s="35" t="s">
        <v>3610</v>
      </c>
      <c r="AE312" s="35" t="s">
        <v>3610</v>
      </c>
      <c r="AF312" s="35" t="s">
        <v>3611</v>
      </c>
      <c r="AG312" s="35" t="s">
        <v>3612</v>
      </c>
      <c r="AH312" s="35" t="s">
        <v>3623</v>
      </c>
    </row>
    <row r="313" spans="1:34" ht="14.45" hidden="1" customHeight="1" x14ac:dyDescent="0.25">
      <c r="A313" s="6" t="s">
        <v>1388</v>
      </c>
      <c r="B313" s="7">
        <v>38322</v>
      </c>
      <c r="C313" s="6" t="s">
        <v>1387</v>
      </c>
      <c r="D313" s="6" t="s">
        <v>66</v>
      </c>
      <c r="E313" s="6" t="s">
        <v>3231</v>
      </c>
      <c r="F313" s="6" t="s">
        <v>3229</v>
      </c>
      <c r="G313" s="8">
        <v>1.258702</v>
      </c>
      <c r="H313" s="8">
        <v>6.1561937320000002</v>
      </c>
      <c r="I313" s="6" t="s">
        <v>2497</v>
      </c>
      <c r="J313" s="6" t="s">
        <v>2459</v>
      </c>
      <c r="K313" s="6" t="s">
        <v>2460</v>
      </c>
      <c r="L313" s="6"/>
      <c r="M313" s="6"/>
      <c r="N313" s="6" t="s">
        <v>3268</v>
      </c>
      <c r="O313" s="6" t="s">
        <v>7</v>
      </c>
      <c r="P313" s="6" t="str">
        <f>VLOOKUP(Tableau1[[#This Row],[SITES NAMES]],[1]Feuil1!$1:$1048576,8,FALSE)</f>
        <v>NOK</v>
      </c>
      <c r="Q313" s="6" t="str">
        <f>VLOOKUP(Tableau1[[#This Row],[SITES NAMES]],[1]Feuil1!$1:$1048576,9,FALSE)</f>
        <v>NO</v>
      </c>
      <c r="R313" s="6" t="str">
        <f>VLOOKUP(Tableau1[[#This Row],[SITES NAMES]],[1]Feuil1!$1:$1048576,10,FALSE)</f>
        <v>NO</v>
      </c>
      <c r="S313" s="6" t="s">
        <v>2469</v>
      </c>
      <c r="T313" s="6" t="s">
        <v>2470</v>
      </c>
      <c r="U313" s="6" t="s">
        <v>2471</v>
      </c>
      <c r="V313" s="6" t="s">
        <v>2464</v>
      </c>
      <c r="W313" s="6" t="s">
        <v>2476</v>
      </c>
      <c r="X313" s="8" t="s">
        <v>2936</v>
      </c>
      <c r="Y313" s="6" t="s">
        <v>3238</v>
      </c>
      <c r="Z313" s="6"/>
      <c r="AA313" s="35" t="s">
        <v>3621</v>
      </c>
      <c r="AB313" s="35" t="s">
        <v>3608</v>
      </c>
      <c r="AC313" s="35" t="s">
        <v>3622</v>
      </c>
      <c r="AD313" s="35" t="s">
        <v>3610</v>
      </c>
      <c r="AE313" s="35" t="s">
        <v>3610</v>
      </c>
      <c r="AF313" s="35" t="s">
        <v>3611</v>
      </c>
      <c r="AG313" s="35" t="s">
        <v>3612</v>
      </c>
      <c r="AH313" s="35" t="s">
        <v>3623</v>
      </c>
    </row>
    <row r="314" spans="1:34" ht="14.45" hidden="1" customHeight="1" x14ac:dyDescent="0.25">
      <c r="A314" s="6" t="s">
        <v>1390</v>
      </c>
      <c r="B314" s="7">
        <v>41991</v>
      </c>
      <c r="C314" s="6" t="s">
        <v>1389</v>
      </c>
      <c r="D314" s="6" t="s">
        <v>66</v>
      </c>
      <c r="E314" s="6" t="s">
        <v>3231</v>
      </c>
      <c r="F314" s="6" t="s">
        <v>3229</v>
      </c>
      <c r="G314" s="8">
        <v>1.2605919999999999</v>
      </c>
      <c r="H314" s="8">
        <v>6.1647429999999996</v>
      </c>
      <c r="I314" s="6" t="s">
        <v>2497</v>
      </c>
      <c r="J314" s="6" t="s">
        <v>2459</v>
      </c>
      <c r="K314" s="6" t="s">
        <v>2460</v>
      </c>
      <c r="L314" s="6"/>
      <c r="M314" s="6"/>
      <c r="N314" s="6" t="s">
        <v>3268</v>
      </c>
      <c r="O314" s="6" t="s">
        <v>7</v>
      </c>
      <c r="P314" s="6" t="str">
        <f>VLOOKUP(Tableau1[[#This Row],[SITES NAMES]],[1]Feuil1!$1:$1048576,8,FALSE)</f>
        <v>OK</v>
      </c>
      <c r="Q314" s="6" t="str">
        <f>VLOOKUP(Tableau1[[#This Row],[SITES NAMES]],[1]Feuil1!$1:$1048576,9,FALSE)</f>
        <v>NO</v>
      </c>
      <c r="R314" s="6" t="str">
        <f>VLOOKUP(Tableau1[[#This Row],[SITES NAMES]],[1]Feuil1!$1:$1048576,10,FALSE)</f>
        <v>NO</v>
      </c>
      <c r="S314" s="6" t="s">
        <v>2469</v>
      </c>
      <c r="T314" s="6" t="s">
        <v>2470</v>
      </c>
      <c r="U314" s="6" t="s">
        <v>2480</v>
      </c>
      <c r="V314" s="6" t="s">
        <v>2464</v>
      </c>
      <c r="W314" s="6" t="s">
        <v>2476</v>
      </c>
      <c r="X314" s="8" t="s">
        <v>2937</v>
      </c>
      <c r="Y314" s="6" t="s">
        <v>3238</v>
      </c>
      <c r="Z314" s="6"/>
      <c r="AA314" s="35" t="s">
        <v>3621</v>
      </c>
      <c r="AB314" s="35" t="s">
        <v>3608</v>
      </c>
      <c r="AC314" s="35" t="s">
        <v>3622</v>
      </c>
      <c r="AD314" s="35" t="s">
        <v>3610</v>
      </c>
      <c r="AE314" s="35" t="s">
        <v>3610</v>
      </c>
      <c r="AF314" s="35" t="s">
        <v>3611</v>
      </c>
      <c r="AG314" s="35" t="s">
        <v>3612</v>
      </c>
      <c r="AH314" s="35" t="s">
        <v>3623</v>
      </c>
    </row>
    <row r="315" spans="1:34" ht="14.45" hidden="1" customHeight="1" x14ac:dyDescent="0.3">
      <c r="A315" s="6" t="s">
        <v>293</v>
      </c>
      <c r="B315" s="7">
        <v>45117</v>
      </c>
      <c r="C315" s="6" t="s">
        <v>292</v>
      </c>
      <c r="D315" s="6" t="s">
        <v>132</v>
      </c>
      <c r="E315" s="6" t="s">
        <v>251</v>
      </c>
      <c r="F315" s="6" t="s">
        <v>3229</v>
      </c>
      <c r="G315" s="8">
        <v>0.91061999999999999</v>
      </c>
      <c r="H315" s="8">
        <v>7.5380500000000001</v>
      </c>
      <c r="I315" s="6" t="s">
        <v>2477</v>
      </c>
      <c r="J315" s="6" t="s">
        <v>2459</v>
      </c>
      <c r="K315" s="6" t="s">
        <v>2468</v>
      </c>
      <c r="L315" s="6" t="s">
        <v>3383</v>
      </c>
      <c r="M315" s="6"/>
      <c r="N315" s="6" t="s">
        <v>2468</v>
      </c>
      <c r="O315" s="6" t="s">
        <v>40</v>
      </c>
      <c r="P315" s="6" t="str">
        <f>VLOOKUP(Tableau1[[#This Row],[SITES NAMES]],[1]Feuil1!$1:$1048576,8,FALSE)</f>
        <v>OK</v>
      </c>
      <c r="Q315" s="6" t="str">
        <f>VLOOKUP(Tableau1[[#This Row],[SITES NAMES]],[1]Feuil1!$1:$1048576,9,FALSE)</f>
        <v>NO</v>
      </c>
      <c r="R315" s="6" t="str">
        <f>VLOOKUP(Tableau1[[#This Row],[SITES NAMES]],[1]Feuil1!$1:$1048576,10,FALSE)</f>
        <v>NO</v>
      </c>
      <c r="S315" s="6" t="s">
        <v>2469</v>
      </c>
      <c r="T315" s="6" t="s">
        <v>2470</v>
      </c>
      <c r="U315" s="6" t="s">
        <v>2480</v>
      </c>
      <c r="V315" s="6" t="s">
        <v>2472</v>
      </c>
      <c r="W315" s="6" t="s">
        <v>2473</v>
      </c>
      <c r="X315" s="8"/>
      <c r="Y315" s="6" t="s">
        <v>3238</v>
      </c>
      <c r="Z315" s="6" t="s">
        <v>3256</v>
      </c>
      <c r="AA315" s="37" t="s">
        <v>3651</v>
      </c>
      <c r="AB315" s="39" t="s">
        <v>3644</v>
      </c>
      <c r="AC315" s="45" t="s">
        <v>3652</v>
      </c>
      <c r="AD315" s="39" t="s">
        <v>3646</v>
      </c>
      <c r="AE315" s="37" t="s">
        <v>3653</v>
      </c>
      <c r="AF315" s="37" t="s">
        <v>3654</v>
      </c>
      <c r="AG315" s="37" t="s">
        <v>3649</v>
      </c>
      <c r="AH315" s="37" t="s">
        <v>3655</v>
      </c>
    </row>
    <row r="316" spans="1:34" ht="14.45" hidden="1" customHeight="1" x14ac:dyDescent="0.25">
      <c r="A316" s="6" t="s">
        <v>1881</v>
      </c>
      <c r="B316" s="7">
        <v>37773</v>
      </c>
      <c r="C316" s="6" t="s">
        <v>1880</v>
      </c>
      <c r="D316" s="6" t="s">
        <v>66</v>
      </c>
      <c r="E316" s="6" t="s">
        <v>3232</v>
      </c>
      <c r="F316" s="6" t="s">
        <v>3229</v>
      </c>
      <c r="G316" s="8">
        <v>1.2321709999999999</v>
      </c>
      <c r="H316" s="8">
        <v>6.1303530000000004</v>
      </c>
      <c r="I316" s="6" t="s">
        <v>2497</v>
      </c>
      <c r="J316" s="6" t="s">
        <v>2459</v>
      </c>
      <c r="K316" s="6" t="s">
        <v>2460</v>
      </c>
      <c r="L316" s="6"/>
      <c r="M316" s="6"/>
      <c r="N316" s="6" t="s">
        <v>3268</v>
      </c>
      <c r="O316" s="6" t="s">
        <v>7</v>
      </c>
      <c r="P316" s="6" t="str">
        <f>VLOOKUP(Tableau1[[#This Row],[SITES NAMES]],[1]Feuil1!$1:$1048576,8,FALSE)</f>
        <v>OK</v>
      </c>
      <c r="Q316" s="6" t="str">
        <f>VLOOKUP(Tableau1[[#This Row],[SITES NAMES]],[1]Feuil1!$1:$1048576,9,FALSE)</f>
        <v>NO</v>
      </c>
      <c r="R316" s="6" t="str">
        <f>VLOOKUP(Tableau1[[#This Row],[SITES NAMES]],[1]Feuil1!$1:$1048576,10,FALSE)</f>
        <v>NO</v>
      </c>
      <c r="S316" s="6" t="s">
        <v>2469</v>
      </c>
      <c r="T316" s="6" t="s">
        <v>2470</v>
      </c>
      <c r="U316" s="6" t="s">
        <v>2471</v>
      </c>
      <c r="V316" s="6" t="s">
        <v>2478</v>
      </c>
      <c r="W316" s="6" t="s">
        <v>2476</v>
      </c>
      <c r="X316" s="8" t="s">
        <v>3244</v>
      </c>
      <c r="Y316" s="6" t="s">
        <v>3238</v>
      </c>
      <c r="Z316" s="6" t="s">
        <v>3262</v>
      </c>
      <c r="AA316" s="35" t="s">
        <v>3621</v>
      </c>
      <c r="AB316" s="35" t="s">
        <v>3608</v>
      </c>
      <c r="AC316" s="35" t="s">
        <v>3624</v>
      </c>
      <c r="AD316" s="35" t="s">
        <v>3610</v>
      </c>
      <c r="AE316" s="35" t="s">
        <v>3610</v>
      </c>
      <c r="AF316" s="35" t="s">
        <v>3611</v>
      </c>
      <c r="AG316" s="35" t="s">
        <v>3612</v>
      </c>
      <c r="AH316" s="35" t="s">
        <v>3625</v>
      </c>
    </row>
    <row r="317" spans="1:34" ht="14.45" hidden="1" customHeight="1" x14ac:dyDescent="0.25">
      <c r="A317" s="6" t="s">
        <v>1883</v>
      </c>
      <c r="B317" s="7">
        <v>0</v>
      </c>
      <c r="C317" s="6" t="s">
        <v>1882</v>
      </c>
      <c r="D317" s="6" t="s">
        <v>66</v>
      </c>
      <c r="E317" s="6" t="s">
        <v>3232</v>
      </c>
      <c r="F317" s="6" t="s">
        <v>3229</v>
      </c>
      <c r="G317" s="8">
        <v>1.225047</v>
      </c>
      <c r="H317" s="8">
        <v>6.1250039999999997</v>
      </c>
      <c r="I317" s="6" t="s">
        <v>2497</v>
      </c>
      <c r="J317" s="6" t="s">
        <v>2459</v>
      </c>
      <c r="K317" s="6" t="s">
        <v>2460</v>
      </c>
      <c r="L317" s="6"/>
      <c r="M317" s="6"/>
      <c r="N317" s="6" t="s">
        <v>3268</v>
      </c>
      <c r="O317" s="6" t="s">
        <v>1206</v>
      </c>
      <c r="P317" s="6"/>
      <c r="Q317" s="6" t="str">
        <f>VLOOKUP(Tableau1[[#This Row],[SITES NAMES]],[1]Feuil1!$1:$1048576,9,FALSE)</f>
        <v>NO</v>
      </c>
      <c r="R317" s="6" t="str">
        <f>VLOOKUP(Tableau1[[#This Row],[SITES NAMES]],[1]Feuil1!$1:$1048576,10,FALSE)</f>
        <v>NO</v>
      </c>
      <c r="S317" s="6" t="s">
        <v>2469</v>
      </c>
      <c r="T317" s="6" t="s">
        <v>2470</v>
      </c>
      <c r="U317" s="6" t="s">
        <v>2463</v>
      </c>
      <c r="V317" s="6" t="s">
        <v>2478</v>
      </c>
      <c r="W317" s="6" t="s">
        <v>2476</v>
      </c>
      <c r="X317" s="8"/>
      <c r="Y317" s="6" t="s">
        <v>3238</v>
      </c>
      <c r="Z317" s="6" t="s">
        <v>3262</v>
      </c>
      <c r="AA317" s="35" t="s">
        <v>3621</v>
      </c>
      <c r="AB317" s="35" t="s">
        <v>3608</v>
      </c>
      <c r="AC317" s="35" t="s">
        <v>3624</v>
      </c>
      <c r="AD317" s="35" t="s">
        <v>3610</v>
      </c>
      <c r="AE317" s="35" t="s">
        <v>3610</v>
      </c>
      <c r="AF317" s="35" t="s">
        <v>3611</v>
      </c>
      <c r="AG317" s="35" t="s">
        <v>3612</v>
      </c>
      <c r="AH317" s="35" t="s">
        <v>3625</v>
      </c>
    </row>
    <row r="318" spans="1:34" ht="14.45" hidden="1" customHeight="1" x14ac:dyDescent="0.3">
      <c r="A318" s="6" t="s">
        <v>1991</v>
      </c>
      <c r="B318" s="7">
        <v>46022</v>
      </c>
      <c r="C318" s="6" t="s">
        <v>1990</v>
      </c>
      <c r="D318" s="6" t="s">
        <v>395</v>
      </c>
      <c r="E318" s="6" t="s">
        <v>1965</v>
      </c>
      <c r="F318" s="6" t="s">
        <v>3229</v>
      </c>
      <c r="G318" s="8">
        <v>0.435247</v>
      </c>
      <c r="H318" s="8">
        <v>10.634307</v>
      </c>
      <c r="I318" s="16" t="s">
        <v>2477</v>
      </c>
      <c r="J318" s="6" t="s">
        <v>2459</v>
      </c>
      <c r="K318" s="6" t="s">
        <v>2468</v>
      </c>
      <c r="L318" s="6"/>
      <c r="M318" s="6"/>
      <c r="N318" s="6" t="s">
        <v>2468</v>
      </c>
      <c r="O318" s="6" t="s">
        <v>7</v>
      </c>
      <c r="P318" s="6"/>
      <c r="Q318" s="6"/>
      <c r="R318" s="6"/>
      <c r="S318" s="6"/>
      <c r="T318" s="6"/>
      <c r="U318" s="6"/>
      <c r="V318" s="6"/>
      <c r="W318" s="6"/>
      <c r="X318" s="8"/>
      <c r="Y318" s="6" t="s">
        <v>3240</v>
      </c>
      <c r="Z318" s="6" t="s">
        <v>3255</v>
      </c>
      <c r="AA318" s="37" t="s">
        <v>3712</v>
      </c>
      <c r="AB318" s="39" t="s">
        <v>3705</v>
      </c>
      <c r="AC318" s="37" t="s">
        <v>3713</v>
      </c>
      <c r="AD318" s="37" t="s">
        <v>3712</v>
      </c>
      <c r="AE318" s="37" t="s">
        <v>3712</v>
      </c>
      <c r="AF318" s="37" t="s">
        <v>3712</v>
      </c>
      <c r="AG318" s="40" t="s">
        <v>3714</v>
      </c>
      <c r="AH318" s="37" t="s">
        <v>3715</v>
      </c>
    </row>
    <row r="319" spans="1:34" ht="14.45" hidden="1" customHeight="1" x14ac:dyDescent="0.3">
      <c r="A319" s="6" t="s">
        <v>491</v>
      </c>
      <c r="B319" s="7">
        <v>44882</v>
      </c>
      <c r="C319" s="6" t="s">
        <v>490</v>
      </c>
      <c r="D319" s="6" t="s">
        <v>395</v>
      </c>
      <c r="E319" s="6" t="s">
        <v>396</v>
      </c>
      <c r="F319" s="6" t="s">
        <v>3229</v>
      </c>
      <c r="G319" s="8">
        <v>2.0102999999999999E-2</v>
      </c>
      <c r="H319" s="8">
        <v>10.96030045</v>
      </c>
      <c r="I319" s="6" t="s">
        <v>2477</v>
      </c>
      <c r="J319" s="6" t="s">
        <v>2459</v>
      </c>
      <c r="K319" s="6" t="s">
        <v>2468</v>
      </c>
      <c r="L319" s="6"/>
      <c r="M319" s="6"/>
      <c r="N319" s="6" t="s">
        <v>2468</v>
      </c>
      <c r="O319" s="6" t="s">
        <v>40</v>
      </c>
      <c r="P319" s="6" t="str">
        <f>VLOOKUP(Tableau1[[#This Row],[SITES NAMES]],[1]Feuil1!$1:$1048576,8,FALSE)</f>
        <v>OK</v>
      </c>
      <c r="Q319" s="6" t="str">
        <f>VLOOKUP(Tableau1[[#This Row],[SITES NAMES]],[1]Feuil1!$1:$1048576,9,FALSE)</f>
        <v>NO</v>
      </c>
      <c r="R319" s="6" t="str">
        <f>VLOOKUP(Tableau1[[#This Row],[SITES NAMES]],[1]Feuil1!$1:$1048576,10,FALSE)</f>
        <v>NO</v>
      </c>
      <c r="S319" s="6" t="s">
        <v>2461</v>
      </c>
      <c r="T319" s="6" t="s">
        <v>2470</v>
      </c>
      <c r="U319" s="6" t="s">
        <v>2463</v>
      </c>
      <c r="V319" s="6" t="s">
        <v>2472</v>
      </c>
      <c r="W319" s="6" t="s">
        <v>2473</v>
      </c>
      <c r="X319" s="8">
        <v>70997253</v>
      </c>
      <c r="Y319" s="6" t="s">
        <v>3240</v>
      </c>
      <c r="Z319" s="6" t="s">
        <v>3255</v>
      </c>
      <c r="AA319" s="37" t="s">
        <v>3704</v>
      </c>
      <c r="AB319" s="39" t="s">
        <v>3705</v>
      </c>
      <c r="AC319" s="37" t="s">
        <v>3706</v>
      </c>
      <c r="AD319" s="37" t="s">
        <v>3707</v>
      </c>
      <c r="AE319" s="37" t="s">
        <v>3708</v>
      </c>
      <c r="AF319" s="37" t="s">
        <v>3709</v>
      </c>
      <c r="AG319" s="46" t="s">
        <v>3710</v>
      </c>
      <c r="AH319" s="37" t="s">
        <v>3711</v>
      </c>
    </row>
    <row r="320" spans="1:34" ht="14.45" hidden="1" customHeight="1" x14ac:dyDescent="0.3">
      <c r="A320" s="6" t="s">
        <v>493</v>
      </c>
      <c r="B320" s="7">
        <v>43629</v>
      </c>
      <c r="C320" s="6" t="s">
        <v>492</v>
      </c>
      <c r="D320" s="6" t="s">
        <v>395</v>
      </c>
      <c r="E320" s="6" t="s">
        <v>396</v>
      </c>
      <c r="F320" s="6" t="s">
        <v>3229</v>
      </c>
      <c r="G320" s="8">
        <v>5.1662E-2</v>
      </c>
      <c r="H320" s="8">
        <v>11.017098000000001</v>
      </c>
      <c r="I320" s="6" t="s">
        <v>2477</v>
      </c>
      <c r="J320" s="6" t="s">
        <v>2459</v>
      </c>
      <c r="K320" s="6" t="s">
        <v>2460</v>
      </c>
      <c r="L320" s="6"/>
      <c r="M320" s="6"/>
      <c r="N320" s="6" t="s">
        <v>3268</v>
      </c>
      <c r="O320" s="6" t="s">
        <v>7</v>
      </c>
      <c r="P320" s="6" t="str">
        <f>VLOOKUP(Tableau1[[#This Row],[SITES NAMES]],[1]Feuil1!$1:$1048576,8,FALSE)</f>
        <v>OK</v>
      </c>
      <c r="Q320" s="6" t="str">
        <f>VLOOKUP(Tableau1[[#This Row],[SITES NAMES]],[1]Feuil1!$1:$1048576,9,FALSE)</f>
        <v>NO</v>
      </c>
      <c r="R320" s="6" t="str">
        <f>VLOOKUP(Tableau1[[#This Row],[SITES NAMES]],[1]Feuil1!$1:$1048576,10,FALSE)</f>
        <v>NO</v>
      </c>
      <c r="S320" s="6" t="s">
        <v>2461</v>
      </c>
      <c r="T320" s="6" t="s">
        <v>2462</v>
      </c>
      <c r="U320" s="6" t="s">
        <v>2463</v>
      </c>
      <c r="V320" s="6" t="s">
        <v>2472</v>
      </c>
      <c r="W320" s="6" t="s">
        <v>2473</v>
      </c>
      <c r="X320" s="8">
        <v>70996705</v>
      </c>
      <c r="Y320" s="6" t="s">
        <v>3240</v>
      </c>
      <c r="Z320" s="6" t="s">
        <v>3255</v>
      </c>
      <c r="AA320" s="37" t="s">
        <v>3704</v>
      </c>
      <c r="AB320" s="39" t="s">
        <v>3705</v>
      </c>
      <c r="AC320" s="37" t="s">
        <v>3706</v>
      </c>
      <c r="AD320" s="37" t="s">
        <v>3707</v>
      </c>
      <c r="AE320" s="37" t="s">
        <v>3708</v>
      </c>
      <c r="AF320" s="37" t="s">
        <v>3709</v>
      </c>
      <c r="AG320" s="46" t="s">
        <v>3710</v>
      </c>
      <c r="AH320" s="37" t="s">
        <v>3711</v>
      </c>
    </row>
    <row r="321" spans="1:34" ht="14.45" hidden="1" customHeight="1" x14ac:dyDescent="0.3">
      <c r="A321" s="6" t="s">
        <v>949</v>
      </c>
      <c r="B321" s="7">
        <v>43893</v>
      </c>
      <c r="C321" s="6" t="s">
        <v>948</v>
      </c>
      <c r="D321" s="6" t="s">
        <v>657</v>
      </c>
      <c r="E321" s="6" t="s">
        <v>3235</v>
      </c>
      <c r="F321" s="6" t="s">
        <v>3229</v>
      </c>
      <c r="G321" s="8">
        <v>0.91635</v>
      </c>
      <c r="H321" s="8">
        <v>9.6737000000000002</v>
      </c>
      <c r="I321" s="6" t="s">
        <v>2467</v>
      </c>
      <c r="J321" s="6" t="s">
        <v>2459</v>
      </c>
      <c r="K321" s="6" t="s">
        <v>2468</v>
      </c>
      <c r="L321" s="6"/>
      <c r="M321" s="6"/>
      <c r="N321" s="6" t="s">
        <v>2468</v>
      </c>
      <c r="O321" s="6" t="s">
        <v>40</v>
      </c>
      <c r="P321" s="6" t="str">
        <f>VLOOKUP(Tableau1[[#This Row],[SITES NAMES]],[1]Feuil1!$1:$1048576,8,FALSE)</f>
        <v>OK</v>
      </c>
      <c r="Q321" s="6" t="str">
        <f>VLOOKUP(Tableau1[[#This Row],[SITES NAMES]],[1]Feuil1!$1:$1048576,9,FALSE)</f>
        <v>NO</v>
      </c>
      <c r="R321" s="6" t="str">
        <f>VLOOKUP(Tableau1[[#This Row],[SITES NAMES]],[1]Feuil1!$1:$1048576,10,FALSE)</f>
        <v>NO</v>
      </c>
      <c r="S321" s="6" t="s">
        <v>2461</v>
      </c>
      <c r="T321" s="6" t="s">
        <v>2462</v>
      </c>
      <c r="U321" s="6" t="s">
        <v>2463</v>
      </c>
      <c r="V321" s="6" t="s">
        <v>2472</v>
      </c>
      <c r="W321" s="6" t="s">
        <v>2473</v>
      </c>
      <c r="X321" s="8" t="s">
        <v>2818</v>
      </c>
      <c r="Y321" s="6" t="s">
        <v>3239</v>
      </c>
      <c r="Z321" s="6" t="s">
        <v>3253</v>
      </c>
      <c r="AA321" s="37" t="s">
        <v>3698</v>
      </c>
      <c r="AB321" s="38" t="s">
        <v>3683</v>
      </c>
      <c r="AC321" s="39" t="s">
        <v>3699</v>
      </c>
      <c r="AD321" s="39" t="s">
        <v>3700</v>
      </c>
      <c r="AE321" s="37" t="s">
        <v>3701</v>
      </c>
      <c r="AF321" s="39" t="s">
        <v>3702</v>
      </c>
      <c r="AG321" s="40" t="s">
        <v>3685</v>
      </c>
      <c r="AH321" s="37" t="s">
        <v>3703</v>
      </c>
    </row>
    <row r="322" spans="1:34" ht="14.45" hidden="1" customHeight="1" x14ac:dyDescent="0.3">
      <c r="A322" s="6" t="s">
        <v>495</v>
      </c>
      <c r="B322" s="7">
        <v>45191</v>
      </c>
      <c r="C322" s="6" t="s">
        <v>494</v>
      </c>
      <c r="D322" s="6" t="s">
        <v>395</v>
      </c>
      <c r="E322" s="6" t="s">
        <v>396</v>
      </c>
      <c r="F322" s="6" t="s">
        <v>3229</v>
      </c>
      <c r="G322" s="8">
        <v>0.27196999999999999</v>
      </c>
      <c r="H322" s="8">
        <v>10.71233</v>
      </c>
      <c r="I322" s="6" t="s">
        <v>2477</v>
      </c>
      <c r="J322" s="6" t="s">
        <v>2459</v>
      </c>
      <c r="K322" s="6" t="s">
        <v>2468</v>
      </c>
      <c r="L322" s="6" t="s">
        <v>3384</v>
      </c>
      <c r="M322" s="6"/>
      <c r="N322" s="6" t="s">
        <v>2468</v>
      </c>
      <c r="O322" s="6" t="s">
        <v>7</v>
      </c>
      <c r="P322" s="6" t="str">
        <f>VLOOKUP(Tableau1[[#This Row],[SITES NAMES]],[1]Feuil1!$1:$1048576,8,FALSE)</f>
        <v>OK</v>
      </c>
      <c r="Q322" s="6" t="str">
        <f>VLOOKUP(Tableau1[[#This Row],[SITES NAMES]],[1]Feuil1!$1:$1048576,9,FALSE)</f>
        <v>NO</v>
      </c>
      <c r="R322" s="6" t="str">
        <f>VLOOKUP(Tableau1[[#This Row],[SITES NAMES]],[1]Feuil1!$1:$1048576,10,FALSE)</f>
        <v>NO</v>
      </c>
      <c r="S322" s="6" t="s">
        <v>2461</v>
      </c>
      <c r="T322" s="6" t="s">
        <v>2462</v>
      </c>
      <c r="U322" s="6" t="s">
        <v>2463</v>
      </c>
      <c r="V322" s="6" t="s">
        <v>2472</v>
      </c>
      <c r="W322" s="6" t="s">
        <v>2654</v>
      </c>
      <c r="X322" s="8"/>
      <c r="Y322" s="6" t="s">
        <v>3240</v>
      </c>
      <c r="Z322" s="6" t="s">
        <v>3255</v>
      </c>
      <c r="AA322" s="37" t="s">
        <v>3704</v>
      </c>
      <c r="AB322" s="39" t="s">
        <v>3705</v>
      </c>
      <c r="AC322" s="37" t="s">
        <v>3706</v>
      </c>
      <c r="AD322" s="37" t="s">
        <v>3707</v>
      </c>
      <c r="AE322" s="37" t="s">
        <v>3708</v>
      </c>
      <c r="AF322" s="37" t="s">
        <v>3709</v>
      </c>
      <c r="AG322" s="46" t="s">
        <v>3710</v>
      </c>
      <c r="AH322" s="37" t="s">
        <v>3711</v>
      </c>
    </row>
    <row r="323" spans="1:34" ht="14.45" hidden="1" customHeight="1" x14ac:dyDescent="0.3">
      <c r="A323" s="6" t="s">
        <v>594</v>
      </c>
      <c r="B323" s="7">
        <v>44855</v>
      </c>
      <c r="C323" s="6" t="s">
        <v>593</v>
      </c>
      <c r="D323" s="6" t="s">
        <v>132</v>
      </c>
      <c r="E323" s="6" t="s">
        <v>565</v>
      </c>
      <c r="F323" s="6" t="s">
        <v>3229</v>
      </c>
      <c r="G323" s="8">
        <v>1.32</v>
      </c>
      <c r="H323" s="8">
        <v>8.0349330000000005</v>
      </c>
      <c r="I323" s="6" t="s">
        <v>2477</v>
      </c>
      <c r="J323" s="6" t="s">
        <v>2459</v>
      </c>
      <c r="K323" s="6" t="s">
        <v>2468</v>
      </c>
      <c r="L323" s="6" t="s">
        <v>3385</v>
      </c>
      <c r="M323" s="6"/>
      <c r="N323" s="6" t="s">
        <v>2468</v>
      </c>
      <c r="O323" s="6" t="s">
        <v>40</v>
      </c>
      <c r="P323" s="6" t="str">
        <f>VLOOKUP(Tableau1[[#This Row],[SITES NAMES]],[1]Feuil1!$1:$1048576,8,FALSE)</f>
        <v>OK</v>
      </c>
      <c r="Q323" s="6" t="str">
        <f>VLOOKUP(Tableau1[[#This Row],[SITES NAMES]],[1]Feuil1!$1:$1048576,9,FALSE)</f>
        <v>NO</v>
      </c>
      <c r="R323" s="6" t="str">
        <f>VLOOKUP(Tableau1[[#This Row],[SITES NAMES]],[1]Feuil1!$1:$1048576,10,FALSE)</f>
        <v>YES</v>
      </c>
      <c r="S323" s="6" t="s">
        <v>2461</v>
      </c>
      <c r="T323" s="6" t="s">
        <v>2462</v>
      </c>
      <c r="U323" s="6" t="s">
        <v>2463</v>
      </c>
      <c r="V323" s="6" t="s">
        <v>2472</v>
      </c>
      <c r="W323" s="6" t="s">
        <v>2473</v>
      </c>
      <c r="X323" s="8">
        <v>70997254</v>
      </c>
      <c r="Y323" s="6" t="s">
        <v>3238</v>
      </c>
      <c r="Z323" s="6"/>
      <c r="AA323" s="37" t="s">
        <v>3660</v>
      </c>
      <c r="AB323" s="39" t="s">
        <v>3644</v>
      </c>
      <c r="AC323" s="37" t="s">
        <v>3661</v>
      </c>
      <c r="AD323" s="39" t="s">
        <v>3646</v>
      </c>
      <c r="AE323" s="39" t="s">
        <v>3647</v>
      </c>
      <c r="AF323" s="39" t="s">
        <v>3662</v>
      </c>
      <c r="AG323" s="37" t="s">
        <v>3649</v>
      </c>
      <c r="AH323" s="37" t="s">
        <v>3663</v>
      </c>
    </row>
    <row r="324" spans="1:34" ht="14.45" hidden="1" customHeight="1" x14ac:dyDescent="0.3">
      <c r="A324" s="6" t="s">
        <v>692</v>
      </c>
      <c r="B324" s="7">
        <v>45164</v>
      </c>
      <c r="C324" s="6" t="s">
        <v>691</v>
      </c>
      <c r="D324" s="6" t="s">
        <v>657</v>
      </c>
      <c r="E324" s="6" t="s">
        <v>658</v>
      </c>
      <c r="F324" s="6" t="s">
        <v>3229</v>
      </c>
      <c r="G324" s="8">
        <v>0.37112000000000001</v>
      </c>
      <c r="H324" s="8">
        <v>9.5442999999999998</v>
      </c>
      <c r="I324" s="6" t="s">
        <v>2477</v>
      </c>
      <c r="J324" s="6" t="s">
        <v>2459</v>
      </c>
      <c r="K324" s="6" t="s">
        <v>2468</v>
      </c>
      <c r="L324" s="6" t="s">
        <v>3386</v>
      </c>
      <c r="M324" s="6"/>
      <c r="N324" s="6" t="s">
        <v>2468</v>
      </c>
      <c r="O324" s="6" t="s">
        <v>40</v>
      </c>
      <c r="P324" s="6" t="str">
        <f>VLOOKUP(Tableau1[[#This Row],[SITES NAMES]],[1]Feuil1!$1:$1048576,8,FALSE)</f>
        <v>OK</v>
      </c>
      <c r="Q324" s="6" t="str">
        <f>VLOOKUP(Tableau1[[#This Row],[SITES NAMES]],[1]Feuil1!$1:$1048576,9,FALSE)</f>
        <v>NO</v>
      </c>
      <c r="R324" s="6" t="str">
        <f>VLOOKUP(Tableau1[[#This Row],[SITES NAMES]],[1]Feuil1!$1:$1048576,10,FALSE)</f>
        <v>NO</v>
      </c>
      <c r="S324" s="6" t="s">
        <v>2469</v>
      </c>
      <c r="T324" s="6" t="s">
        <v>2470</v>
      </c>
      <c r="U324" s="6" t="s">
        <v>2480</v>
      </c>
      <c r="V324" s="6" t="s">
        <v>2472</v>
      </c>
      <c r="W324" s="6" t="s">
        <v>2473</v>
      </c>
      <c r="X324" s="8"/>
      <c r="Y324" s="6" t="s">
        <v>3239</v>
      </c>
      <c r="Z324" s="6" t="s">
        <v>3253</v>
      </c>
      <c r="AA324" s="38" t="s">
        <v>3682</v>
      </c>
      <c r="AB324" s="38" t="s">
        <v>3683</v>
      </c>
      <c r="AC324" s="38" t="s">
        <v>3684</v>
      </c>
      <c r="AD324" s="38" t="s">
        <v>3682</v>
      </c>
      <c r="AE324" s="38" t="s">
        <v>3682</v>
      </c>
      <c r="AF324" s="38" t="s">
        <v>3682</v>
      </c>
      <c r="AG324" s="40" t="s">
        <v>3685</v>
      </c>
      <c r="AH324" s="37" t="s">
        <v>3686</v>
      </c>
    </row>
    <row r="325" spans="1:34" ht="14.45" hidden="1" customHeight="1" x14ac:dyDescent="0.3">
      <c r="A325" s="6" t="s">
        <v>662</v>
      </c>
      <c r="B325" s="7">
        <v>39459</v>
      </c>
      <c r="C325" s="6" t="s">
        <v>661</v>
      </c>
      <c r="D325" s="6" t="s">
        <v>657</v>
      </c>
      <c r="E325" s="6" t="s">
        <v>658</v>
      </c>
      <c r="F325" s="6" t="s">
        <v>3229</v>
      </c>
      <c r="G325" s="8">
        <v>0.58042000000000005</v>
      </c>
      <c r="H325" s="8">
        <v>9.3231400000000004</v>
      </c>
      <c r="I325" s="6" t="s">
        <v>2477</v>
      </c>
      <c r="J325" s="6" t="s">
        <v>2459</v>
      </c>
      <c r="K325" s="6" t="s">
        <v>2468</v>
      </c>
      <c r="L325" s="6" t="s">
        <v>684</v>
      </c>
      <c r="M325" s="6"/>
      <c r="N325" s="6" t="s">
        <v>2468</v>
      </c>
      <c r="O325" s="6" t="s">
        <v>18</v>
      </c>
      <c r="P325" s="6" t="str">
        <f>VLOOKUP(Tableau1[[#This Row],[SITES NAMES]],[1]Feuil1!$1:$1048576,8,FALSE)</f>
        <v>OK</v>
      </c>
      <c r="Q325" s="6" t="str">
        <f>VLOOKUP(Tableau1[[#This Row],[SITES NAMES]],[1]Feuil1!$1:$1048576,9,FALSE)</f>
        <v>NO</v>
      </c>
      <c r="R325" s="6" t="str">
        <f>VLOOKUP(Tableau1[[#This Row],[SITES NAMES]],[1]Feuil1!$1:$1048576,10,FALSE)</f>
        <v>NO</v>
      </c>
      <c r="S325" s="6" t="s">
        <v>2469</v>
      </c>
      <c r="T325" s="6" t="s">
        <v>2470</v>
      </c>
      <c r="U325" s="6" t="s">
        <v>2480</v>
      </c>
      <c r="V325" s="6" t="s">
        <v>2472</v>
      </c>
      <c r="W325" s="6" t="s">
        <v>2473</v>
      </c>
      <c r="X325" s="8" t="s">
        <v>2714</v>
      </c>
      <c r="Y325" s="6" t="s">
        <v>3239</v>
      </c>
      <c r="Z325" s="6" t="s">
        <v>3253</v>
      </c>
      <c r="AA325" s="38" t="s">
        <v>3682</v>
      </c>
      <c r="AB325" s="38" t="s">
        <v>3683</v>
      </c>
      <c r="AC325" s="38" t="s">
        <v>3684</v>
      </c>
      <c r="AD325" s="38" t="s">
        <v>3682</v>
      </c>
      <c r="AE325" s="38" t="s">
        <v>3682</v>
      </c>
      <c r="AF325" s="38" t="s">
        <v>3682</v>
      </c>
      <c r="AG325" s="40" t="s">
        <v>3685</v>
      </c>
      <c r="AH325" s="37" t="s">
        <v>3686</v>
      </c>
    </row>
    <row r="326" spans="1:34" ht="14.45" hidden="1" customHeight="1" x14ac:dyDescent="0.3">
      <c r="A326" s="6" t="s">
        <v>1039</v>
      </c>
      <c r="B326" s="7">
        <v>46022</v>
      </c>
      <c r="C326" s="6" t="s">
        <v>1038</v>
      </c>
      <c r="D326" s="6" t="s">
        <v>5</v>
      </c>
      <c r="E326" s="6" t="s">
        <v>1003</v>
      </c>
      <c r="F326" s="6" t="s">
        <v>3229</v>
      </c>
      <c r="G326" s="8">
        <v>0.61978</v>
      </c>
      <c r="H326" s="8">
        <v>7.0275299999999996</v>
      </c>
      <c r="I326" s="16" t="s">
        <v>2477</v>
      </c>
      <c r="J326" s="6" t="s">
        <v>2459</v>
      </c>
      <c r="K326" s="6" t="s">
        <v>2468</v>
      </c>
      <c r="L326" s="6"/>
      <c r="M326" s="6"/>
      <c r="N326" s="6" t="s">
        <v>2468</v>
      </c>
      <c r="O326" s="6" t="s">
        <v>37</v>
      </c>
      <c r="P326" s="6"/>
      <c r="Q326" s="6"/>
      <c r="R326" s="6"/>
      <c r="S326" s="6"/>
      <c r="T326" s="6"/>
      <c r="U326" s="6"/>
      <c r="V326" s="6"/>
      <c r="W326" s="6"/>
      <c r="X326" s="8"/>
      <c r="Y326" s="6" t="s">
        <v>3241</v>
      </c>
      <c r="Z326" s="6"/>
      <c r="AA326" s="37" t="s">
        <v>3634</v>
      </c>
      <c r="AB326" s="38" t="s">
        <v>3627</v>
      </c>
      <c r="AC326" s="37" t="s">
        <v>3635</v>
      </c>
      <c r="AD326" s="37" t="s">
        <v>3636</v>
      </c>
      <c r="AE326" s="37" t="s">
        <v>3637</v>
      </c>
      <c r="AF326" s="37" t="s">
        <v>3636</v>
      </c>
      <c r="AG326" s="37" t="s">
        <v>3638</v>
      </c>
      <c r="AH326" s="37" t="s">
        <v>3639</v>
      </c>
    </row>
    <row r="327" spans="1:34" ht="15.75" hidden="1" x14ac:dyDescent="0.3">
      <c r="A327" s="6" t="s">
        <v>321</v>
      </c>
      <c r="B327" s="7">
        <v>37623</v>
      </c>
      <c r="C327" s="6" t="s">
        <v>342</v>
      </c>
      <c r="D327" s="6" t="s">
        <v>320</v>
      </c>
      <c r="E327" s="6" t="s">
        <v>321</v>
      </c>
      <c r="F327" s="18" t="s">
        <v>3230</v>
      </c>
      <c r="G327" s="8">
        <v>1.0100199999999999</v>
      </c>
      <c r="H327" s="8">
        <v>8.3420199999999998</v>
      </c>
      <c r="I327" s="6" t="s">
        <v>2525</v>
      </c>
      <c r="J327" s="6" t="s">
        <v>2459</v>
      </c>
      <c r="K327" s="6" t="s">
        <v>2460</v>
      </c>
      <c r="L327" s="6"/>
      <c r="M327" s="6"/>
      <c r="N327" s="21" t="s">
        <v>3269</v>
      </c>
      <c r="O327" s="6" t="s">
        <v>7</v>
      </c>
      <c r="P327" s="6" t="str">
        <f>VLOOKUP(Tableau1[[#This Row],[SITES NAMES]],[1]Feuil1!$1:$1048576,8,FALSE)</f>
        <v>OK</v>
      </c>
      <c r="Q327" s="6" t="str">
        <f>VLOOKUP(Tableau1[[#This Row],[SITES NAMES]],[1]Feuil1!$1:$1048576,9,FALSE)</f>
        <v>NO</v>
      </c>
      <c r="R327" s="6" t="str">
        <f>VLOOKUP(Tableau1[[#This Row],[SITES NAMES]],[1]Feuil1!$1:$1048576,10,FALSE)</f>
        <v>NO</v>
      </c>
      <c r="S327" s="6" t="s">
        <v>2469</v>
      </c>
      <c r="T327" s="6" t="s">
        <v>2470</v>
      </c>
      <c r="U327" s="6" t="s">
        <v>2480</v>
      </c>
      <c r="V327" s="6" t="s">
        <v>2478</v>
      </c>
      <c r="W327" s="6" t="s">
        <v>2476</v>
      </c>
      <c r="X327" s="8" t="s">
        <v>2596</v>
      </c>
      <c r="Y327" s="6" t="s">
        <v>3238</v>
      </c>
      <c r="Z327" s="6" t="s">
        <v>3266</v>
      </c>
      <c r="AA327" s="37" t="s">
        <v>3664</v>
      </c>
      <c r="AB327" s="39" t="s">
        <v>3665</v>
      </c>
      <c r="AC327" s="37" t="s">
        <v>3666</v>
      </c>
      <c r="AD327" s="37" t="s">
        <v>3667</v>
      </c>
      <c r="AE327" s="37" t="s">
        <v>3668</v>
      </c>
      <c r="AF327" s="37" t="s">
        <v>3669</v>
      </c>
      <c r="AG327" s="37" t="s">
        <v>3670</v>
      </c>
      <c r="AH327" s="37" t="s">
        <v>3671</v>
      </c>
    </row>
    <row r="328" spans="1:34" ht="14.45" hidden="1" customHeight="1" x14ac:dyDescent="0.3">
      <c r="A328" s="6" t="s">
        <v>344</v>
      </c>
      <c r="B328" s="7">
        <v>39456</v>
      </c>
      <c r="C328" s="6" t="s">
        <v>343</v>
      </c>
      <c r="D328" s="6" t="s">
        <v>320</v>
      </c>
      <c r="E328" s="6" t="s">
        <v>321</v>
      </c>
      <c r="F328" s="6" t="s">
        <v>3229</v>
      </c>
      <c r="G328" s="8">
        <v>0.97936100000000004</v>
      </c>
      <c r="H328" s="8">
        <v>8.3242499999999993</v>
      </c>
      <c r="I328" s="6" t="s">
        <v>2479</v>
      </c>
      <c r="J328" s="6" t="s">
        <v>2459</v>
      </c>
      <c r="K328" s="6" t="s">
        <v>2460</v>
      </c>
      <c r="L328" s="6"/>
      <c r="M328" s="6"/>
      <c r="N328" s="6" t="s">
        <v>3268</v>
      </c>
      <c r="O328" s="6" t="s">
        <v>7</v>
      </c>
      <c r="P328" s="6" t="str">
        <f>VLOOKUP(Tableau1[[#This Row],[SITES NAMES]],[1]Feuil1!$1:$1048576,8,FALSE)</f>
        <v>OK</v>
      </c>
      <c r="Q328" s="6" t="str">
        <f>VLOOKUP(Tableau1[[#This Row],[SITES NAMES]],[1]Feuil1!$1:$1048576,9,FALSE)</f>
        <v>NO</v>
      </c>
      <c r="R328" s="6" t="str">
        <f>VLOOKUP(Tableau1[[#This Row],[SITES NAMES]],[1]Feuil1!$1:$1048576,10,FALSE)</f>
        <v>YES</v>
      </c>
      <c r="S328" s="6" t="s">
        <v>2469</v>
      </c>
      <c r="T328" s="6" t="s">
        <v>2470</v>
      </c>
      <c r="U328" s="6" t="s">
        <v>2480</v>
      </c>
      <c r="V328" s="6" t="s">
        <v>2472</v>
      </c>
      <c r="W328" s="6" t="s">
        <v>2476</v>
      </c>
      <c r="X328" s="8" t="s">
        <v>2597</v>
      </c>
      <c r="Y328" s="6" t="s">
        <v>3238</v>
      </c>
      <c r="Z328" s="6" t="s">
        <v>3266</v>
      </c>
      <c r="AA328" s="37" t="s">
        <v>3664</v>
      </c>
      <c r="AB328" s="39" t="s">
        <v>3665</v>
      </c>
      <c r="AC328" s="37" t="s">
        <v>3666</v>
      </c>
      <c r="AD328" s="37" t="s">
        <v>3667</v>
      </c>
      <c r="AE328" s="37" t="s">
        <v>3668</v>
      </c>
      <c r="AF328" s="37" t="s">
        <v>3669</v>
      </c>
      <c r="AG328" s="37" t="s">
        <v>3670</v>
      </c>
      <c r="AH328" s="37" t="s">
        <v>3671</v>
      </c>
    </row>
    <row r="329" spans="1:34" ht="14.45" hidden="1" customHeight="1" x14ac:dyDescent="0.3">
      <c r="A329" s="6" t="s">
        <v>346</v>
      </c>
      <c r="B329" s="7">
        <v>44849</v>
      </c>
      <c r="C329" s="6" t="s">
        <v>345</v>
      </c>
      <c r="D329" s="6" t="s">
        <v>320</v>
      </c>
      <c r="E329" s="6" t="s">
        <v>321</v>
      </c>
      <c r="F329" s="6" t="s">
        <v>3229</v>
      </c>
      <c r="G329" s="8">
        <v>0.99456199999999995</v>
      </c>
      <c r="H329" s="8">
        <v>8.3280689999999993</v>
      </c>
      <c r="I329" s="6" t="s">
        <v>2479</v>
      </c>
      <c r="J329" s="6" t="s">
        <v>2459</v>
      </c>
      <c r="K329" s="6" t="s">
        <v>2460</v>
      </c>
      <c r="L329" s="6" t="s">
        <v>3387</v>
      </c>
      <c r="M329" s="6"/>
      <c r="N329" s="6" t="s">
        <v>3268</v>
      </c>
      <c r="O329" s="6" t="s">
        <v>7</v>
      </c>
      <c r="P329" s="6" t="str">
        <f>VLOOKUP(Tableau1[[#This Row],[SITES NAMES]],[1]Feuil1!$1:$1048576,8,FALSE)</f>
        <v>OK</v>
      </c>
      <c r="Q329" s="6" t="str">
        <f>VLOOKUP(Tableau1[[#This Row],[SITES NAMES]],[1]Feuil1!$1:$1048576,9,FALSE)</f>
        <v>NO</v>
      </c>
      <c r="R329" s="6" t="str">
        <f>VLOOKUP(Tableau1[[#This Row],[SITES NAMES]],[1]Feuil1!$1:$1048576,10,FALSE)</f>
        <v>YES</v>
      </c>
      <c r="S329" s="6" t="s">
        <v>2469</v>
      </c>
      <c r="T329" s="6" t="s">
        <v>2470</v>
      </c>
      <c r="U329" s="6" t="s">
        <v>2480</v>
      </c>
      <c r="V329" s="6" t="s">
        <v>2472</v>
      </c>
      <c r="W329" s="6" t="s">
        <v>2476</v>
      </c>
      <c r="X329" s="8" t="s">
        <v>2598</v>
      </c>
      <c r="Y329" s="6" t="s">
        <v>3238</v>
      </c>
      <c r="Z329" s="6" t="s">
        <v>3266</v>
      </c>
      <c r="AA329" s="37" t="s">
        <v>3664</v>
      </c>
      <c r="AB329" s="39" t="s">
        <v>3665</v>
      </c>
      <c r="AC329" s="37" t="s">
        <v>3666</v>
      </c>
      <c r="AD329" s="37" t="s">
        <v>3667</v>
      </c>
      <c r="AE329" s="37" t="s">
        <v>3668</v>
      </c>
      <c r="AF329" s="37" t="s">
        <v>3669</v>
      </c>
      <c r="AG329" s="37" t="s">
        <v>3670</v>
      </c>
      <c r="AH329" s="37" t="s">
        <v>3671</v>
      </c>
    </row>
    <row r="330" spans="1:34" ht="14.45" hidden="1" customHeight="1" x14ac:dyDescent="0.25">
      <c r="A330" s="6" t="s">
        <v>1885</v>
      </c>
      <c r="B330" s="7">
        <v>44532</v>
      </c>
      <c r="C330" s="6" t="s">
        <v>1884</v>
      </c>
      <c r="D330" s="6" t="s">
        <v>66</v>
      </c>
      <c r="E330" s="6" t="s">
        <v>3232</v>
      </c>
      <c r="F330" s="6" t="s">
        <v>3229</v>
      </c>
      <c r="G330" s="8">
        <v>1.2091700000000001</v>
      </c>
      <c r="H330" s="8">
        <v>6.1332399999999998</v>
      </c>
      <c r="I330" s="6" t="s">
        <v>2475</v>
      </c>
      <c r="J330" s="6" t="s">
        <v>2459</v>
      </c>
      <c r="K330" s="6" t="s">
        <v>2460</v>
      </c>
      <c r="L330" s="6"/>
      <c r="M330" s="6"/>
      <c r="N330" s="6" t="s">
        <v>3268</v>
      </c>
      <c r="O330" s="6" t="s">
        <v>1206</v>
      </c>
      <c r="P330" s="6"/>
      <c r="Q330" s="6" t="str">
        <f>VLOOKUP(Tableau1[[#This Row],[SITES NAMES]],[1]Feuil1!$1:$1048576,9,FALSE)</f>
        <v>YES</v>
      </c>
      <c r="R330" s="6" t="str">
        <f>VLOOKUP(Tableau1[[#This Row],[SITES NAMES]],[1]Feuil1!$1:$1048576,10,FALSE)</f>
        <v>NO</v>
      </c>
      <c r="S330" s="6" t="s">
        <v>2469</v>
      </c>
      <c r="T330" s="6" t="s">
        <v>2470</v>
      </c>
      <c r="U330" s="6" t="s">
        <v>2480</v>
      </c>
      <c r="V330" s="6" t="s">
        <v>2464</v>
      </c>
      <c r="W330" s="6" t="s">
        <v>2476</v>
      </c>
      <c r="X330" s="8"/>
      <c r="Y330" s="6" t="s">
        <v>3238</v>
      </c>
      <c r="Z330" s="6" t="s">
        <v>3262</v>
      </c>
      <c r="AA330" s="35" t="s">
        <v>3621</v>
      </c>
      <c r="AB330" s="35" t="s">
        <v>3608</v>
      </c>
      <c r="AC330" s="35" t="s">
        <v>3624</v>
      </c>
      <c r="AD330" s="35" t="s">
        <v>3610</v>
      </c>
      <c r="AE330" s="35" t="s">
        <v>3610</v>
      </c>
      <c r="AF330" s="35" t="s">
        <v>3611</v>
      </c>
      <c r="AG330" s="35" t="s">
        <v>3612</v>
      </c>
      <c r="AH330" s="35" t="s">
        <v>3625</v>
      </c>
    </row>
    <row r="331" spans="1:34" ht="14.45" hidden="1" customHeight="1" x14ac:dyDescent="0.3">
      <c r="A331" s="6" t="s">
        <v>202</v>
      </c>
      <c r="B331" s="7">
        <v>43944</v>
      </c>
      <c r="C331" s="6" t="s">
        <v>201</v>
      </c>
      <c r="D331" s="6" t="s">
        <v>132</v>
      </c>
      <c r="E331" s="6" t="s">
        <v>133</v>
      </c>
      <c r="F331" s="6" t="s">
        <v>3229</v>
      </c>
      <c r="G331" s="8">
        <v>1.210861</v>
      </c>
      <c r="H331" s="8">
        <v>7.5831619999999997</v>
      </c>
      <c r="I331" s="6" t="s">
        <v>2467</v>
      </c>
      <c r="J331" s="6" t="s">
        <v>2459</v>
      </c>
      <c r="K331" s="6" t="s">
        <v>2468</v>
      </c>
      <c r="L331" s="6" t="s">
        <v>3333</v>
      </c>
      <c r="M331" s="6"/>
      <c r="N331" s="6" t="s">
        <v>2468</v>
      </c>
      <c r="O331" s="6" t="s">
        <v>40</v>
      </c>
      <c r="P331" s="6" t="str">
        <f>VLOOKUP(Tableau1[[#This Row],[SITES NAMES]],[1]Feuil1!$1:$1048576,8,FALSE)</f>
        <v>OK</v>
      </c>
      <c r="Q331" s="6" t="str">
        <f>VLOOKUP(Tableau1[[#This Row],[SITES NAMES]],[1]Feuil1!$1:$1048576,9,FALSE)</f>
        <v>NO</v>
      </c>
      <c r="R331" s="6" t="str">
        <f>VLOOKUP(Tableau1[[#This Row],[SITES NAMES]],[1]Feuil1!$1:$1048576,10,FALSE)</f>
        <v>NO</v>
      </c>
      <c r="S331" s="6" t="s">
        <v>2469</v>
      </c>
      <c r="T331" s="6" t="s">
        <v>2470</v>
      </c>
      <c r="U331" s="6" t="s">
        <v>2480</v>
      </c>
      <c r="V331" s="6" t="s">
        <v>2472</v>
      </c>
      <c r="W331" s="6" t="s">
        <v>2473</v>
      </c>
      <c r="X331" s="8" t="s">
        <v>2544</v>
      </c>
      <c r="Y331" s="6" t="s">
        <v>3238</v>
      </c>
      <c r="Z331" s="6" t="s">
        <v>3258</v>
      </c>
      <c r="AA331" s="37" t="s">
        <v>3643</v>
      </c>
      <c r="AB331" s="39" t="s">
        <v>3644</v>
      </c>
      <c r="AC331" s="37" t="s">
        <v>3645</v>
      </c>
      <c r="AD331" s="39" t="s">
        <v>3646</v>
      </c>
      <c r="AE331" s="39" t="s">
        <v>3647</v>
      </c>
      <c r="AF331" s="39" t="s">
        <v>3648</v>
      </c>
      <c r="AG331" s="37" t="s">
        <v>3649</v>
      </c>
      <c r="AH331" s="37" t="s">
        <v>3650</v>
      </c>
    </row>
    <row r="332" spans="1:34" ht="14.45" hidden="1" customHeight="1" x14ac:dyDescent="0.3">
      <c r="A332" s="6" t="s">
        <v>1064</v>
      </c>
      <c r="B332" s="7">
        <v>40513</v>
      </c>
      <c r="C332" s="6" t="s">
        <v>1063</v>
      </c>
      <c r="D332" s="6" t="s">
        <v>5</v>
      </c>
      <c r="E332" s="6" t="s">
        <v>1003</v>
      </c>
      <c r="F332" s="6" t="s">
        <v>3229</v>
      </c>
      <c r="G332" s="8">
        <v>0.90423299999999995</v>
      </c>
      <c r="H332" s="8">
        <v>7.0932639999999996</v>
      </c>
      <c r="I332" s="6" t="s">
        <v>2467</v>
      </c>
      <c r="J332" s="6" t="s">
        <v>2459</v>
      </c>
      <c r="K332" s="6" t="s">
        <v>2468</v>
      </c>
      <c r="L332" s="6" t="s">
        <v>2093</v>
      </c>
      <c r="M332" s="6"/>
      <c r="N332" s="6" t="s">
        <v>2468</v>
      </c>
      <c r="O332" s="6" t="s">
        <v>40</v>
      </c>
      <c r="P332" s="6" t="str">
        <f>VLOOKUP(Tableau1[[#This Row],[SITES NAMES]],[1]Feuil1!$1:$1048576,8,FALSE)</f>
        <v>OK</v>
      </c>
      <c r="Q332" s="6" t="str">
        <f>VLOOKUP(Tableau1[[#This Row],[SITES NAMES]],[1]Feuil1!$1:$1048576,9,FALSE)</f>
        <v>NO</v>
      </c>
      <c r="R332" s="6" t="str">
        <f>VLOOKUP(Tableau1[[#This Row],[SITES NAMES]],[1]Feuil1!$1:$1048576,10,FALSE)</f>
        <v>NO</v>
      </c>
      <c r="S332" s="6" t="s">
        <v>2461</v>
      </c>
      <c r="T332" s="6" t="s">
        <v>2470</v>
      </c>
      <c r="U332" s="6" t="s">
        <v>2463</v>
      </c>
      <c r="V332" s="6" t="s">
        <v>2472</v>
      </c>
      <c r="W332" s="6" t="s">
        <v>2473</v>
      </c>
      <c r="X332" s="8" t="s">
        <v>2855</v>
      </c>
      <c r="Y332" s="6" t="s">
        <v>3241</v>
      </c>
      <c r="Z332" s="6"/>
      <c r="AA332" s="37" t="s">
        <v>3634</v>
      </c>
      <c r="AB332" s="38" t="s">
        <v>3627</v>
      </c>
      <c r="AC332" s="37" t="s">
        <v>3635</v>
      </c>
      <c r="AD332" s="37" t="s">
        <v>3636</v>
      </c>
      <c r="AE332" s="37" t="s">
        <v>3637</v>
      </c>
      <c r="AF332" s="37" t="s">
        <v>3636</v>
      </c>
      <c r="AG332" s="37" t="s">
        <v>3638</v>
      </c>
      <c r="AH332" s="37" t="s">
        <v>3639</v>
      </c>
    </row>
    <row r="333" spans="1:34" ht="14.45" hidden="1" customHeight="1" x14ac:dyDescent="0.3">
      <c r="A333" s="6" t="s">
        <v>348</v>
      </c>
      <c r="B333" s="7">
        <v>45152</v>
      </c>
      <c r="C333" s="6" t="s">
        <v>347</v>
      </c>
      <c r="D333" s="6" t="s">
        <v>320</v>
      </c>
      <c r="E333" s="6" t="s">
        <v>321</v>
      </c>
      <c r="F333" s="6" t="s">
        <v>3229</v>
      </c>
      <c r="G333" s="8">
        <v>1.03895</v>
      </c>
      <c r="H333" s="8">
        <v>8.4296299999999995</v>
      </c>
      <c r="I333" s="6" t="s">
        <v>2477</v>
      </c>
      <c r="J333" s="6" t="s">
        <v>2459</v>
      </c>
      <c r="K333" s="6" t="s">
        <v>2468</v>
      </c>
      <c r="L333" s="6" t="s">
        <v>380</v>
      </c>
      <c r="M333" s="6"/>
      <c r="N333" s="6" t="s">
        <v>2468</v>
      </c>
      <c r="O333" s="6" t="s">
        <v>7</v>
      </c>
      <c r="P333" s="6" t="str">
        <f>VLOOKUP(Tableau1[[#This Row],[SITES NAMES]],[1]Feuil1!$1:$1048576,8,FALSE)</f>
        <v>OK</v>
      </c>
      <c r="Q333" s="6" t="str">
        <f>VLOOKUP(Tableau1[[#This Row],[SITES NAMES]],[1]Feuil1!$1:$1048576,9,FALSE)</f>
        <v>NO</v>
      </c>
      <c r="R333" s="6" t="str">
        <f>VLOOKUP(Tableau1[[#This Row],[SITES NAMES]],[1]Feuil1!$1:$1048576,10,FALSE)</f>
        <v>NO</v>
      </c>
      <c r="S333" s="6" t="s">
        <v>2469</v>
      </c>
      <c r="T333" s="6" t="s">
        <v>2470</v>
      </c>
      <c r="U333" s="6" t="s">
        <v>2471</v>
      </c>
      <c r="V333" s="6" t="s">
        <v>2472</v>
      </c>
      <c r="W333" s="6" t="s">
        <v>2473</v>
      </c>
      <c r="X333" s="8">
        <v>70997280</v>
      </c>
      <c r="Y333" s="6" t="s">
        <v>3238</v>
      </c>
      <c r="Z333" s="6" t="s">
        <v>3266</v>
      </c>
      <c r="AA333" s="37" t="s">
        <v>3664</v>
      </c>
      <c r="AB333" s="39" t="s">
        <v>3665</v>
      </c>
      <c r="AC333" s="37" t="s">
        <v>3666</v>
      </c>
      <c r="AD333" s="37" t="s">
        <v>3667</v>
      </c>
      <c r="AE333" s="37" t="s">
        <v>3668</v>
      </c>
      <c r="AF333" s="37" t="s">
        <v>3669</v>
      </c>
      <c r="AG333" s="37" t="s">
        <v>3670</v>
      </c>
      <c r="AH333" s="37" t="s">
        <v>3671</v>
      </c>
    </row>
    <row r="334" spans="1:34" ht="14.45" hidden="1" customHeight="1" x14ac:dyDescent="0.3">
      <c r="A334" s="6" t="s">
        <v>835</v>
      </c>
      <c r="B334" s="7">
        <v>41739</v>
      </c>
      <c r="C334" s="6" t="s">
        <v>834</v>
      </c>
      <c r="D334" s="6" t="s">
        <v>657</v>
      </c>
      <c r="E334" s="6" t="s">
        <v>3237</v>
      </c>
      <c r="F334" s="6" t="s">
        <v>3229</v>
      </c>
      <c r="G334" s="8">
        <v>1.1574599999999999</v>
      </c>
      <c r="H334" s="8">
        <v>9.6015599999999992</v>
      </c>
      <c r="I334" s="6" t="s">
        <v>2479</v>
      </c>
      <c r="J334" s="6" t="s">
        <v>2459</v>
      </c>
      <c r="K334" s="6" t="s">
        <v>2460</v>
      </c>
      <c r="L334" s="6"/>
      <c r="M334" s="6"/>
      <c r="N334" s="6" t="s">
        <v>3268</v>
      </c>
      <c r="O334" s="6" t="s">
        <v>7</v>
      </c>
      <c r="P334" s="6" t="str">
        <f>VLOOKUP(Tableau1[[#This Row],[SITES NAMES]],[1]Feuil1!$1:$1048576,8,FALSE)</f>
        <v>NOK</v>
      </c>
      <c r="Q334" s="6" t="str">
        <f>VLOOKUP(Tableau1[[#This Row],[SITES NAMES]],[1]Feuil1!$1:$1048576,9,FALSE)</f>
        <v>NO</v>
      </c>
      <c r="R334" s="6" t="str">
        <f>VLOOKUP(Tableau1[[#This Row],[SITES NAMES]],[1]Feuil1!$1:$1048576,10,FALSE)</f>
        <v>NO</v>
      </c>
      <c r="S334" s="6" t="s">
        <v>2469</v>
      </c>
      <c r="T334" s="6" t="s">
        <v>2470</v>
      </c>
      <c r="U334" s="6" t="s">
        <v>2480</v>
      </c>
      <c r="V334" s="6" t="s">
        <v>2464</v>
      </c>
      <c r="W334" s="6" t="s">
        <v>2465</v>
      </c>
      <c r="X334" s="8" t="s">
        <v>2781</v>
      </c>
      <c r="Y334" s="6" t="s">
        <v>3239</v>
      </c>
      <c r="Z334" s="6" t="s">
        <v>3253</v>
      </c>
      <c r="AA334" s="37" t="s">
        <v>3692</v>
      </c>
      <c r="AB334" s="38" t="s">
        <v>3683</v>
      </c>
      <c r="AC334" s="39" t="s">
        <v>3693</v>
      </c>
      <c r="AD334" s="39" t="s">
        <v>3694</v>
      </c>
      <c r="AE334" s="37" t="s">
        <v>3695</v>
      </c>
      <c r="AF334" s="39" t="s">
        <v>3696</v>
      </c>
      <c r="AG334" s="40" t="s">
        <v>3685</v>
      </c>
      <c r="AH334" s="37" t="s">
        <v>3697</v>
      </c>
    </row>
    <row r="335" spans="1:34" ht="14.45" hidden="1" customHeight="1" x14ac:dyDescent="0.25">
      <c r="A335" s="6" t="s">
        <v>1640</v>
      </c>
      <c r="B335" s="7">
        <v>44546</v>
      </c>
      <c r="C335" s="6" t="s">
        <v>1639</v>
      </c>
      <c r="D335" s="6" t="s">
        <v>66</v>
      </c>
      <c r="E335" s="6" t="s">
        <v>3236</v>
      </c>
      <c r="F335" s="6" t="s">
        <v>3229</v>
      </c>
      <c r="G335" s="8">
        <v>1.1225620000000001</v>
      </c>
      <c r="H335" s="8">
        <v>6.2491649999999996</v>
      </c>
      <c r="I335" s="6" t="s">
        <v>2497</v>
      </c>
      <c r="J335" s="6" t="s">
        <v>2459</v>
      </c>
      <c r="K335" s="6" t="s">
        <v>2460</v>
      </c>
      <c r="L335" s="6"/>
      <c r="M335" s="6"/>
      <c r="N335" s="6" t="s">
        <v>3268</v>
      </c>
      <c r="O335" s="6" t="s">
        <v>7</v>
      </c>
      <c r="P335" s="6" t="str">
        <f>VLOOKUP(Tableau1[[#This Row],[SITES NAMES]],[1]Feuil1!$1:$1048576,8,FALSE)</f>
        <v>OK</v>
      </c>
      <c r="Q335" s="6" t="str">
        <f>VLOOKUP(Tableau1[[#This Row],[SITES NAMES]],[1]Feuil1!$1:$1048576,9,FALSE)</f>
        <v>NO</v>
      </c>
      <c r="R335" s="6" t="str">
        <f>VLOOKUP(Tableau1[[#This Row],[SITES NAMES]],[1]Feuil1!$1:$1048576,10,FALSE)</f>
        <v>YES</v>
      </c>
      <c r="S335" s="6" t="s">
        <v>2469</v>
      </c>
      <c r="T335" s="6" t="s">
        <v>2470</v>
      </c>
      <c r="U335" s="6" t="s">
        <v>2480</v>
      </c>
      <c r="V335" s="6" t="s">
        <v>2464</v>
      </c>
      <c r="W335" s="6" t="s">
        <v>2465</v>
      </c>
      <c r="X335" s="8" t="s">
        <v>2992</v>
      </c>
      <c r="Y335" s="6" t="s">
        <v>3238</v>
      </c>
      <c r="Z335" s="6" t="s">
        <v>3263</v>
      </c>
      <c r="AA335" s="35" t="s">
        <v>3616</v>
      </c>
      <c r="AB335" s="35" t="s">
        <v>3608</v>
      </c>
      <c r="AC335" s="35" t="s">
        <v>3619</v>
      </c>
      <c r="AD335" s="35" t="s">
        <v>3610</v>
      </c>
      <c r="AE335" s="35" t="s">
        <v>3610</v>
      </c>
      <c r="AF335" s="35" t="s">
        <v>3611</v>
      </c>
      <c r="AG335" s="35" t="s">
        <v>3612</v>
      </c>
      <c r="AH335" s="35" t="s">
        <v>3620</v>
      </c>
    </row>
    <row r="336" spans="1:34" ht="14.45" hidden="1" customHeight="1" x14ac:dyDescent="0.3">
      <c r="A336" s="6" t="s">
        <v>2373</v>
      </c>
      <c r="B336" s="7">
        <v>44861</v>
      </c>
      <c r="C336" s="6" t="s">
        <v>2372</v>
      </c>
      <c r="D336" s="6" t="s">
        <v>5</v>
      </c>
      <c r="E336" s="6" t="s">
        <v>2333</v>
      </c>
      <c r="F336" s="6" t="s">
        <v>3229</v>
      </c>
      <c r="G336" s="8">
        <v>1.17702</v>
      </c>
      <c r="H336" s="8">
        <v>6.4309599999999998</v>
      </c>
      <c r="I336" s="6" t="s">
        <v>2479</v>
      </c>
      <c r="J336" s="6" t="s">
        <v>2459</v>
      </c>
      <c r="K336" s="6" t="s">
        <v>2468</v>
      </c>
      <c r="L336" s="6" t="s">
        <v>2373</v>
      </c>
      <c r="M336" s="6"/>
      <c r="N336" s="6" t="s">
        <v>2468</v>
      </c>
      <c r="O336" s="6" t="s">
        <v>7</v>
      </c>
      <c r="P336" s="6" t="str">
        <f>VLOOKUP(Tableau1[[#This Row],[SITES NAMES]],[1]Feuil1!$1:$1048576,8,FALSE)</f>
        <v>OK</v>
      </c>
      <c r="Q336" s="6" t="str">
        <f>VLOOKUP(Tableau1[[#This Row],[SITES NAMES]],[1]Feuil1!$1:$1048576,9,FALSE)</f>
        <v>NO</v>
      </c>
      <c r="R336" s="6" t="str">
        <f>VLOOKUP(Tableau1[[#This Row],[SITES NAMES]],[1]Feuil1!$1:$1048576,10,FALSE)</f>
        <v>YES</v>
      </c>
      <c r="S336" s="6" t="s">
        <v>2469</v>
      </c>
      <c r="T336" s="6" t="s">
        <v>2470</v>
      </c>
      <c r="U336" s="6" t="s">
        <v>2480</v>
      </c>
      <c r="V336" s="6" t="s">
        <v>2472</v>
      </c>
      <c r="W336" s="6" t="s">
        <v>2465</v>
      </c>
      <c r="X336" s="8"/>
      <c r="Y336" s="6" t="s">
        <v>3241</v>
      </c>
      <c r="Z336" s="6"/>
      <c r="AA336" s="37"/>
      <c r="AB336" s="38" t="s">
        <v>3627</v>
      </c>
      <c r="AC336" s="37" t="s">
        <v>3640</v>
      </c>
      <c r="AD336" s="39" t="s">
        <v>3641</v>
      </c>
      <c r="AE336" s="37"/>
      <c r="AF336" s="39" t="s">
        <v>3641</v>
      </c>
      <c r="AG336" s="37"/>
      <c r="AH336" s="37" t="s">
        <v>3642</v>
      </c>
    </row>
    <row r="337" spans="1:34" ht="14.45" hidden="1" customHeight="1" x14ac:dyDescent="0.3">
      <c r="A337" s="6" t="s">
        <v>497</v>
      </c>
      <c r="B337" s="7">
        <v>44867</v>
      </c>
      <c r="C337" s="6" t="s">
        <v>496</v>
      </c>
      <c r="D337" s="6" t="s">
        <v>395</v>
      </c>
      <c r="E337" s="6" t="s">
        <v>396</v>
      </c>
      <c r="F337" s="6" t="s">
        <v>3229</v>
      </c>
      <c r="G337" s="8">
        <v>0.52851000000000004</v>
      </c>
      <c r="H337" s="8">
        <v>10.74521</v>
      </c>
      <c r="I337" s="6" t="s">
        <v>2477</v>
      </c>
      <c r="J337" s="6" t="s">
        <v>2459</v>
      </c>
      <c r="K337" s="6" t="s">
        <v>2468</v>
      </c>
      <c r="L337" s="6" t="s">
        <v>3388</v>
      </c>
      <c r="M337" s="6"/>
      <c r="N337" s="6" t="s">
        <v>2468</v>
      </c>
      <c r="O337" s="6" t="s">
        <v>7</v>
      </c>
      <c r="P337" s="6" t="str">
        <f>VLOOKUP(Tableau1[[#This Row],[SITES NAMES]],[1]Feuil1!$1:$1048576,8,FALSE)</f>
        <v>OK</v>
      </c>
      <c r="Q337" s="6" t="str">
        <f>VLOOKUP(Tableau1[[#This Row],[SITES NAMES]],[1]Feuil1!$1:$1048576,9,FALSE)</f>
        <v>NO</v>
      </c>
      <c r="R337" s="6" t="str">
        <f>VLOOKUP(Tableau1[[#This Row],[SITES NAMES]],[1]Feuil1!$1:$1048576,10,FALSE)</f>
        <v>NO</v>
      </c>
      <c r="S337" s="6" t="s">
        <v>2461</v>
      </c>
      <c r="T337" s="6" t="s">
        <v>2470</v>
      </c>
      <c r="U337" s="6" t="s">
        <v>2463</v>
      </c>
      <c r="V337" s="6" t="s">
        <v>2472</v>
      </c>
      <c r="W337" s="6" t="s">
        <v>2473</v>
      </c>
      <c r="X337" s="8"/>
      <c r="Y337" s="6" t="s">
        <v>3240</v>
      </c>
      <c r="Z337" s="6" t="s">
        <v>3255</v>
      </c>
      <c r="AA337" s="37" t="s">
        <v>3704</v>
      </c>
      <c r="AB337" s="39" t="s">
        <v>3705</v>
      </c>
      <c r="AC337" s="37" t="s">
        <v>3706</v>
      </c>
      <c r="AD337" s="37" t="s">
        <v>3707</v>
      </c>
      <c r="AE337" s="37" t="s">
        <v>3708</v>
      </c>
      <c r="AF337" s="37" t="s">
        <v>3709</v>
      </c>
      <c r="AG337" s="46" t="s">
        <v>3710</v>
      </c>
      <c r="AH337" s="37" t="s">
        <v>3711</v>
      </c>
    </row>
    <row r="338" spans="1:34" ht="14.45" hidden="1" customHeight="1" x14ac:dyDescent="0.3">
      <c r="A338" s="6" t="s">
        <v>428</v>
      </c>
      <c r="B338" s="7">
        <v>0</v>
      </c>
      <c r="C338" s="6" t="s">
        <v>427</v>
      </c>
      <c r="D338" s="6" t="s">
        <v>395</v>
      </c>
      <c r="E338" s="6" t="s">
        <v>396</v>
      </c>
      <c r="F338" s="6" t="s">
        <v>3229</v>
      </c>
      <c r="G338" s="8">
        <v>0.20027777799999999</v>
      </c>
      <c r="H338" s="8">
        <v>10.696666670000001</v>
      </c>
      <c r="I338" s="6" t="s">
        <v>2477</v>
      </c>
      <c r="J338" s="6" t="s">
        <v>2459</v>
      </c>
      <c r="K338" s="6" t="s">
        <v>2460</v>
      </c>
      <c r="L338" s="6"/>
      <c r="M338" s="6"/>
      <c r="N338" s="6" t="s">
        <v>3268</v>
      </c>
      <c r="O338" s="6" t="s">
        <v>7</v>
      </c>
      <c r="P338" s="6" t="str">
        <f>VLOOKUP(Tableau1[[#This Row],[SITES NAMES]],[1]Feuil1!$1:$1048576,8,FALSE)</f>
        <v>OK</v>
      </c>
      <c r="Q338" s="6" t="str">
        <f>VLOOKUP(Tableau1[[#This Row],[SITES NAMES]],[1]Feuil1!$1:$1048576,9,FALSE)</f>
        <v>NO</v>
      </c>
      <c r="R338" s="6" t="str">
        <f>VLOOKUP(Tableau1[[#This Row],[SITES NAMES]],[1]Feuil1!$1:$1048576,10,FALSE)</f>
        <v>NO</v>
      </c>
      <c r="S338" s="6" t="s">
        <v>2469</v>
      </c>
      <c r="T338" s="6" t="s">
        <v>2470</v>
      </c>
      <c r="U338" s="6" t="s">
        <v>2480</v>
      </c>
      <c r="V338" s="6" t="s">
        <v>2464</v>
      </c>
      <c r="W338" s="6" t="s">
        <v>2465</v>
      </c>
      <c r="X338" s="8" t="s">
        <v>2635</v>
      </c>
      <c r="Y338" s="6" t="s">
        <v>3240</v>
      </c>
      <c r="Z338" s="6" t="s">
        <v>3255</v>
      </c>
      <c r="AA338" s="37" t="s">
        <v>3704</v>
      </c>
      <c r="AB338" s="39" t="s">
        <v>3705</v>
      </c>
      <c r="AC338" s="37" t="s">
        <v>3706</v>
      </c>
      <c r="AD338" s="37" t="s">
        <v>3707</v>
      </c>
      <c r="AE338" s="37" t="s">
        <v>3708</v>
      </c>
      <c r="AF338" s="37" t="s">
        <v>3709</v>
      </c>
      <c r="AG338" s="46" t="s">
        <v>3710</v>
      </c>
      <c r="AH338" s="37" t="s">
        <v>3711</v>
      </c>
    </row>
    <row r="339" spans="1:34" ht="14.45" hidden="1" customHeight="1" x14ac:dyDescent="0.3">
      <c r="A339" s="6" t="s">
        <v>2193</v>
      </c>
      <c r="B339" s="7">
        <v>43913</v>
      </c>
      <c r="C339" s="6" t="s">
        <v>2192</v>
      </c>
      <c r="D339" s="6" t="s">
        <v>320</v>
      </c>
      <c r="E339" s="6" t="s">
        <v>2141</v>
      </c>
      <c r="F339" s="6" t="s">
        <v>3229</v>
      </c>
      <c r="G339" s="8">
        <v>1.2699800000000001</v>
      </c>
      <c r="H339" s="8">
        <v>8.8686699999999998</v>
      </c>
      <c r="I339" s="6" t="s">
        <v>2477</v>
      </c>
      <c r="J339" s="6" t="s">
        <v>2459</v>
      </c>
      <c r="K339" s="6" t="s">
        <v>2468</v>
      </c>
      <c r="L339" s="6" t="s">
        <v>2217</v>
      </c>
      <c r="M339" s="6"/>
      <c r="N339" s="6" t="s">
        <v>2468</v>
      </c>
      <c r="O339" s="6" t="s">
        <v>40</v>
      </c>
      <c r="P339" s="6" t="str">
        <f>VLOOKUP(Tableau1[[#This Row],[SITES NAMES]],[1]Feuil1!$1:$1048576,8,FALSE)</f>
        <v>OK</v>
      </c>
      <c r="Q339" s="6" t="str">
        <f>VLOOKUP(Tableau1[[#This Row],[SITES NAMES]],[1]Feuil1!$1:$1048576,9,FALSE)</f>
        <v>NO</v>
      </c>
      <c r="R339" s="6" t="str">
        <f>VLOOKUP(Tableau1[[#This Row],[SITES NAMES]],[1]Feuil1!$1:$1048576,10,FALSE)</f>
        <v>YES</v>
      </c>
      <c r="S339" s="6" t="s">
        <v>2469</v>
      </c>
      <c r="T339" s="6" t="s">
        <v>2470</v>
      </c>
      <c r="U339" s="6" t="s">
        <v>2471</v>
      </c>
      <c r="V339" s="6" t="s">
        <v>2472</v>
      </c>
      <c r="W339" s="6" t="s">
        <v>2473</v>
      </c>
      <c r="X339" s="8" t="s">
        <v>3152</v>
      </c>
      <c r="Y339" s="6" t="s">
        <v>3238</v>
      </c>
      <c r="Z339" s="6" t="s">
        <v>3254</v>
      </c>
      <c r="AA339" s="37" t="s">
        <v>3672</v>
      </c>
      <c r="AB339" s="39" t="s">
        <v>3665</v>
      </c>
      <c r="AC339" s="37" t="s">
        <v>3673</v>
      </c>
      <c r="AD339" s="37" t="s">
        <v>3674</v>
      </c>
      <c r="AE339" s="37" t="s">
        <v>3675</v>
      </c>
      <c r="AF339" s="39" t="s">
        <v>3676</v>
      </c>
      <c r="AG339" s="37" t="s">
        <v>3670</v>
      </c>
      <c r="AH339" s="37" t="s">
        <v>3677</v>
      </c>
    </row>
    <row r="340" spans="1:34" ht="14.45" hidden="1" customHeight="1" x14ac:dyDescent="0.3">
      <c r="A340" s="6" t="s">
        <v>450</v>
      </c>
      <c r="B340" s="7">
        <v>0</v>
      </c>
      <c r="C340" s="6" t="s">
        <v>449</v>
      </c>
      <c r="D340" s="6" t="s">
        <v>395</v>
      </c>
      <c r="E340" s="6" t="s">
        <v>396</v>
      </c>
      <c r="F340" s="6" t="s">
        <v>3229</v>
      </c>
      <c r="G340" s="8">
        <v>0.57069999999999999</v>
      </c>
      <c r="H340" s="8">
        <v>10.7639</v>
      </c>
      <c r="I340" s="6" t="s">
        <v>2477</v>
      </c>
      <c r="J340" s="6" t="s">
        <v>2459</v>
      </c>
      <c r="K340" s="6" t="s">
        <v>2468</v>
      </c>
      <c r="L340" s="6" t="s">
        <v>3389</v>
      </c>
      <c r="M340" s="6"/>
      <c r="N340" s="6" t="s">
        <v>2468</v>
      </c>
      <c r="O340" s="6" t="s">
        <v>18</v>
      </c>
      <c r="P340" s="6" t="str">
        <f>VLOOKUP(Tableau1[[#This Row],[SITES NAMES]],[1]Feuil1!$1:$1048576,8,FALSE)</f>
        <v>OK</v>
      </c>
      <c r="Q340" s="6" t="str">
        <f>VLOOKUP(Tableau1[[#This Row],[SITES NAMES]],[1]Feuil1!$1:$1048576,9,FALSE)</f>
        <v>NO</v>
      </c>
      <c r="R340" s="6" t="str">
        <f>VLOOKUP(Tableau1[[#This Row],[SITES NAMES]],[1]Feuil1!$1:$1048576,10,FALSE)</f>
        <v>NO</v>
      </c>
      <c r="S340" s="6" t="s">
        <v>2469</v>
      </c>
      <c r="T340" s="6" t="s">
        <v>2470</v>
      </c>
      <c r="U340" s="6" t="s">
        <v>2480</v>
      </c>
      <c r="V340" s="6" t="s">
        <v>2464</v>
      </c>
      <c r="W340" s="6" t="s">
        <v>2473</v>
      </c>
      <c r="X340" s="8" t="s">
        <v>2643</v>
      </c>
      <c r="Y340" s="6" t="s">
        <v>3240</v>
      </c>
      <c r="Z340" s="6" t="s">
        <v>3255</v>
      </c>
      <c r="AA340" s="37" t="s">
        <v>3704</v>
      </c>
      <c r="AB340" s="39" t="s">
        <v>3705</v>
      </c>
      <c r="AC340" s="37" t="s">
        <v>3706</v>
      </c>
      <c r="AD340" s="37" t="s">
        <v>3707</v>
      </c>
      <c r="AE340" s="37" t="s">
        <v>3708</v>
      </c>
      <c r="AF340" s="37" t="s">
        <v>3709</v>
      </c>
      <c r="AG340" s="46" t="s">
        <v>3710</v>
      </c>
      <c r="AH340" s="37" t="s">
        <v>3711</v>
      </c>
    </row>
    <row r="341" spans="1:34" ht="14.45" hidden="1" customHeight="1" x14ac:dyDescent="0.3">
      <c r="A341" s="6" t="s">
        <v>837</v>
      </c>
      <c r="B341" s="7">
        <v>43790</v>
      </c>
      <c r="C341" s="6" t="s">
        <v>836</v>
      </c>
      <c r="D341" s="6" t="s">
        <v>657</v>
      </c>
      <c r="E341" s="6" t="s">
        <v>3237</v>
      </c>
      <c r="F341" s="6" t="s">
        <v>3229</v>
      </c>
      <c r="G341" s="8">
        <v>1.33022</v>
      </c>
      <c r="H341" s="8">
        <v>9.8598400000000002</v>
      </c>
      <c r="I341" s="6" t="s">
        <v>2477</v>
      </c>
      <c r="J341" s="6" t="s">
        <v>2459</v>
      </c>
      <c r="K341" s="6" t="s">
        <v>2468</v>
      </c>
      <c r="L341" s="6" t="s">
        <v>885</v>
      </c>
      <c r="M341" s="6"/>
      <c r="N341" s="6" t="s">
        <v>2468</v>
      </c>
      <c r="O341" s="6" t="s">
        <v>40</v>
      </c>
      <c r="P341" s="6" t="str">
        <f>VLOOKUP(Tableau1[[#This Row],[SITES NAMES]],[1]Feuil1!$1:$1048576,8,FALSE)</f>
        <v>OK</v>
      </c>
      <c r="Q341" s="6" t="str">
        <f>VLOOKUP(Tableau1[[#This Row],[SITES NAMES]],[1]Feuil1!$1:$1048576,9,FALSE)</f>
        <v>NO</v>
      </c>
      <c r="R341" s="6" t="str">
        <f>VLOOKUP(Tableau1[[#This Row],[SITES NAMES]],[1]Feuil1!$1:$1048576,10,FALSE)</f>
        <v>NO</v>
      </c>
      <c r="S341" s="6" t="s">
        <v>2461</v>
      </c>
      <c r="T341" s="6" t="s">
        <v>2462</v>
      </c>
      <c r="U341" s="6" t="s">
        <v>2463</v>
      </c>
      <c r="V341" s="6" t="s">
        <v>2472</v>
      </c>
      <c r="W341" s="6" t="s">
        <v>2473</v>
      </c>
      <c r="X341" s="8" t="s">
        <v>2782</v>
      </c>
      <c r="Y341" s="6" t="s">
        <v>3239</v>
      </c>
      <c r="Z341" s="6" t="s">
        <v>3253</v>
      </c>
      <c r="AA341" s="37" t="s">
        <v>3692</v>
      </c>
      <c r="AB341" s="38" t="s">
        <v>3683</v>
      </c>
      <c r="AC341" s="39" t="s">
        <v>3693</v>
      </c>
      <c r="AD341" s="39" t="s">
        <v>3694</v>
      </c>
      <c r="AE341" s="37" t="s">
        <v>3695</v>
      </c>
      <c r="AF341" s="39" t="s">
        <v>3696</v>
      </c>
      <c r="AG341" s="40" t="s">
        <v>3685</v>
      </c>
      <c r="AH341" s="37" t="s">
        <v>3697</v>
      </c>
    </row>
    <row r="342" spans="1:34" ht="14.45" hidden="1" customHeight="1" x14ac:dyDescent="0.25">
      <c r="A342" s="6" t="s">
        <v>2195</v>
      </c>
      <c r="B342" s="7">
        <v>40148</v>
      </c>
      <c r="C342" s="6" t="s">
        <v>2194</v>
      </c>
      <c r="D342" s="6" t="s">
        <v>657</v>
      </c>
      <c r="E342" s="6" t="s">
        <v>2141</v>
      </c>
      <c r="F342" s="6" t="s">
        <v>3229</v>
      </c>
      <c r="G342" s="8">
        <v>0.85304599999999997</v>
      </c>
      <c r="H342" s="8">
        <v>9.2019479999999998</v>
      </c>
      <c r="I342" s="6" t="s">
        <v>2477</v>
      </c>
      <c r="J342" s="6" t="s">
        <v>2459</v>
      </c>
      <c r="K342" s="6" t="s">
        <v>2460</v>
      </c>
      <c r="L342" s="6"/>
      <c r="M342" s="6"/>
      <c r="N342" s="6" t="s">
        <v>3268</v>
      </c>
      <c r="O342" s="6" t="s">
        <v>40</v>
      </c>
      <c r="P342" s="6" t="str">
        <f>VLOOKUP(Tableau1[[#This Row],[SITES NAMES]],[1]Feuil1!$1:$1048576,8,FALSE)</f>
        <v>OK</v>
      </c>
      <c r="Q342" s="6" t="str">
        <f>VLOOKUP(Tableau1[[#This Row],[SITES NAMES]],[1]Feuil1!$1:$1048576,9,FALSE)</f>
        <v>NO</v>
      </c>
      <c r="R342" s="6" t="str">
        <f>VLOOKUP(Tableau1[[#This Row],[SITES NAMES]],[1]Feuil1!$1:$1048576,10,FALSE)</f>
        <v>NO</v>
      </c>
      <c r="S342" s="6" t="s">
        <v>2469</v>
      </c>
      <c r="T342" s="6" t="s">
        <v>2470</v>
      </c>
      <c r="U342" s="6" t="s">
        <v>2480</v>
      </c>
      <c r="V342" s="6" t="s">
        <v>2472</v>
      </c>
      <c r="W342" s="6" t="s">
        <v>2473</v>
      </c>
      <c r="X342" s="8" t="s">
        <v>3153</v>
      </c>
      <c r="Y342" s="6" t="s">
        <v>3239</v>
      </c>
      <c r="Z342" s="6" t="s">
        <v>3253</v>
      </c>
      <c r="AA342" s="35" t="s">
        <v>3607</v>
      </c>
      <c r="AB342" s="35" t="s">
        <v>3608</v>
      </c>
      <c r="AC342" s="35" t="s">
        <v>3609</v>
      </c>
      <c r="AD342" s="35" t="s">
        <v>3610</v>
      </c>
      <c r="AE342" s="35" t="s">
        <v>3610</v>
      </c>
      <c r="AF342" s="35" t="s">
        <v>3611</v>
      </c>
      <c r="AG342" s="35" t="s">
        <v>3612</v>
      </c>
      <c r="AH342" s="35" t="s">
        <v>3613</v>
      </c>
    </row>
    <row r="343" spans="1:34" ht="14.45" hidden="1" customHeight="1" x14ac:dyDescent="0.3">
      <c r="A343" s="6" t="s">
        <v>694</v>
      </c>
      <c r="B343" s="7">
        <v>0</v>
      </c>
      <c r="C343" s="6" t="s">
        <v>693</v>
      </c>
      <c r="D343" s="6" t="s">
        <v>657</v>
      </c>
      <c r="E343" s="6" t="s">
        <v>658</v>
      </c>
      <c r="F343" s="6" t="s">
        <v>3229</v>
      </c>
      <c r="G343" s="8">
        <v>0.66925000000000001</v>
      </c>
      <c r="H343" s="8">
        <v>8.7720800000000008</v>
      </c>
      <c r="I343" s="6" t="s">
        <v>2477</v>
      </c>
      <c r="J343" s="6" t="s">
        <v>2459</v>
      </c>
      <c r="K343" s="6" t="s">
        <v>2460</v>
      </c>
      <c r="L343" s="6"/>
      <c r="M343" s="6"/>
      <c r="N343" s="6" t="s">
        <v>3268</v>
      </c>
      <c r="O343" s="6" t="s">
        <v>40</v>
      </c>
      <c r="P343" s="6" t="str">
        <f>VLOOKUP(Tableau1[[#This Row],[SITES NAMES]],[1]Feuil1!$1:$1048576,8,FALSE)</f>
        <v>OK</v>
      </c>
      <c r="Q343" s="6" t="str">
        <f>VLOOKUP(Tableau1[[#This Row],[SITES NAMES]],[1]Feuil1!$1:$1048576,9,FALSE)</f>
        <v>NO</v>
      </c>
      <c r="R343" s="6" t="str">
        <f>VLOOKUP(Tableau1[[#This Row],[SITES NAMES]],[1]Feuil1!$1:$1048576,10,FALSE)</f>
        <v>NO</v>
      </c>
      <c r="S343" s="6" t="s">
        <v>2469</v>
      </c>
      <c r="T343" s="6" t="s">
        <v>2470</v>
      </c>
      <c r="U343" s="6" t="s">
        <v>2480</v>
      </c>
      <c r="V343" s="6" t="s">
        <v>2472</v>
      </c>
      <c r="W343" s="6" t="s">
        <v>2473</v>
      </c>
      <c r="X343" s="8">
        <v>70996718</v>
      </c>
      <c r="Y343" s="6" t="s">
        <v>3239</v>
      </c>
      <c r="Z343" s="6" t="s">
        <v>3253</v>
      </c>
      <c r="AA343" s="38" t="s">
        <v>3682</v>
      </c>
      <c r="AB343" s="38" t="s">
        <v>3683</v>
      </c>
      <c r="AC343" s="38" t="s">
        <v>3684</v>
      </c>
      <c r="AD343" s="38" t="s">
        <v>3682</v>
      </c>
      <c r="AE343" s="38" t="s">
        <v>3682</v>
      </c>
      <c r="AF343" s="38" t="s">
        <v>3682</v>
      </c>
      <c r="AG343" s="40" t="s">
        <v>3685</v>
      </c>
      <c r="AH343" s="37" t="s">
        <v>3686</v>
      </c>
    </row>
    <row r="344" spans="1:34" ht="14.45" hidden="1" customHeight="1" x14ac:dyDescent="0.3">
      <c r="A344" s="6" t="s">
        <v>1995</v>
      </c>
      <c r="B344" s="7">
        <v>41244</v>
      </c>
      <c r="C344" s="6" t="s">
        <v>1994</v>
      </c>
      <c r="D344" s="6" t="s">
        <v>395</v>
      </c>
      <c r="E344" s="6" t="s">
        <v>1965</v>
      </c>
      <c r="F344" s="6" t="s">
        <v>3229</v>
      </c>
      <c r="G344" s="8">
        <v>0.29054999999999997</v>
      </c>
      <c r="H344" s="8">
        <v>10.6394</v>
      </c>
      <c r="I344" s="6" t="s">
        <v>2477</v>
      </c>
      <c r="J344" s="6" t="s">
        <v>2459</v>
      </c>
      <c r="K344" s="6" t="s">
        <v>2468</v>
      </c>
      <c r="L344" s="6" t="s">
        <v>3390</v>
      </c>
      <c r="M344" s="6"/>
      <c r="N344" s="6" t="s">
        <v>2468</v>
      </c>
      <c r="O344" s="6" t="s">
        <v>40</v>
      </c>
      <c r="P344" s="6" t="str">
        <f>VLOOKUP(Tableau1[[#This Row],[SITES NAMES]],[1]Feuil1!$1:$1048576,8,FALSE)</f>
        <v>OK</v>
      </c>
      <c r="Q344" s="6" t="str">
        <f>VLOOKUP(Tableau1[[#This Row],[SITES NAMES]],[1]Feuil1!$1:$1048576,9,FALSE)</f>
        <v>NO</v>
      </c>
      <c r="R344" s="6" t="str">
        <f>VLOOKUP(Tableau1[[#This Row],[SITES NAMES]],[1]Feuil1!$1:$1048576,10,FALSE)</f>
        <v>NO</v>
      </c>
      <c r="S344" s="6" t="s">
        <v>2469</v>
      </c>
      <c r="T344" s="6" t="s">
        <v>2470</v>
      </c>
      <c r="U344" s="6" t="s">
        <v>2471</v>
      </c>
      <c r="V344" s="6" t="s">
        <v>2472</v>
      </c>
      <c r="W344" s="6" t="s">
        <v>2473</v>
      </c>
      <c r="X344" s="8" t="s">
        <v>3077</v>
      </c>
      <c r="Y344" s="6" t="s">
        <v>3240</v>
      </c>
      <c r="Z344" s="6" t="s">
        <v>3255</v>
      </c>
      <c r="AA344" s="37" t="s">
        <v>3712</v>
      </c>
      <c r="AB344" s="39" t="s">
        <v>3705</v>
      </c>
      <c r="AC344" s="37" t="s">
        <v>3713</v>
      </c>
      <c r="AD344" s="37" t="s">
        <v>3712</v>
      </c>
      <c r="AE344" s="37" t="s">
        <v>3712</v>
      </c>
      <c r="AF344" s="37" t="s">
        <v>3712</v>
      </c>
      <c r="AG344" s="40" t="s">
        <v>3714</v>
      </c>
      <c r="AH344" s="37" t="s">
        <v>3715</v>
      </c>
    </row>
    <row r="345" spans="1:34" ht="14.45" hidden="1" customHeight="1" x14ac:dyDescent="0.3">
      <c r="A345" s="6" t="s">
        <v>499</v>
      </c>
      <c r="B345" s="7">
        <v>42395</v>
      </c>
      <c r="C345" s="6" t="s">
        <v>498</v>
      </c>
      <c r="D345" s="6" t="s">
        <v>395</v>
      </c>
      <c r="E345" s="6" t="s">
        <v>396</v>
      </c>
      <c r="F345" s="6" t="s">
        <v>3229</v>
      </c>
      <c r="G345" s="8">
        <v>0.21228</v>
      </c>
      <c r="H345" s="8">
        <v>10.85223</v>
      </c>
      <c r="I345" s="6" t="s">
        <v>2497</v>
      </c>
      <c r="J345" s="6" t="s">
        <v>2459</v>
      </c>
      <c r="K345" s="6" t="s">
        <v>2460</v>
      </c>
      <c r="L345" s="6"/>
      <c r="M345" s="6"/>
      <c r="N345" s="6" t="s">
        <v>3268</v>
      </c>
      <c r="O345" s="6" t="s">
        <v>7</v>
      </c>
      <c r="P345" s="6" t="str">
        <f>VLOOKUP(Tableau1[[#This Row],[SITES NAMES]],[1]Feuil1!$1:$1048576,8,FALSE)</f>
        <v>OK</v>
      </c>
      <c r="Q345" s="6" t="str">
        <f>VLOOKUP(Tableau1[[#This Row],[SITES NAMES]],[1]Feuil1!$1:$1048576,9,FALSE)</f>
        <v>NO</v>
      </c>
      <c r="R345" s="6" t="str">
        <f>VLOOKUP(Tableau1[[#This Row],[SITES NAMES]],[1]Feuil1!$1:$1048576,10,FALSE)</f>
        <v>YES</v>
      </c>
      <c r="S345" s="6" t="s">
        <v>2469</v>
      </c>
      <c r="T345" s="6" t="s">
        <v>2470</v>
      </c>
      <c r="U345" s="6" t="s">
        <v>2480</v>
      </c>
      <c r="V345" s="6" t="s">
        <v>2478</v>
      </c>
      <c r="W345" s="6" t="s">
        <v>2465</v>
      </c>
      <c r="X345" s="8" t="s">
        <v>2655</v>
      </c>
      <c r="Y345" s="6" t="s">
        <v>3240</v>
      </c>
      <c r="Z345" s="6" t="s">
        <v>3255</v>
      </c>
      <c r="AA345" s="37" t="s">
        <v>3704</v>
      </c>
      <c r="AB345" s="39" t="s">
        <v>3705</v>
      </c>
      <c r="AC345" s="37" t="s">
        <v>3706</v>
      </c>
      <c r="AD345" s="37" t="s">
        <v>3707</v>
      </c>
      <c r="AE345" s="37" t="s">
        <v>3708</v>
      </c>
      <c r="AF345" s="37" t="s">
        <v>3709</v>
      </c>
      <c r="AG345" s="46" t="s">
        <v>3710</v>
      </c>
      <c r="AH345" s="37" t="s">
        <v>3711</v>
      </c>
    </row>
    <row r="346" spans="1:34" ht="14.45" hidden="1" customHeight="1" x14ac:dyDescent="0.3">
      <c r="A346" s="6" t="s">
        <v>696</v>
      </c>
      <c r="B346" s="7">
        <v>45022</v>
      </c>
      <c r="C346" s="6" t="s">
        <v>695</v>
      </c>
      <c r="D346" s="6" t="s">
        <v>657</v>
      </c>
      <c r="E346" s="6" t="s">
        <v>658</v>
      </c>
      <c r="F346" s="6" t="s">
        <v>3229</v>
      </c>
      <c r="G346" s="8">
        <v>0.50508299999999995</v>
      </c>
      <c r="H346" s="8">
        <v>9.6527999999999992</v>
      </c>
      <c r="I346" s="6" t="s">
        <v>2477</v>
      </c>
      <c r="J346" s="6" t="s">
        <v>2459</v>
      </c>
      <c r="K346" s="6" t="s">
        <v>2468</v>
      </c>
      <c r="L346" s="6" t="s">
        <v>3391</v>
      </c>
      <c r="M346" s="6"/>
      <c r="N346" s="6" t="s">
        <v>2468</v>
      </c>
      <c r="O346" s="6" t="s">
        <v>40</v>
      </c>
      <c r="P346" s="6" t="str">
        <f>VLOOKUP(Tableau1[[#This Row],[SITES NAMES]],[1]Feuil1!$1:$1048576,8,FALSE)</f>
        <v>OK</v>
      </c>
      <c r="Q346" s="6" t="str">
        <f>VLOOKUP(Tableau1[[#This Row],[SITES NAMES]],[1]Feuil1!$1:$1048576,9,FALSE)</f>
        <v>NO</v>
      </c>
      <c r="R346" s="6" t="str">
        <f>VLOOKUP(Tableau1[[#This Row],[SITES NAMES]],[1]Feuil1!$1:$1048576,10,FALSE)</f>
        <v>YES</v>
      </c>
      <c r="S346" s="6" t="s">
        <v>2469</v>
      </c>
      <c r="T346" s="6" t="s">
        <v>2470</v>
      </c>
      <c r="U346" s="6" t="s">
        <v>2480</v>
      </c>
      <c r="V346" s="6" t="s">
        <v>2472</v>
      </c>
      <c r="W346" s="6" t="s">
        <v>2473</v>
      </c>
      <c r="X346" s="8">
        <v>70997264</v>
      </c>
      <c r="Y346" s="6" t="s">
        <v>3239</v>
      </c>
      <c r="Z346" s="6" t="s">
        <v>3253</v>
      </c>
      <c r="AA346" s="38" t="s">
        <v>3682</v>
      </c>
      <c r="AB346" s="38" t="s">
        <v>3683</v>
      </c>
      <c r="AC346" s="38" t="s">
        <v>3684</v>
      </c>
      <c r="AD346" s="38" t="s">
        <v>3682</v>
      </c>
      <c r="AE346" s="38" t="s">
        <v>3682</v>
      </c>
      <c r="AF346" s="38" t="s">
        <v>3682</v>
      </c>
      <c r="AG346" s="40" t="s">
        <v>3685</v>
      </c>
      <c r="AH346" s="37" t="s">
        <v>3686</v>
      </c>
    </row>
    <row r="347" spans="1:34" ht="14.45" hidden="1" customHeight="1" x14ac:dyDescent="0.3">
      <c r="A347" s="6" t="s">
        <v>418</v>
      </c>
      <c r="B347" s="7">
        <v>41609</v>
      </c>
      <c r="C347" s="6" t="s">
        <v>417</v>
      </c>
      <c r="D347" s="6" t="s">
        <v>395</v>
      </c>
      <c r="E347" s="6" t="s">
        <v>396</v>
      </c>
      <c r="F347" s="6" t="s">
        <v>3229</v>
      </c>
      <c r="G347" s="8">
        <v>0.66408</v>
      </c>
      <c r="H347" s="8">
        <v>10.828099999999999</v>
      </c>
      <c r="I347" s="6" t="s">
        <v>2477</v>
      </c>
      <c r="J347" s="6" t="s">
        <v>2459</v>
      </c>
      <c r="K347" s="6" t="s">
        <v>2468</v>
      </c>
      <c r="L347" s="6" t="s">
        <v>3378</v>
      </c>
      <c r="M347" s="6"/>
      <c r="N347" s="6" t="s">
        <v>2468</v>
      </c>
      <c r="O347" s="6" t="s">
        <v>40</v>
      </c>
      <c r="P347" s="6" t="str">
        <f>VLOOKUP(Tableau1[[#This Row],[SITES NAMES]],[1]Feuil1!$1:$1048576,8,FALSE)</f>
        <v>NOK</v>
      </c>
      <c r="Q347" s="6" t="str">
        <f>VLOOKUP(Tableau1[[#This Row],[SITES NAMES]],[1]Feuil1!$1:$1048576,9,FALSE)</f>
        <v>NO</v>
      </c>
      <c r="R347" s="6" t="str">
        <f>VLOOKUP(Tableau1[[#This Row],[SITES NAMES]],[1]Feuil1!$1:$1048576,10,FALSE)</f>
        <v>YES</v>
      </c>
      <c r="S347" s="6" t="s">
        <v>2461</v>
      </c>
      <c r="T347" s="6" t="s">
        <v>2462</v>
      </c>
      <c r="U347" s="6" t="s">
        <v>2463</v>
      </c>
      <c r="V347" s="6" t="s">
        <v>2472</v>
      </c>
      <c r="W347" s="6" t="s">
        <v>2473</v>
      </c>
      <c r="X347" s="8" t="s">
        <v>2627</v>
      </c>
      <c r="Y347" s="6" t="s">
        <v>3240</v>
      </c>
      <c r="Z347" s="6" t="s">
        <v>3255</v>
      </c>
      <c r="AA347" s="37" t="s">
        <v>3704</v>
      </c>
      <c r="AB347" s="39" t="s">
        <v>3705</v>
      </c>
      <c r="AC347" s="37" t="s">
        <v>3706</v>
      </c>
      <c r="AD347" s="37" t="s">
        <v>3707</v>
      </c>
      <c r="AE347" s="37" t="s">
        <v>3708</v>
      </c>
      <c r="AF347" s="37" t="s">
        <v>3709</v>
      </c>
      <c r="AG347" s="46" t="s">
        <v>3710</v>
      </c>
      <c r="AH347" s="37" t="s">
        <v>3711</v>
      </c>
    </row>
    <row r="348" spans="1:34" ht="14.45" hidden="1" customHeight="1" x14ac:dyDescent="0.3">
      <c r="A348" s="6" t="s">
        <v>2197</v>
      </c>
      <c r="B348" s="7">
        <v>43435</v>
      </c>
      <c r="C348" s="6" t="s">
        <v>2196</v>
      </c>
      <c r="D348" s="6" t="s">
        <v>320</v>
      </c>
      <c r="E348" s="6" t="s">
        <v>2141</v>
      </c>
      <c r="F348" s="6" t="s">
        <v>3229</v>
      </c>
      <c r="G348" s="8">
        <v>1.2488809999999999</v>
      </c>
      <c r="H348" s="8">
        <v>9.0348590000000009</v>
      </c>
      <c r="I348" s="6" t="s">
        <v>2477</v>
      </c>
      <c r="J348" s="6" t="s">
        <v>2459</v>
      </c>
      <c r="K348" s="6" t="s">
        <v>2468</v>
      </c>
      <c r="L348" s="6" t="s">
        <v>3392</v>
      </c>
      <c r="M348" s="6"/>
      <c r="N348" s="6" t="s">
        <v>2468</v>
      </c>
      <c r="O348" s="6" t="s">
        <v>18</v>
      </c>
      <c r="P348" s="6" t="str">
        <f>VLOOKUP(Tableau1[[#This Row],[SITES NAMES]],[1]Feuil1!$1:$1048576,8,FALSE)</f>
        <v>OK</v>
      </c>
      <c r="Q348" s="6" t="str">
        <f>VLOOKUP(Tableau1[[#This Row],[SITES NAMES]],[1]Feuil1!$1:$1048576,9,FALSE)</f>
        <v>NO</v>
      </c>
      <c r="R348" s="6" t="str">
        <f>VLOOKUP(Tableau1[[#This Row],[SITES NAMES]],[1]Feuil1!$1:$1048576,10,FALSE)</f>
        <v>NO</v>
      </c>
      <c r="S348" s="6" t="s">
        <v>2469</v>
      </c>
      <c r="T348" s="6" t="s">
        <v>2470</v>
      </c>
      <c r="U348" s="6" t="s">
        <v>2471</v>
      </c>
      <c r="V348" s="6" t="s">
        <v>2472</v>
      </c>
      <c r="W348" s="6" t="s">
        <v>2473</v>
      </c>
      <c r="X348" s="8" t="s">
        <v>3154</v>
      </c>
      <c r="Y348" s="6" t="s">
        <v>3238</v>
      </c>
      <c r="Z348" s="6" t="s">
        <v>3254</v>
      </c>
      <c r="AA348" s="37" t="s">
        <v>3672</v>
      </c>
      <c r="AB348" s="39" t="s">
        <v>3665</v>
      </c>
      <c r="AC348" s="37" t="s">
        <v>3673</v>
      </c>
      <c r="AD348" s="37" t="s">
        <v>3674</v>
      </c>
      <c r="AE348" s="37" t="s">
        <v>3675</v>
      </c>
      <c r="AF348" s="39" t="s">
        <v>3676</v>
      </c>
      <c r="AG348" s="37" t="s">
        <v>3670</v>
      </c>
      <c r="AH348" s="37" t="s">
        <v>3677</v>
      </c>
    </row>
    <row r="349" spans="1:34" ht="14.45" hidden="1" customHeight="1" x14ac:dyDescent="0.3">
      <c r="A349" s="6" t="s">
        <v>913</v>
      </c>
      <c r="B349" s="7">
        <v>40887</v>
      </c>
      <c r="C349" s="6" t="s">
        <v>912</v>
      </c>
      <c r="D349" s="6" t="s">
        <v>657</v>
      </c>
      <c r="E349" s="6" t="s">
        <v>3235</v>
      </c>
      <c r="F349" s="6" t="s">
        <v>3229</v>
      </c>
      <c r="G349" s="8">
        <v>0.91921699999999995</v>
      </c>
      <c r="H349" s="8">
        <v>9.7408149999999996</v>
      </c>
      <c r="I349" s="6" t="s">
        <v>2477</v>
      </c>
      <c r="J349" s="6" t="s">
        <v>2459</v>
      </c>
      <c r="K349" s="6" t="s">
        <v>2468</v>
      </c>
      <c r="L349" s="6" t="s">
        <v>777</v>
      </c>
      <c r="M349" s="6"/>
      <c r="N349" s="6" t="s">
        <v>2468</v>
      </c>
      <c r="O349" s="6" t="s">
        <v>40</v>
      </c>
      <c r="P349" s="6" t="str">
        <f>VLOOKUP(Tableau1[[#This Row],[SITES NAMES]],[1]Feuil1!$1:$1048576,8,FALSE)</f>
        <v>OK</v>
      </c>
      <c r="Q349" s="6" t="str">
        <f>VLOOKUP(Tableau1[[#This Row],[SITES NAMES]],[1]Feuil1!$1:$1048576,9,FALSE)</f>
        <v>NO</v>
      </c>
      <c r="R349" s="6" t="str">
        <f>VLOOKUP(Tableau1[[#This Row],[SITES NAMES]],[1]Feuil1!$1:$1048576,10,FALSE)</f>
        <v>NO</v>
      </c>
      <c r="S349" s="6" t="s">
        <v>2469</v>
      </c>
      <c r="T349" s="6" t="s">
        <v>2470</v>
      </c>
      <c r="U349" s="6" t="s">
        <v>2480</v>
      </c>
      <c r="V349" s="6" t="s">
        <v>2464</v>
      </c>
      <c r="W349" s="6" t="s">
        <v>2473</v>
      </c>
      <c r="X349" s="8" t="s">
        <v>2811</v>
      </c>
      <c r="Y349" s="6" t="s">
        <v>3239</v>
      </c>
      <c r="Z349" s="6" t="s">
        <v>3253</v>
      </c>
      <c r="AA349" s="37" t="s">
        <v>3698</v>
      </c>
      <c r="AB349" s="38" t="s">
        <v>3683</v>
      </c>
      <c r="AC349" s="39" t="s">
        <v>3699</v>
      </c>
      <c r="AD349" s="39" t="s">
        <v>3700</v>
      </c>
      <c r="AE349" s="37" t="s">
        <v>3701</v>
      </c>
      <c r="AF349" s="39" t="s">
        <v>3702</v>
      </c>
      <c r="AG349" s="40" t="s">
        <v>3685</v>
      </c>
      <c r="AH349" s="37" t="s">
        <v>3703</v>
      </c>
    </row>
    <row r="350" spans="1:34" ht="14.45" hidden="1" customHeight="1" x14ac:dyDescent="0.3">
      <c r="A350" s="6" t="s">
        <v>295</v>
      </c>
      <c r="B350" s="7">
        <v>41928</v>
      </c>
      <c r="C350" s="6" t="s">
        <v>294</v>
      </c>
      <c r="D350" s="6" t="s">
        <v>132</v>
      </c>
      <c r="E350" s="6" t="s">
        <v>251</v>
      </c>
      <c r="F350" s="6" t="s">
        <v>3229</v>
      </c>
      <c r="G350" s="8">
        <v>0.67801</v>
      </c>
      <c r="H350" s="8">
        <v>7.7302999999999997</v>
      </c>
      <c r="I350" s="6" t="s">
        <v>2477</v>
      </c>
      <c r="J350" s="6" t="s">
        <v>2459</v>
      </c>
      <c r="K350" s="6" t="s">
        <v>2468</v>
      </c>
      <c r="L350" s="6" t="s">
        <v>309</v>
      </c>
      <c r="M350" s="6"/>
      <c r="N350" s="6" t="s">
        <v>2468</v>
      </c>
      <c r="O350" s="6" t="s">
        <v>40</v>
      </c>
      <c r="P350" s="6" t="str">
        <f>VLOOKUP(Tableau1[[#This Row],[SITES NAMES]],[1]Feuil1!$1:$1048576,8,FALSE)</f>
        <v>NOK</v>
      </c>
      <c r="Q350" s="6" t="str">
        <f>VLOOKUP(Tableau1[[#This Row],[SITES NAMES]],[1]Feuil1!$1:$1048576,9,FALSE)</f>
        <v>NO</v>
      </c>
      <c r="R350" s="6" t="str">
        <f>VLOOKUP(Tableau1[[#This Row],[SITES NAMES]],[1]Feuil1!$1:$1048576,10,FALSE)</f>
        <v>NO</v>
      </c>
      <c r="S350" s="6" t="s">
        <v>2469</v>
      </c>
      <c r="T350" s="6" t="s">
        <v>2470</v>
      </c>
      <c r="U350" s="6" t="s">
        <v>2480</v>
      </c>
      <c r="V350" s="6" t="s">
        <v>2472</v>
      </c>
      <c r="W350" s="6" t="s">
        <v>2473</v>
      </c>
      <c r="X350" s="8" t="s">
        <v>2580</v>
      </c>
      <c r="Y350" s="6" t="s">
        <v>3238</v>
      </c>
      <c r="Z350" s="6" t="s">
        <v>3256</v>
      </c>
      <c r="AA350" s="37" t="s">
        <v>3651</v>
      </c>
      <c r="AB350" s="39" t="s">
        <v>3644</v>
      </c>
      <c r="AC350" s="45" t="s">
        <v>3652</v>
      </c>
      <c r="AD350" s="39" t="s">
        <v>3646</v>
      </c>
      <c r="AE350" s="37" t="s">
        <v>3653</v>
      </c>
      <c r="AF350" s="37" t="s">
        <v>3654</v>
      </c>
      <c r="AG350" s="37" t="s">
        <v>3649</v>
      </c>
      <c r="AH350" s="37" t="s">
        <v>3655</v>
      </c>
    </row>
    <row r="351" spans="1:34" ht="14.45" hidden="1" customHeight="1" x14ac:dyDescent="0.25">
      <c r="A351" s="6" t="s">
        <v>1887</v>
      </c>
      <c r="B351" s="7">
        <v>45272</v>
      </c>
      <c r="C351" s="6" t="s">
        <v>1886</v>
      </c>
      <c r="D351" s="6" t="s">
        <v>66</v>
      </c>
      <c r="E351" s="6" t="s">
        <v>3232</v>
      </c>
      <c r="F351" s="6" t="s">
        <v>3229</v>
      </c>
      <c r="G351" s="8">
        <v>1.2247300000000001</v>
      </c>
      <c r="H351" s="8">
        <v>6.1371500000000001</v>
      </c>
      <c r="I351" s="6" t="s">
        <v>2475</v>
      </c>
      <c r="J351" s="6" t="s">
        <v>2459</v>
      </c>
      <c r="K351" s="6" t="s">
        <v>2529</v>
      </c>
      <c r="L351" s="6" t="s">
        <v>3479</v>
      </c>
      <c r="M351" s="6"/>
      <c r="N351" s="6" t="s">
        <v>2468</v>
      </c>
      <c r="O351" s="6" t="s">
        <v>7</v>
      </c>
      <c r="P351" s="6" t="str">
        <f>VLOOKUP(Tableau1[[#This Row],[SITES NAMES]],[1]Feuil1!$1:$1048576,8,FALSE)</f>
        <v>OK</v>
      </c>
      <c r="Q351" s="6" t="str">
        <f>VLOOKUP(Tableau1[[#This Row],[SITES NAMES]],[1]Feuil1!$1:$1048576,9,FALSE)</f>
        <v>NO</v>
      </c>
      <c r="R351" s="6"/>
      <c r="S351" s="6" t="s">
        <v>2469</v>
      </c>
      <c r="T351" s="6" t="s">
        <v>2470</v>
      </c>
      <c r="U351" s="6" t="s">
        <v>2480</v>
      </c>
      <c r="V351" s="6" t="s">
        <v>2478</v>
      </c>
      <c r="W351" s="6" t="s">
        <v>2785</v>
      </c>
      <c r="X351" s="8"/>
      <c r="Y351" s="6" t="s">
        <v>3238</v>
      </c>
      <c r="Z351" s="6" t="s">
        <v>3262</v>
      </c>
      <c r="AA351" s="35" t="s">
        <v>3621</v>
      </c>
      <c r="AB351" s="35" t="s">
        <v>3608</v>
      </c>
      <c r="AC351" s="35" t="s">
        <v>3624</v>
      </c>
      <c r="AD351" s="35" t="s">
        <v>3610</v>
      </c>
      <c r="AE351" s="35" t="s">
        <v>3610</v>
      </c>
      <c r="AF351" s="35" t="s">
        <v>3611</v>
      </c>
      <c r="AG351" s="35" t="s">
        <v>3612</v>
      </c>
      <c r="AH351" s="35" t="s">
        <v>3625</v>
      </c>
    </row>
    <row r="352" spans="1:34" hidden="1" x14ac:dyDescent="0.25">
      <c r="A352" s="6" t="s">
        <v>1510</v>
      </c>
      <c r="B352" s="7">
        <v>40513</v>
      </c>
      <c r="C352" s="6" t="s">
        <v>1509</v>
      </c>
      <c r="D352" s="6" t="s">
        <v>66</v>
      </c>
      <c r="E352" s="6" t="s">
        <v>3233</v>
      </c>
      <c r="F352" s="18" t="s">
        <v>3230</v>
      </c>
      <c r="G352" s="8">
        <v>1.2008730000000001</v>
      </c>
      <c r="H352" s="8">
        <v>6.2046819400000004</v>
      </c>
      <c r="I352" s="6" t="s">
        <v>2497</v>
      </c>
      <c r="J352" s="6" t="s">
        <v>2459</v>
      </c>
      <c r="K352" s="6" t="s">
        <v>2460</v>
      </c>
      <c r="L352" s="6"/>
      <c r="M352" s="6"/>
      <c r="N352" s="21" t="s">
        <v>3269</v>
      </c>
      <c r="O352" s="6" t="s">
        <v>7</v>
      </c>
      <c r="P352" s="6" t="str">
        <f>VLOOKUP(Tableau1[[#This Row],[SITES NAMES]],[1]Feuil1!$1:$1048576,8,FALSE)</f>
        <v>OK</v>
      </c>
      <c r="Q352" s="6" t="str">
        <f>VLOOKUP(Tableau1[[#This Row],[SITES NAMES]],[1]Feuil1!$1:$1048576,9,FALSE)</f>
        <v>NO</v>
      </c>
      <c r="R352" s="6" t="str">
        <f>VLOOKUP(Tableau1[[#This Row],[SITES NAMES]],[1]Feuil1!$1:$1048576,10,FALSE)</f>
        <v>NO</v>
      </c>
      <c r="S352" s="6" t="s">
        <v>2469</v>
      </c>
      <c r="T352" s="6" t="s">
        <v>2470</v>
      </c>
      <c r="U352" s="6" t="s">
        <v>2471</v>
      </c>
      <c r="V352" s="6" t="s">
        <v>2498</v>
      </c>
      <c r="W352" s="6" t="s">
        <v>2476</v>
      </c>
      <c r="X352" s="8"/>
      <c r="Y352" s="6" t="s">
        <v>3238</v>
      </c>
      <c r="Z352" s="6" t="s">
        <v>3264</v>
      </c>
      <c r="AA352" s="35" t="s">
        <v>3616</v>
      </c>
      <c r="AB352" s="35" t="s">
        <v>3608</v>
      </c>
      <c r="AC352" s="35" t="s">
        <v>3617</v>
      </c>
      <c r="AD352" s="35" t="s">
        <v>3610</v>
      </c>
      <c r="AE352" s="35" t="s">
        <v>3610</v>
      </c>
      <c r="AF352" s="35" t="s">
        <v>3611</v>
      </c>
      <c r="AG352" s="35" t="s">
        <v>3612</v>
      </c>
      <c r="AH352" s="35" t="s">
        <v>3618</v>
      </c>
    </row>
    <row r="353" spans="1:34" ht="14.45" hidden="1" customHeight="1" x14ac:dyDescent="0.25">
      <c r="A353" s="6" t="s">
        <v>1512</v>
      </c>
      <c r="B353" s="7">
        <v>40457</v>
      </c>
      <c r="C353" s="6" t="s">
        <v>1511</v>
      </c>
      <c r="D353" s="6" t="s">
        <v>66</v>
      </c>
      <c r="E353" s="6" t="s">
        <v>3233</v>
      </c>
      <c r="F353" s="6" t="s">
        <v>3229</v>
      </c>
      <c r="G353" s="8">
        <v>1.205327</v>
      </c>
      <c r="H353" s="8">
        <v>6.2199845829999996</v>
      </c>
      <c r="I353" s="6" t="s">
        <v>2497</v>
      </c>
      <c r="J353" s="6" t="s">
        <v>2459</v>
      </c>
      <c r="K353" s="6" t="s">
        <v>2460</v>
      </c>
      <c r="L353" s="6" t="s">
        <v>3393</v>
      </c>
      <c r="M353" s="6"/>
      <c r="N353" s="6" t="s">
        <v>3268</v>
      </c>
      <c r="O353" s="6" t="s">
        <v>1206</v>
      </c>
      <c r="P353" s="6"/>
      <c r="Q353" s="6" t="str">
        <f>VLOOKUP(Tableau1[[#This Row],[SITES NAMES]],[1]Feuil1!$1:$1048576,9,FALSE)</f>
        <v>NO</v>
      </c>
      <c r="R353" s="6" t="str">
        <f>VLOOKUP(Tableau1[[#This Row],[SITES NAMES]],[1]Feuil1!$1:$1048576,10,FALSE)</f>
        <v>YES</v>
      </c>
      <c r="S353" s="6" t="s">
        <v>2469</v>
      </c>
      <c r="T353" s="6" t="s">
        <v>2470</v>
      </c>
      <c r="U353" s="6" t="s">
        <v>2471</v>
      </c>
      <c r="V353" s="6" t="s">
        <v>2464</v>
      </c>
      <c r="W353" s="6" t="s">
        <v>2476</v>
      </c>
      <c r="X353" s="8"/>
      <c r="Y353" s="6" t="s">
        <v>3238</v>
      </c>
      <c r="Z353" s="6" t="s">
        <v>3264</v>
      </c>
      <c r="AA353" s="35" t="s">
        <v>3616</v>
      </c>
      <c r="AB353" s="35" t="s">
        <v>3608</v>
      </c>
      <c r="AC353" s="35" t="s">
        <v>3617</v>
      </c>
      <c r="AD353" s="35" t="s">
        <v>3610</v>
      </c>
      <c r="AE353" s="35" t="s">
        <v>3610</v>
      </c>
      <c r="AF353" s="35" t="s">
        <v>3611</v>
      </c>
      <c r="AG353" s="35" t="s">
        <v>3612</v>
      </c>
      <c r="AH353" s="35" t="s">
        <v>3618</v>
      </c>
    </row>
    <row r="354" spans="1:34" ht="14.45" hidden="1" customHeight="1" x14ac:dyDescent="0.25">
      <c r="A354" s="6" t="s">
        <v>1514</v>
      </c>
      <c r="B354" s="7">
        <v>43124</v>
      </c>
      <c r="C354" s="6" t="s">
        <v>1513</v>
      </c>
      <c r="D354" s="6" t="s">
        <v>66</v>
      </c>
      <c r="E354" s="6" t="s">
        <v>3233</v>
      </c>
      <c r="F354" s="6" t="s">
        <v>3229</v>
      </c>
      <c r="G354" s="8">
        <v>1.2022222220000001</v>
      </c>
      <c r="H354" s="8">
        <v>6.2131111109999999</v>
      </c>
      <c r="I354" s="6" t="s">
        <v>2475</v>
      </c>
      <c r="J354" s="6" t="s">
        <v>2459</v>
      </c>
      <c r="K354" s="6" t="s">
        <v>2460</v>
      </c>
      <c r="L354" s="6"/>
      <c r="M354" s="6"/>
      <c r="N354" s="6" t="s">
        <v>3268</v>
      </c>
      <c r="O354" s="6" t="s">
        <v>1206</v>
      </c>
      <c r="P354" s="6"/>
      <c r="Q354" s="6" t="str">
        <f>VLOOKUP(Tableau1[[#This Row],[SITES NAMES]],[1]Feuil1!$1:$1048576,9,FALSE)</f>
        <v>YES</v>
      </c>
      <c r="R354" s="6" t="str">
        <f>VLOOKUP(Tableau1[[#This Row],[SITES NAMES]],[1]Feuil1!$1:$1048576,10,FALSE)</f>
        <v>NO</v>
      </c>
      <c r="S354" s="6" t="s">
        <v>2461</v>
      </c>
      <c r="T354" s="6" t="s">
        <v>2462</v>
      </c>
      <c r="U354" s="6" t="s">
        <v>2463</v>
      </c>
      <c r="V354" s="6" t="s">
        <v>2464</v>
      </c>
      <c r="W354" s="6" t="s">
        <v>2476</v>
      </c>
      <c r="X354" s="8"/>
      <c r="Y354" s="6" t="s">
        <v>3238</v>
      </c>
      <c r="Z354" s="6" t="s">
        <v>3264</v>
      </c>
      <c r="AA354" s="35" t="s">
        <v>3616</v>
      </c>
      <c r="AB354" s="35" t="s">
        <v>3608</v>
      </c>
      <c r="AC354" s="35" t="s">
        <v>3617</v>
      </c>
      <c r="AD354" s="35" t="s">
        <v>3610</v>
      </c>
      <c r="AE354" s="35" t="s">
        <v>3610</v>
      </c>
      <c r="AF354" s="35" t="s">
        <v>3611</v>
      </c>
      <c r="AG354" s="35" t="s">
        <v>3612</v>
      </c>
      <c r="AH354" s="35" t="s">
        <v>3618</v>
      </c>
    </row>
    <row r="355" spans="1:34" ht="14.45" hidden="1" customHeight="1" x14ac:dyDescent="0.3">
      <c r="A355" s="6" t="s">
        <v>2199</v>
      </c>
      <c r="B355" s="7">
        <v>41609</v>
      </c>
      <c r="C355" s="6" t="s">
        <v>2198</v>
      </c>
      <c r="D355" s="6" t="s">
        <v>320</v>
      </c>
      <c r="E355" s="6" t="s">
        <v>2141</v>
      </c>
      <c r="F355" s="6" t="s">
        <v>3229</v>
      </c>
      <c r="G355" s="8">
        <v>1.1559299999999999</v>
      </c>
      <c r="H355" s="8">
        <v>8.9809599999999996</v>
      </c>
      <c r="I355" s="6" t="s">
        <v>2475</v>
      </c>
      <c r="J355" s="6" t="s">
        <v>2459</v>
      </c>
      <c r="K355" s="6" t="s">
        <v>2460</v>
      </c>
      <c r="L355" s="6"/>
      <c r="M355" s="6"/>
      <c r="N355" s="6" t="s">
        <v>3268</v>
      </c>
      <c r="O355" s="6" t="s">
        <v>7</v>
      </c>
      <c r="P355" s="6" t="str">
        <f>VLOOKUP(Tableau1[[#This Row],[SITES NAMES]],[1]Feuil1!$1:$1048576,8,FALSE)</f>
        <v>OK</v>
      </c>
      <c r="Q355" s="6" t="str">
        <f>VLOOKUP(Tableau1[[#This Row],[SITES NAMES]],[1]Feuil1!$1:$1048576,9,FALSE)</f>
        <v>NO</v>
      </c>
      <c r="R355" s="6" t="str">
        <f>VLOOKUP(Tableau1[[#This Row],[SITES NAMES]],[1]Feuil1!$1:$1048576,10,FALSE)</f>
        <v>NO</v>
      </c>
      <c r="S355" s="6" t="s">
        <v>2461</v>
      </c>
      <c r="T355" s="6" t="s">
        <v>2462</v>
      </c>
      <c r="U355" s="6" t="s">
        <v>2463</v>
      </c>
      <c r="V355" s="6" t="s">
        <v>2464</v>
      </c>
      <c r="W355" s="6" t="s">
        <v>2476</v>
      </c>
      <c r="X355" s="8">
        <v>70996911</v>
      </c>
      <c r="Y355" s="6" t="s">
        <v>3238</v>
      </c>
      <c r="Z355" s="6" t="s">
        <v>3254</v>
      </c>
      <c r="AA355" s="37" t="s">
        <v>3672</v>
      </c>
      <c r="AB355" s="39" t="s">
        <v>3665</v>
      </c>
      <c r="AC355" s="37" t="s">
        <v>3673</v>
      </c>
      <c r="AD355" s="37" t="s">
        <v>3674</v>
      </c>
      <c r="AE355" s="37" t="s">
        <v>3675</v>
      </c>
      <c r="AF355" s="39" t="s">
        <v>3676</v>
      </c>
      <c r="AG355" s="37" t="s">
        <v>3670</v>
      </c>
      <c r="AH355" s="37" t="s">
        <v>3677</v>
      </c>
    </row>
    <row r="356" spans="1:34" ht="14.45" hidden="1" customHeight="1" x14ac:dyDescent="0.25">
      <c r="A356" s="6" t="s">
        <v>1228</v>
      </c>
      <c r="B356" s="7">
        <v>44272</v>
      </c>
      <c r="C356" s="6" t="s">
        <v>1227</v>
      </c>
      <c r="D356" s="6" t="s">
        <v>66</v>
      </c>
      <c r="E356" s="6" t="s">
        <v>1924</v>
      </c>
      <c r="F356" s="6" t="s">
        <v>3229</v>
      </c>
      <c r="G356" s="8">
        <v>1.2236389999999999</v>
      </c>
      <c r="H356" s="8">
        <v>6.1712090000000002</v>
      </c>
      <c r="I356" s="6" t="s">
        <v>2906</v>
      </c>
      <c r="J356" s="6" t="s">
        <v>2459</v>
      </c>
      <c r="K356" s="6" t="s">
        <v>2460</v>
      </c>
      <c r="L356" s="6"/>
      <c r="M356" s="6"/>
      <c r="N356" s="6" t="s">
        <v>3268</v>
      </c>
      <c r="O356" s="6" t="s">
        <v>1206</v>
      </c>
      <c r="P356" s="6"/>
      <c r="Q356" s="6" t="str">
        <f>VLOOKUP(Tableau1[[#This Row],[SITES NAMES]],[1]Feuil1!$1:$1048576,9,FALSE)</f>
        <v>NO</v>
      </c>
      <c r="R356" s="6" t="str">
        <f>VLOOKUP(Tableau1[[#This Row],[SITES NAMES]],[1]Feuil1!$1:$1048576,10,FALSE)</f>
        <v>NO</v>
      </c>
      <c r="S356" s="6" t="s">
        <v>2461</v>
      </c>
      <c r="T356" s="6" t="s">
        <v>2462</v>
      </c>
      <c r="U356" s="6" t="s">
        <v>2463</v>
      </c>
      <c r="V356" s="6" t="s">
        <v>2498</v>
      </c>
      <c r="W356" s="6" t="s">
        <v>2476</v>
      </c>
      <c r="X356" s="8"/>
      <c r="Y356" s="6" t="s">
        <v>3238</v>
      </c>
      <c r="Z356" s="6" t="s">
        <v>3261</v>
      </c>
      <c r="AA356" s="35" t="s">
        <v>3607</v>
      </c>
      <c r="AB356" s="35" t="s">
        <v>3608</v>
      </c>
      <c r="AC356" s="35" t="s">
        <v>3609</v>
      </c>
      <c r="AD356" s="35" t="s">
        <v>3610</v>
      </c>
      <c r="AE356" s="35" t="s">
        <v>3610</v>
      </c>
      <c r="AF356" s="35" t="s">
        <v>3611</v>
      </c>
      <c r="AG356" s="35" t="s">
        <v>3612</v>
      </c>
      <c r="AH356" s="35" t="s">
        <v>3613</v>
      </c>
    </row>
    <row r="357" spans="1:34" ht="14.45" hidden="1" customHeight="1" x14ac:dyDescent="0.25">
      <c r="A357" s="6" t="s">
        <v>1642</v>
      </c>
      <c r="B357" s="7">
        <v>42657</v>
      </c>
      <c r="C357" s="6" t="s">
        <v>1641</v>
      </c>
      <c r="D357" s="6" t="s">
        <v>66</v>
      </c>
      <c r="E357" s="6" t="s">
        <v>3236</v>
      </c>
      <c r="F357" s="6" t="s">
        <v>3229</v>
      </c>
      <c r="G357" s="8">
        <v>1.161166667</v>
      </c>
      <c r="H357" s="8">
        <v>6.2355277779999998</v>
      </c>
      <c r="I357" s="6" t="s">
        <v>2486</v>
      </c>
      <c r="J357" s="6" t="s">
        <v>2459</v>
      </c>
      <c r="K357" s="6" t="s">
        <v>2460</v>
      </c>
      <c r="L357" s="6"/>
      <c r="M357" s="6"/>
      <c r="N357" s="6" t="s">
        <v>3268</v>
      </c>
      <c r="O357" s="6" t="s">
        <v>7</v>
      </c>
      <c r="P357" s="6" t="str">
        <f>VLOOKUP(Tableau1[[#This Row],[SITES NAMES]],[1]Feuil1!$1:$1048576,8,FALSE)</f>
        <v>OK</v>
      </c>
      <c r="Q357" s="6" t="str">
        <f>VLOOKUP(Tableau1[[#This Row],[SITES NAMES]],[1]Feuil1!$1:$1048576,9,FALSE)</f>
        <v>NO</v>
      </c>
      <c r="R357" s="6" t="str">
        <f>VLOOKUP(Tableau1[[#This Row],[SITES NAMES]],[1]Feuil1!$1:$1048576,10,FALSE)</f>
        <v>NO</v>
      </c>
      <c r="S357" s="6" t="s">
        <v>2461</v>
      </c>
      <c r="T357" s="6" t="s">
        <v>2470</v>
      </c>
      <c r="U357" s="6" t="s">
        <v>2463</v>
      </c>
      <c r="V357" s="6" t="s">
        <v>2478</v>
      </c>
      <c r="W357" s="6" t="s">
        <v>2476</v>
      </c>
      <c r="X357" s="8" t="s">
        <v>2993</v>
      </c>
      <c r="Y357" s="6" t="s">
        <v>3238</v>
      </c>
      <c r="Z357" s="6" t="s">
        <v>3263</v>
      </c>
      <c r="AA357" s="35" t="s">
        <v>3616</v>
      </c>
      <c r="AB357" s="35" t="s">
        <v>3608</v>
      </c>
      <c r="AC357" s="35" t="s">
        <v>3619</v>
      </c>
      <c r="AD357" s="35" t="s">
        <v>3610</v>
      </c>
      <c r="AE357" s="35" t="s">
        <v>3610</v>
      </c>
      <c r="AF357" s="35" t="s">
        <v>3611</v>
      </c>
      <c r="AG357" s="35" t="s">
        <v>3612</v>
      </c>
      <c r="AH357" s="35" t="s">
        <v>3620</v>
      </c>
    </row>
    <row r="358" spans="1:34" ht="14.45" hidden="1" customHeight="1" x14ac:dyDescent="0.25">
      <c r="A358" s="6" t="s">
        <v>1644</v>
      </c>
      <c r="B358" s="7">
        <v>43265</v>
      </c>
      <c r="C358" s="6" t="s">
        <v>1643</v>
      </c>
      <c r="D358" s="6" t="s">
        <v>66</v>
      </c>
      <c r="E358" s="6" t="s">
        <v>3236</v>
      </c>
      <c r="F358" s="6" t="s">
        <v>3229</v>
      </c>
      <c r="G358" s="8">
        <v>1.176029335</v>
      </c>
      <c r="H358" s="8">
        <v>6.2459220660000003</v>
      </c>
      <c r="I358" s="6" t="s">
        <v>2497</v>
      </c>
      <c r="J358" s="6" t="s">
        <v>2459</v>
      </c>
      <c r="K358" s="6" t="s">
        <v>2460</v>
      </c>
      <c r="L358" s="6"/>
      <c r="M358" s="6"/>
      <c r="N358" s="6" t="s">
        <v>3268</v>
      </c>
      <c r="O358" s="6" t="s">
        <v>7</v>
      </c>
      <c r="P358" s="6" t="str">
        <f>VLOOKUP(Tableau1[[#This Row],[SITES NAMES]],[1]Feuil1!$1:$1048576,8,FALSE)</f>
        <v>OK</v>
      </c>
      <c r="Q358" s="6" t="str">
        <f>VLOOKUP(Tableau1[[#This Row],[SITES NAMES]],[1]Feuil1!$1:$1048576,9,FALSE)</f>
        <v>NO</v>
      </c>
      <c r="R358" s="6" t="str">
        <f>VLOOKUP(Tableau1[[#This Row],[SITES NAMES]],[1]Feuil1!$1:$1048576,10,FALSE)</f>
        <v>NO</v>
      </c>
      <c r="S358" s="6" t="s">
        <v>2461</v>
      </c>
      <c r="T358" s="6" t="s">
        <v>2462</v>
      </c>
      <c r="U358" s="6" t="s">
        <v>2463</v>
      </c>
      <c r="V358" s="6" t="s">
        <v>2464</v>
      </c>
      <c r="W358" s="6" t="s">
        <v>2476</v>
      </c>
      <c r="X358" s="8"/>
      <c r="Y358" s="6" t="s">
        <v>3238</v>
      </c>
      <c r="Z358" s="6" t="s">
        <v>3263</v>
      </c>
      <c r="AA358" s="35" t="s">
        <v>3616</v>
      </c>
      <c r="AB358" s="35" t="s">
        <v>3608</v>
      </c>
      <c r="AC358" s="35" t="s">
        <v>3619</v>
      </c>
      <c r="AD358" s="35" t="s">
        <v>3610</v>
      </c>
      <c r="AE358" s="35" t="s">
        <v>3610</v>
      </c>
      <c r="AF358" s="35" t="s">
        <v>3611</v>
      </c>
      <c r="AG358" s="35" t="s">
        <v>3612</v>
      </c>
      <c r="AH358" s="35" t="s">
        <v>3620</v>
      </c>
    </row>
    <row r="359" spans="1:34" ht="14.45" hidden="1" customHeight="1" x14ac:dyDescent="0.25">
      <c r="A359" s="6" t="s">
        <v>1199</v>
      </c>
      <c r="B359" s="7">
        <v>44866</v>
      </c>
      <c r="C359" s="6" t="s">
        <v>1198</v>
      </c>
      <c r="D359" s="6" t="s">
        <v>66</v>
      </c>
      <c r="E359" s="6" t="s">
        <v>1924</v>
      </c>
      <c r="F359" s="6" t="s">
        <v>3229</v>
      </c>
      <c r="G359" s="8">
        <v>1.21661</v>
      </c>
      <c r="H359" s="8">
        <v>6.1738270000000002</v>
      </c>
      <c r="I359" s="6" t="s">
        <v>2475</v>
      </c>
      <c r="J359" s="6" t="s">
        <v>2459</v>
      </c>
      <c r="K359" s="6" t="s">
        <v>2460</v>
      </c>
      <c r="L359" s="6" t="s">
        <v>3394</v>
      </c>
      <c r="M359" s="6"/>
      <c r="N359" s="6" t="s">
        <v>3268</v>
      </c>
      <c r="O359" s="6" t="s">
        <v>7</v>
      </c>
      <c r="P359" s="6" t="str">
        <f>VLOOKUP(Tableau1[[#This Row],[SITES NAMES]],[1]Feuil1!$1:$1048576,8,FALSE)</f>
        <v>OK</v>
      </c>
      <c r="Q359" s="6" t="str">
        <f>VLOOKUP(Tableau1[[#This Row],[SITES NAMES]],[1]Feuil1!$1:$1048576,9,FALSE)</f>
        <v>NO</v>
      </c>
      <c r="R359" s="6" t="str">
        <f>VLOOKUP(Tableau1[[#This Row],[SITES NAMES]],[1]Feuil1!$1:$1048576,10,FALSE)</f>
        <v>YES</v>
      </c>
      <c r="S359" s="6" t="s">
        <v>2469</v>
      </c>
      <c r="T359" s="6" t="s">
        <v>2470</v>
      </c>
      <c r="U359" s="6" t="s">
        <v>2463</v>
      </c>
      <c r="V359" s="6" t="s">
        <v>2498</v>
      </c>
      <c r="W359" s="6" t="s">
        <v>2476</v>
      </c>
      <c r="X359" s="8">
        <v>70997325</v>
      </c>
      <c r="Y359" s="6" t="s">
        <v>3238</v>
      </c>
      <c r="Z359" s="6" t="s">
        <v>3261</v>
      </c>
      <c r="AA359" s="35" t="s">
        <v>3607</v>
      </c>
      <c r="AB359" s="35" t="s">
        <v>3608</v>
      </c>
      <c r="AC359" s="35" t="s">
        <v>3609</v>
      </c>
      <c r="AD359" s="35" t="s">
        <v>3610</v>
      </c>
      <c r="AE359" s="35" t="s">
        <v>3610</v>
      </c>
      <c r="AF359" s="35" t="s">
        <v>3611</v>
      </c>
      <c r="AG359" s="35" t="s">
        <v>3612</v>
      </c>
      <c r="AH359" s="35" t="s">
        <v>3613</v>
      </c>
    </row>
    <row r="360" spans="1:34" ht="14.45" hidden="1" customHeight="1" x14ac:dyDescent="0.25">
      <c r="A360" s="6" t="s">
        <v>1230</v>
      </c>
      <c r="B360" s="7">
        <v>0</v>
      </c>
      <c r="C360" s="6" t="s">
        <v>1229</v>
      </c>
      <c r="D360" s="6" t="s">
        <v>66</v>
      </c>
      <c r="E360" s="6" t="s">
        <v>1924</v>
      </c>
      <c r="F360" s="18" t="s">
        <v>3230</v>
      </c>
      <c r="G360" s="8">
        <v>1.2143699999999999</v>
      </c>
      <c r="H360" s="8">
        <v>6.181</v>
      </c>
      <c r="I360" s="6" t="s">
        <v>2497</v>
      </c>
      <c r="J360" s="6" t="s">
        <v>2459</v>
      </c>
      <c r="K360" s="6" t="s">
        <v>2460</v>
      </c>
      <c r="L360" s="6"/>
      <c r="M360" s="6"/>
      <c r="N360" s="6" t="s">
        <v>3268</v>
      </c>
      <c r="O360" s="6" t="s">
        <v>7</v>
      </c>
      <c r="P360" s="6" t="str">
        <f>VLOOKUP(Tableau1[[#This Row],[SITES NAMES]],[1]Feuil1!$1:$1048576,8,FALSE)</f>
        <v>OK</v>
      </c>
      <c r="Q360" s="6" t="str">
        <f>VLOOKUP(Tableau1[[#This Row],[SITES NAMES]],[1]Feuil1!$1:$1048576,9,FALSE)</f>
        <v>NO</v>
      </c>
      <c r="R360" s="6" t="str">
        <f>VLOOKUP(Tableau1[[#This Row],[SITES NAMES]],[1]Feuil1!$1:$1048576,10,FALSE)</f>
        <v>NO</v>
      </c>
      <c r="S360" s="6" t="s">
        <v>2461</v>
      </c>
      <c r="T360" s="6" t="s">
        <v>2462</v>
      </c>
      <c r="U360" s="6" t="s">
        <v>2463</v>
      </c>
      <c r="V360" s="6" t="s">
        <v>2498</v>
      </c>
      <c r="W360" s="6" t="s">
        <v>2476</v>
      </c>
      <c r="X360" s="8"/>
      <c r="Y360" s="6" t="s">
        <v>3238</v>
      </c>
      <c r="Z360" s="6" t="s">
        <v>3261</v>
      </c>
      <c r="AA360" s="35" t="s">
        <v>3607</v>
      </c>
      <c r="AB360" s="35" t="s">
        <v>3608</v>
      </c>
      <c r="AC360" s="35" t="s">
        <v>3609</v>
      </c>
      <c r="AD360" s="35" t="s">
        <v>3610</v>
      </c>
      <c r="AE360" s="35" t="s">
        <v>3610</v>
      </c>
      <c r="AF360" s="35" t="s">
        <v>3611</v>
      </c>
      <c r="AG360" s="35" t="s">
        <v>3612</v>
      </c>
      <c r="AH360" s="35" t="s">
        <v>3613</v>
      </c>
    </row>
    <row r="361" spans="1:34" ht="14.45" hidden="1" customHeight="1" x14ac:dyDescent="0.25">
      <c r="A361" s="6" t="s">
        <v>1767</v>
      </c>
      <c r="B361" s="7">
        <v>42347</v>
      </c>
      <c r="C361" s="6" t="s">
        <v>1766</v>
      </c>
      <c r="D361" s="6" t="s">
        <v>66</v>
      </c>
      <c r="E361" s="6" t="s">
        <v>3234</v>
      </c>
      <c r="F361" s="6" t="s">
        <v>3229</v>
      </c>
      <c r="G361" s="8">
        <v>1.165889</v>
      </c>
      <c r="H361" s="8">
        <v>6.2113189999999996</v>
      </c>
      <c r="I361" s="6" t="s">
        <v>2497</v>
      </c>
      <c r="J361" s="6" t="s">
        <v>2459</v>
      </c>
      <c r="K361" s="6" t="s">
        <v>2460</v>
      </c>
      <c r="L361" s="6"/>
      <c r="M361" s="6"/>
      <c r="N361" s="6" t="s">
        <v>3268</v>
      </c>
      <c r="O361" s="6" t="s">
        <v>1206</v>
      </c>
      <c r="P361" s="6"/>
      <c r="Q361" s="6" t="str">
        <f>VLOOKUP(Tableau1[[#This Row],[SITES NAMES]],[1]Feuil1!$1:$1048576,9,FALSE)</f>
        <v>YES</v>
      </c>
      <c r="R361" s="6" t="str">
        <f>VLOOKUP(Tableau1[[#This Row],[SITES NAMES]],[1]Feuil1!$1:$1048576,10,FALSE)</f>
        <v>NO</v>
      </c>
      <c r="S361" s="6" t="s">
        <v>2469</v>
      </c>
      <c r="T361" s="6" t="s">
        <v>2470</v>
      </c>
      <c r="U361" s="6" t="s">
        <v>2480</v>
      </c>
      <c r="V361" s="6" t="s">
        <v>2464</v>
      </c>
      <c r="W361" s="6" t="s">
        <v>2476</v>
      </c>
      <c r="X361" s="8"/>
      <c r="Y361" s="6" t="s">
        <v>3238</v>
      </c>
      <c r="Z361" s="6" t="s">
        <v>3265</v>
      </c>
      <c r="AA361" s="35" t="s">
        <v>3607</v>
      </c>
      <c r="AB361" s="35" t="s">
        <v>3608</v>
      </c>
      <c r="AC361" s="35" t="s">
        <v>3614</v>
      </c>
      <c r="AD361" s="35" t="s">
        <v>3610</v>
      </c>
      <c r="AE361" s="35" t="s">
        <v>3610</v>
      </c>
      <c r="AF361" s="35" t="s">
        <v>3611</v>
      </c>
      <c r="AG361" s="35" t="s">
        <v>3612</v>
      </c>
      <c r="AH361" s="35" t="s">
        <v>3615</v>
      </c>
    </row>
    <row r="362" spans="1:34" ht="14.45" hidden="1" customHeight="1" x14ac:dyDescent="0.25">
      <c r="A362" s="6" t="s">
        <v>3458</v>
      </c>
      <c r="B362" s="7">
        <v>38200</v>
      </c>
      <c r="C362" s="6" t="s">
        <v>1888</v>
      </c>
      <c r="D362" s="6" t="s">
        <v>66</v>
      </c>
      <c r="E362" s="6" t="s">
        <v>3232</v>
      </c>
      <c r="F362" s="6" t="s">
        <v>3229</v>
      </c>
      <c r="G362" s="8">
        <v>1.203805</v>
      </c>
      <c r="H362" s="8">
        <v>6.1504669999999999</v>
      </c>
      <c r="I362" s="6" t="s">
        <v>2497</v>
      </c>
      <c r="J362" s="6" t="s">
        <v>2459</v>
      </c>
      <c r="K362" s="6" t="s">
        <v>2460</v>
      </c>
      <c r="L362" s="6"/>
      <c r="M362" s="6"/>
      <c r="N362" s="6" t="s">
        <v>3268</v>
      </c>
      <c r="O362" s="6" t="s">
        <v>7</v>
      </c>
      <c r="P362" s="6" t="e">
        <f>VLOOKUP(Tableau1[[#This Row],[SITES NAMES]],[1]Feuil1!$1:$1048576,8,FALSE)</f>
        <v>#N/A</v>
      </c>
      <c r="Q362" s="6" t="e">
        <f>VLOOKUP(Tableau1[[#This Row],[SITES NAMES]],[1]Feuil1!$1:$1048576,9,FALSE)</f>
        <v>#N/A</v>
      </c>
      <c r="R362" s="6" t="e">
        <f>VLOOKUP(Tableau1[[#This Row],[SITES NAMES]],[1]Feuil1!$1:$1048576,10,FALSE)</f>
        <v>#N/A</v>
      </c>
      <c r="S362" s="6" t="s">
        <v>2461</v>
      </c>
      <c r="T362" s="6" t="s">
        <v>2462</v>
      </c>
      <c r="U362" s="6" t="s">
        <v>2463</v>
      </c>
      <c r="V362" s="6" t="s">
        <v>2478</v>
      </c>
      <c r="W362" s="6" t="s">
        <v>2476</v>
      </c>
      <c r="X362" s="8"/>
      <c r="Y362" s="6" t="s">
        <v>3238</v>
      </c>
      <c r="Z362" s="6" t="s">
        <v>3262</v>
      </c>
      <c r="AA362" s="35" t="s">
        <v>3621</v>
      </c>
      <c r="AB362" s="35" t="s">
        <v>3608</v>
      </c>
      <c r="AC362" s="35" t="s">
        <v>3624</v>
      </c>
      <c r="AD362" s="35" t="s">
        <v>3610</v>
      </c>
      <c r="AE362" s="35" t="s">
        <v>3610</v>
      </c>
      <c r="AF362" s="35" t="s">
        <v>3611</v>
      </c>
      <c r="AG362" s="35" t="s">
        <v>3612</v>
      </c>
      <c r="AH362" s="35" t="s">
        <v>3625</v>
      </c>
    </row>
    <row r="363" spans="1:34" ht="14.45" hidden="1" customHeight="1" x14ac:dyDescent="0.25">
      <c r="A363" s="6" t="s">
        <v>1183</v>
      </c>
      <c r="B363" s="7">
        <v>44986</v>
      </c>
      <c r="C363" s="6" t="s">
        <v>1182</v>
      </c>
      <c r="D363" s="6" t="s">
        <v>66</v>
      </c>
      <c r="E363" s="6" t="s">
        <v>1924</v>
      </c>
      <c r="F363" s="6" t="s">
        <v>3229</v>
      </c>
      <c r="G363" s="8">
        <v>1.2032590000000001</v>
      </c>
      <c r="H363" s="8">
        <v>6.1591910539999999</v>
      </c>
      <c r="I363" s="6">
        <v>0</v>
      </c>
      <c r="J363" s="6" t="s">
        <v>2459</v>
      </c>
      <c r="K363" s="6" t="s">
        <v>2460</v>
      </c>
      <c r="L363" s="6" t="s">
        <v>1201</v>
      </c>
      <c r="M363" s="6" t="s">
        <v>1914</v>
      </c>
      <c r="N363" s="6" t="s">
        <v>3268</v>
      </c>
      <c r="O363" s="6" t="s">
        <v>7</v>
      </c>
      <c r="P363" s="6" t="str">
        <f>VLOOKUP(Tableau1[[#This Row],[SITES NAMES]],[1]Feuil1!$1:$1048576,8,FALSE)</f>
        <v>OK</v>
      </c>
      <c r="Q363" s="6" t="str">
        <f>VLOOKUP(Tableau1[[#This Row],[SITES NAMES]],[1]Feuil1!$1:$1048576,9,FALSE)</f>
        <v>NO</v>
      </c>
      <c r="R363" s="6" t="str">
        <f>VLOOKUP(Tableau1[[#This Row],[SITES NAMES]],[1]Feuil1!$1:$1048576,10,FALSE)</f>
        <v>YES</v>
      </c>
      <c r="S363" s="6" t="s">
        <v>2461</v>
      </c>
      <c r="T363" s="6" t="s">
        <v>2462</v>
      </c>
      <c r="U363" s="6" t="s">
        <v>2463</v>
      </c>
      <c r="V363" s="6" t="s">
        <v>2478</v>
      </c>
      <c r="W363" s="6" t="s">
        <v>2476</v>
      </c>
      <c r="X363" s="8"/>
      <c r="Y363" s="6" t="s">
        <v>3238</v>
      </c>
      <c r="Z363" s="6" t="s">
        <v>3261</v>
      </c>
      <c r="AA363" s="35" t="s">
        <v>3607</v>
      </c>
      <c r="AB363" s="35" t="s">
        <v>3608</v>
      </c>
      <c r="AC363" s="35" t="s">
        <v>3609</v>
      </c>
      <c r="AD363" s="35" t="s">
        <v>3610</v>
      </c>
      <c r="AE363" s="35" t="s">
        <v>3610</v>
      </c>
      <c r="AF363" s="35" t="s">
        <v>3611</v>
      </c>
      <c r="AG363" s="35" t="s">
        <v>3612</v>
      </c>
      <c r="AH363" s="35" t="s">
        <v>3613</v>
      </c>
    </row>
    <row r="364" spans="1:34" ht="14.45" hidden="1" customHeight="1" x14ac:dyDescent="0.25">
      <c r="A364" s="6" t="s">
        <v>1232</v>
      </c>
      <c r="B364" s="7">
        <v>45272</v>
      </c>
      <c r="C364" s="6" t="s">
        <v>1231</v>
      </c>
      <c r="D364" s="6" t="s">
        <v>66</v>
      </c>
      <c r="E364" s="6" t="s">
        <v>1924</v>
      </c>
      <c r="F364" s="6" t="s">
        <v>3229</v>
      </c>
      <c r="G364" s="8">
        <v>1.20261</v>
      </c>
      <c r="H364" s="8">
        <v>6.1543599999999996</v>
      </c>
      <c r="I364" s="6" t="s">
        <v>2475</v>
      </c>
      <c r="J364" s="6" t="s">
        <v>2459</v>
      </c>
      <c r="K364" s="6" t="s">
        <v>2460</v>
      </c>
      <c r="L364" s="6" t="s">
        <v>1496</v>
      </c>
      <c r="M364" s="6"/>
      <c r="N364" s="6" t="s">
        <v>3268</v>
      </c>
      <c r="O364" s="6" t="s">
        <v>7</v>
      </c>
      <c r="P364" s="6" t="str">
        <f>VLOOKUP(Tableau1[[#This Row],[SITES NAMES]],[1]Feuil1!$1:$1048576,8,FALSE)</f>
        <v>OK</v>
      </c>
      <c r="Q364" s="6" t="str">
        <f>VLOOKUP(Tableau1[[#This Row],[SITES NAMES]],[1]Feuil1!$1:$1048576,9,FALSE)</f>
        <v>NO</v>
      </c>
      <c r="R364" s="6"/>
      <c r="S364" s="6" t="s">
        <v>2469</v>
      </c>
      <c r="T364" s="6" t="s">
        <v>2470</v>
      </c>
      <c r="U364" s="6" t="s">
        <v>2480</v>
      </c>
      <c r="V364" s="6" t="s">
        <v>2464</v>
      </c>
      <c r="W364" s="6" t="s">
        <v>2785</v>
      </c>
      <c r="X364" s="8"/>
      <c r="Y364" s="6" t="s">
        <v>3238</v>
      </c>
      <c r="Z364" s="6" t="s">
        <v>3261</v>
      </c>
      <c r="AA364" s="35" t="s">
        <v>3607</v>
      </c>
      <c r="AB364" s="35" t="s">
        <v>3608</v>
      </c>
      <c r="AC364" s="35" t="s">
        <v>3609</v>
      </c>
      <c r="AD364" s="35" t="s">
        <v>3610</v>
      </c>
      <c r="AE364" s="35" t="s">
        <v>3610</v>
      </c>
      <c r="AF364" s="35" t="s">
        <v>3611</v>
      </c>
      <c r="AG364" s="35" t="s">
        <v>3612</v>
      </c>
      <c r="AH364" s="35" t="s">
        <v>3613</v>
      </c>
    </row>
    <row r="365" spans="1:34" ht="14.45" hidden="1" customHeight="1" x14ac:dyDescent="0.25">
      <c r="A365" s="6" t="s">
        <v>1234</v>
      </c>
      <c r="B365" s="7">
        <v>38200</v>
      </c>
      <c r="C365" s="6" t="s">
        <v>1233</v>
      </c>
      <c r="D365" s="6" t="s">
        <v>66</v>
      </c>
      <c r="E365" s="6" t="s">
        <v>1924</v>
      </c>
      <c r="F365" s="6" t="s">
        <v>3229</v>
      </c>
      <c r="G365" s="8">
        <v>1.2421519999999999</v>
      </c>
      <c r="H365" s="8">
        <v>6.1636565340000002</v>
      </c>
      <c r="I365" s="6" t="s">
        <v>2497</v>
      </c>
      <c r="J365" s="6" t="s">
        <v>2459</v>
      </c>
      <c r="K365" s="6" t="s">
        <v>2460</v>
      </c>
      <c r="L365" s="6"/>
      <c r="M365" s="6"/>
      <c r="N365" s="6" t="s">
        <v>3268</v>
      </c>
      <c r="O365" s="6" t="s">
        <v>7</v>
      </c>
      <c r="P365" s="6" t="str">
        <f>VLOOKUP(Tableau1[[#This Row],[SITES NAMES]],[1]Feuil1!$1:$1048576,8,FALSE)</f>
        <v>OK</v>
      </c>
      <c r="Q365" s="6" t="str">
        <f>VLOOKUP(Tableau1[[#This Row],[SITES NAMES]],[1]Feuil1!$1:$1048576,9,FALSE)</f>
        <v>NO</v>
      </c>
      <c r="R365" s="6" t="str">
        <f>VLOOKUP(Tableau1[[#This Row],[SITES NAMES]],[1]Feuil1!$1:$1048576,10,FALSE)</f>
        <v>NO</v>
      </c>
      <c r="S365" s="6" t="s">
        <v>2469</v>
      </c>
      <c r="T365" s="6" t="s">
        <v>2470</v>
      </c>
      <c r="U365" s="6" t="s">
        <v>2480</v>
      </c>
      <c r="V365" s="6" t="s">
        <v>2498</v>
      </c>
      <c r="W365" s="6" t="s">
        <v>2476</v>
      </c>
      <c r="X365" s="8" t="s">
        <v>3245</v>
      </c>
      <c r="Y365" s="6" t="s">
        <v>3238</v>
      </c>
      <c r="Z365" s="6" t="s">
        <v>3261</v>
      </c>
      <c r="AA365" s="35" t="s">
        <v>3607</v>
      </c>
      <c r="AB365" s="35" t="s">
        <v>3608</v>
      </c>
      <c r="AC365" s="35" t="s">
        <v>3609</v>
      </c>
      <c r="AD365" s="35" t="s">
        <v>3610</v>
      </c>
      <c r="AE365" s="35" t="s">
        <v>3610</v>
      </c>
      <c r="AF365" s="35" t="s">
        <v>3611</v>
      </c>
      <c r="AG365" s="35" t="s">
        <v>3612</v>
      </c>
      <c r="AH365" s="35" t="s">
        <v>3613</v>
      </c>
    </row>
    <row r="366" spans="1:34" ht="14.45" hidden="1" customHeight="1" x14ac:dyDescent="0.25">
      <c r="A366" s="6" t="s">
        <v>1236</v>
      </c>
      <c r="B366" s="7">
        <v>0</v>
      </c>
      <c r="C366" s="6" t="s">
        <v>1235</v>
      </c>
      <c r="D366" s="6" t="s">
        <v>66</v>
      </c>
      <c r="E366" s="6" t="s">
        <v>1924</v>
      </c>
      <c r="F366" s="6" t="s">
        <v>3229</v>
      </c>
      <c r="G366" s="8">
        <v>1.2401</v>
      </c>
      <c r="H366" s="8">
        <v>6.1565917775000001</v>
      </c>
      <c r="I366" s="6" t="s">
        <v>2497</v>
      </c>
      <c r="J366" s="6" t="s">
        <v>2459</v>
      </c>
      <c r="K366" s="6" t="s">
        <v>2460</v>
      </c>
      <c r="L366" s="6"/>
      <c r="M366" s="6"/>
      <c r="N366" s="6" t="s">
        <v>3268</v>
      </c>
      <c r="O366" s="6" t="s">
        <v>7</v>
      </c>
      <c r="P366" s="6" t="str">
        <f>VLOOKUP(Tableau1[[#This Row],[SITES NAMES]],[1]Feuil1!$1:$1048576,8,FALSE)</f>
        <v>OK</v>
      </c>
      <c r="Q366" s="6" t="str">
        <f>VLOOKUP(Tableau1[[#This Row],[SITES NAMES]],[1]Feuil1!$1:$1048576,9,FALSE)</f>
        <v>NO</v>
      </c>
      <c r="R366" s="6" t="str">
        <f>VLOOKUP(Tableau1[[#This Row],[SITES NAMES]],[1]Feuil1!$1:$1048576,10,FALSE)</f>
        <v>NO</v>
      </c>
      <c r="S366" s="6" t="s">
        <v>2461</v>
      </c>
      <c r="T366" s="6" t="s">
        <v>2462</v>
      </c>
      <c r="U366" s="6" t="s">
        <v>2463</v>
      </c>
      <c r="V366" s="6" t="s">
        <v>2498</v>
      </c>
      <c r="W366" s="6" t="s">
        <v>2476</v>
      </c>
      <c r="X366" s="8"/>
      <c r="Y366" s="6" t="s">
        <v>3238</v>
      </c>
      <c r="Z366" s="6" t="s">
        <v>3261</v>
      </c>
      <c r="AA366" s="35" t="s">
        <v>3607</v>
      </c>
      <c r="AB366" s="35" t="s">
        <v>3608</v>
      </c>
      <c r="AC366" s="35" t="s">
        <v>3609</v>
      </c>
      <c r="AD366" s="35" t="s">
        <v>3610</v>
      </c>
      <c r="AE366" s="35" t="s">
        <v>3610</v>
      </c>
      <c r="AF366" s="35" t="s">
        <v>3611</v>
      </c>
      <c r="AG366" s="35" t="s">
        <v>3612</v>
      </c>
      <c r="AH366" s="35" t="s">
        <v>3613</v>
      </c>
    </row>
    <row r="367" spans="1:34" ht="14.45" hidden="1" customHeight="1" x14ac:dyDescent="0.25">
      <c r="A367" s="6" t="s">
        <v>1238</v>
      </c>
      <c r="B367" s="7">
        <v>44742</v>
      </c>
      <c r="C367" s="6" t="s">
        <v>1237</v>
      </c>
      <c r="D367" s="6" t="s">
        <v>66</v>
      </c>
      <c r="E367" s="6" t="s">
        <v>1924</v>
      </c>
      <c r="F367" s="6" t="s">
        <v>3229</v>
      </c>
      <c r="G367" s="8">
        <v>1.235554</v>
      </c>
      <c r="H367" s="8">
        <v>6.1620999999999997</v>
      </c>
      <c r="I367" s="6" t="s">
        <v>2497</v>
      </c>
      <c r="J367" s="6" t="s">
        <v>2459</v>
      </c>
      <c r="K367" s="6" t="s">
        <v>2460</v>
      </c>
      <c r="L367" s="6" t="s">
        <v>1236</v>
      </c>
      <c r="M367" s="6"/>
      <c r="N367" s="6" t="s">
        <v>3268</v>
      </c>
      <c r="O367" s="6" t="s">
        <v>7</v>
      </c>
      <c r="P367" s="6" t="str">
        <f>VLOOKUP(Tableau1[[#This Row],[SITES NAMES]],[1]Feuil1!$1:$1048576,8,FALSE)</f>
        <v>OK</v>
      </c>
      <c r="Q367" s="6" t="str">
        <f>VLOOKUP(Tableau1[[#This Row],[SITES NAMES]],[1]Feuil1!$1:$1048576,9,FALSE)</f>
        <v>NO</v>
      </c>
      <c r="R367" s="6" t="str">
        <f>VLOOKUP(Tableau1[[#This Row],[SITES NAMES]],[1]Feuil1!$1:$1048576,10,FALSE)</f>
        <v>YES</v>
      </c>
      <c r="S367" s="6" t="s">
        <v>2469</v>
      </c>
      <c r="T367" s="6" t="s">
        <v>2470</v>
      </c>
      <c r="U367" s="6" t="s">
        <v>2471</v>
      </c>
      <c r="V367" s="6" t="s">
        <v>2498</v>
      </c>
      <c r="W367" s="6" t="s">
        <v>2476</v>
      </c>
      <c r="X367" s="8"/>
      <c r="Y367" s="6" t="s">
        <v>3238</v>
      </c>
      <c r="Z367" s="6" t="s">
        <v>3261</v>
      </c>
      <c r="AA367" s="35" t="s">
        <v>3607</v>
      </c>
      <c r="AB367" s="35" t="s">
        <v>3608</v>
      </c>
      <c r="AC367" s="35" t="s">
        <v>3609</v>
      </c>
      <c r="AD367" s="35" t="s">
        <v>3610</v>
      </c>
      <c r="AE367" s="35" t="s">
        <v>3610</v>
      </c>
      <c r="AF367" s="35" t="s">
        <v>3611</v>
      </c>
      <c r="AG367" s="35" t="s">
        <v>3612</v>
      </c>
      <c r="AH367" s="35" t="s">
        <v>3613</v>
      </c>
    </row>
    <row r="368" spans="1:34" ht="15.75" hidden="1" x14ac:dyDescent="0.3">
      <c r="A368" s="6" t="s">
        <v>501</v>
      </c>
      <c r="B368" s="7">
        <v>0</v>
      </c>
      <c r="C368" s="6" t="s">
        <v>500</v>
      </c>
      <c r="D368" s="6" t="s">
        <v>395</v>
      </c>
      <c r="E368" s="6" t="s">
        <v>396</v>
      </c>
      <c r="F368" s="18" t="s">
        <v>3230</v>
      </c>
      <c r="G368" s="8">
        <v>1.3141E-2</v>
      </c>
      <c r="H368" s="8">
        <v>11.108214</v>
      </c>
      <c r="I368" s="6" t="s">
        <v>2497</v>
      </c>
      <c r="J368" s="6" t="s">
        <v>2459</v>
      </c>
      <c r="K368" s="6" t="s">
        <v>2460</v>
      </c>
      <c r="L368" s="6"/>
      <c r="M368" s="6"/>
      <c r="N368" s="21" t="s">
        <v>3269</v>
      </c>
      <c r="O368" s="6" t="s">
        <v>7</v>
      </c>
      <c r="P368" s="6" t="str">
        <f>VLOOKUP(Tableau1[[#This Row],[SITES NAMES]],[1]Feuil1!$1:$1048576,8,FALSE)</f>
        <v>OK</v>
      </c>
      <c r="Q368" s="6" t="str">
        <f>VLOOKUP(Tableau1[[#This Row],[SITES NAMES]],[1]Feuil1!$1:$1048576,9,FALSE)</f>
        <v>NO</v>
      </c>
      <c r="R368" s="6" t="str">
        <f>VLOOKUP(Tableau1[[#This Row],[SITES NAMES]],[1]Feuil1!$1:$1048576,10,FALSE)</f>
        <v>YES</v>
      </c>
      <c r="S368" s="6" t="s">
        <v>2461</v>
      </c>
      <c r="T368" s="6" t="s">
        <v>2462</v>
      </c>
      <c r="U368" s="6" t="s">
        <v>2463</v>
      </c>
      <c r="V368" s="6" t="s">
        <v>2498</v>
      </c>
      <c r="W368" s="6" t="s">
        <v>2476</v>
      </c>
      <c r="X368" s="8" t="s">
        <v>2656</v>
      </c>
      <c r="Y368" s="6" t="s">
        <v>3240</v>
      </c>
      <c r="Z368" s="6" t="s">
        <v>3255</v>
      </c>
      <c r="AA368" s="37" t="s">
        <v>3704</v>
      </c>
      <c r="AB368" s="39" t="s">
        <v>3705</v>
      </c>
      <c r="AC368" s="37" t="s">
        <v>3706</v>
      </c>
      <c r="AD368" s="37" t="s">
        <v>3707</v>
      </c>
      <c r="AE368" s="37" t="s">
        <v>3708</v>
      </c>
      <c r="AF368" s="37" t="s">
        <v>3709</v>
      </c>
      <c r="AG368" s="46" t="s">
        <v>3710</v>
      </c>
      <c r="AH368" s="37" t="s">
        <v>3711</v>
      </c>
    </row>
    <row r="369" spans="1:34" ht="13.15" hidden="1" customHeight="1" x14ac:dyDescent="0.3">
      <c r="A369" s="6" t="s">
        <v>487</v>
      </c>
      <c r="B369" s="7">
        <v>46022</v>
      </c>
      <c r="C369" s="6" t="s">
        <v>486</v>
      </c>
      <c r="D369" s="6" t="s">
        <v>395</v>
      </c>
      <c r="E369" s="6" t="s">
        <v>396</v>
      </c>
      <c r="F369" s="6" t="s">
        <v>3229</v>
      </c>
      <c r="G369" s="8">
        <v>3.4849999999999999E-2</v>
      </c>
      <c r="H369" s="8">
        <v>11.10051</v>
      </c>
      <c r="I369" s="6" t="e">
        <v>#N/A</v>
      </c>
      <c r="J369" s="6" t="s">
        <v>2459</v>
      </c>
      <c r="K369" s="6" t="s">
        <v>2468</v>
      </c>
      <c r="L369" s="6"/>
      <c r="M369" s="6"/>
      <c r="N369" s="6" t="s">
        <v>2468</v>
      </c>
      <c r="O369" s="6" t="s">
        <v>47</v>
      </c>
      <c r="P369" s="6"/>
      <c r="Q369" s="6"/>
      <c r="R369" s="6"/>
      <c r="S369" s="6"/>
      <c r="T369" s="6"/>
      <c r="U369" s="6"/>
      <c r="V369" s="6"/>
      <c r="W369" s="6"/>
      <c r="X369" s="8"/>
      <c r="Y369" s="6" t="s">
        <v>3240</v>
      </c>
      <c r="Z369" s="6" t="s">
        <v>3255</v>
      </c>
      <c r="AA369" s="37" t="s">
        <v>3704</v>
      </c>
      <c r="AB369" s="39" t="s">
        <v>3705</v>
      </c>
      <c r="AC369" s="37" t="s">
        <v>3706</v>
      </c>
      <c r="AD369" s="37" t="s">
        <v>3707</v>
      </c>
      <c r="AE369" s="37" t="s">
        <v>3708</v>
      </c>
      <c r="AF369" s="37" t="s">
        <v>3709</v>
      </c>
      <c r="AG369" s="46" t="s">
        <v>3710</v>
      </c>
      <c r="AH369" s="37" t="s">
        <v>3711</v>
      </c>
    </row>
    <row r="370" spans="1:34" ht="14.45" hidden="1" customHeight="1" x14ac:dyDescent="0.3">
      <c r="A370" s="6" t="s">
        <v>503</v>
      </c>
      <c r="B370" s="7">
        <v>43629</v>
      </c>
      <c r="C370" s="6" t="s">
        <v>502</v>
      </c>
      <c r="D370" s="6" t="s">
        <v>395</v>
      </c>
      <c r="E370" s="6" t="s">
        <v>396</v>
      </c>
      <c r="F370" s="6" t="s">
        <v>3229</v>
      </c>
      <c r="G370" s="8">
        <v>2.2579999999999999E-2</v>
      </c>
      <c r="H370" s="8">
        <v>11.089600000000001</v>
      </c>
      <c r="I370" s="6" t="s">
        <v>2497</v>
      </c>
      <c r="J370" s="6" t="s">
        <v>2459</v>
      </c>
      <c r="K370" s="6" t="s">
        <v>2460</v>
      </c>
      <c r="L370" s="6"/>
      <c r="M370" s="6"/>
      <c r="N370" s="6" t="s">
        <v>3268</v>
      </c>
      <c r="O370" s="6" t="s">
        <v>7</v>
      </c>
      <c r="P370" s="6" t="str">
        <f>VLOOKUP(Tableau1[[#This Row],[SITES NAMES]],[1]Feuil1!$1:$1048576,8,FALSE)</f>
        <v>OK</v>
      </c>
      <c r="Q370" s="6" t="str">
        <f>VLOOKUP(Tableau1[[#This Row],[SITES NAMES]],[1]Feuil1!$1:$1048576,9,FALSE)</f>
        <v>NO</v>
      </c>
      <c r="R370" s="6" t="str">
        <f>VLOOKUP(Tableau1[[#This Row],[SITES NAMES]],[1]Feuil1!$1:$1048576,10,FALSE)</f>
        <v>YES</v>
      </c>
      <c r="S370" s="6" t="s">
        <v>2469</v>
      </c>
      <c r="T370" s="6" t="s">
        <v>2470</v>
      </c>
      <c r="U370" s="6" t="s">
        <v>2480</v>
      </c>
      <c r="V370" s="6" t="s">
        <v>2498</v>
      </c>
      <c r="W370" s="6" t="s">
        <v>2476</v>
      </c>
      <c r="X370" s="8" t="s">
        <v>2657</v>
      </c>
      <c r="Y370" s="6" t="s">
        <v>3240</v>
      </c>
      <c r="Z370" s="6" t="s">
        <v>3255</v>
      </c>
      <c r="AA370" s="37" t="s">
        <v>3704</v>
      </c>
      <c r="AB370" s="39" t="s">
        <v>3705</v>
      </c>
      <c r="AC370" s="37" t="s">
        <v>3706</v>
      </c>
      <c r="AD370" s="37" t="s">
        <v>3707</v>
      </c>
      <c r="AE370" s="37" t="s">
        <v>3708</v>
      </c>
      <c r="AF370" s="37" t="s">
        <v>3709</v>
      </c>
      <c r="AG370" s="46" t="s">
        <v>3710</v>
      </c>
      <c r="AH370" s="37" t="s">
        <v>3711</v>
      </c>
    </row>
    <row r="371" spans="1:34" ht="15.75" hidden="1" x14ac:dyDescent="0.3">
      <c r="A371" s="6" t="s">
        <v>505</v>
      </c>
      <c r="B371" s="7">
        <v>40561</v>
      </c>
      <c r="C371" s="6" t="s">
        <v>504</v>
      </c>
      <c r="D371" s="6" t="s">
        <v>395</v>
      </c>
      <c r="E371" s="6" t="s">
        <v>396</v>
      </c>
      <c r="F371" s="6" t="s">
        <v>3229</v>
      </c>
      <c r="G371" s="8">
        <v>3.5305999999999997E-2</v>
      </c>
      <c r="H371" s="8">
        <v>11.092582</v>
      </c>
      <c r="I371" s="6" t="s">
        <v>2497</v>
      </c>
      <c r="J371" s="6" t="s">
        <v>2459</v>
      </c>
      <c r="K371" s="6" t="s">
        <v>2460</v>
      </c>
      <c r="L371" s="6"/>
      <c r="M371" s="6"/>
      <c r="N371" s="21" t="s">
        <v>3269</v>
      </c>
      <c r="O371" s="6" t="s">
        <v>7</v>
      </c>
      <c r="P371" s="6" t="str">
        <f>VLOOKUP(Tableau1[[#This Row],[SITES NAMES]],[1]Feuil1!$1:$1048576,8,FALSE)</f>
        <v>OK</v>
      </c>
      <c r="Q371" s="6" t="str">
        <f>VLOOKUP(Tableau1[[#This Row],[SITES NAMES]],[1]Feuil1!$1:$1048576,9,FALSE)</f>
        <v>NO</v>
      </c>
      <c r="R371" s="6" t="str">
        <f>VLOOKUP(Tableau1[[#This Row],[SITES NAMES]],[1]Feuil1!$1:$1048576,10,FALSE)</f>
        <v>NO</v>
      </c>
      <c r="S371" s="6" t="s">
        <v>2469</v>
      </c>
      <c r="T371" s="6" t="s">
        <v>2470</v>
      </c>
      <c r="U371" s="6" t="s">
        <v>2480</v>
      </c>
      <c r="V371" s="6" t="s">
        <v>2478</v>
      </c>
      <c r="W371" s="6" t="s">
        <v>2476</v>
      </c>
      <c r="X371" s="8" t="s">
        <v>2658</v>
      </c>
      <c r="Y371" s="6" t="s">
        <v>3240</v>
      </c>
      <c r="Z371" s="6" t="s">
        <v>3255</v>
      </c>
      <c r="AA371" s="37" t="s">
        <v>3704</v>
      </c>
      <c r="AB371" s="39" t="s">
        <v>3705</v>
      </c>
      <c r="AC371" s="37" t="s">
        <v>3706</v>
      </c>
      <c r="AD371" s="37" t="s">
        <v>3707</v>
      </c>
      <c r="AE371" s="37" t="s">
        <v>3708</v>
      </c>
      <c r="AF371" s="37" t="s">
        <v>3709</v>
      </c>
      <c r="AG371" s="46" t="s">
        <v>3710</v>
      </c>
      <c r="AH371" s="37" t="s">
        <v>3711</v>
      </c>
    </row>
    <row r="372" spans="1:34" ht="14.45" hidden="1" customHeight="1" x14ac:dyDescent="0.3">
      <c r="A372" s="6" t="s">
        <v>480</v>
      </c>
      <c r="B372" s="7">
        <v>46022</v>
      </c>
      <c r="C372" s="6" t="s">
        <v>479</v>
      </c>
      <c r="D372" s="6" t="s">
        <v>395</v>
      </c>
      <c r="E372" s="6" t="s">
        <v>396</v>
      </c>
      <c r="F372" s="6" t="s">
        <v>3229</v>
      </c>
      <c r="G372" s="8">
        <v>1.5900000000000001E-3</v>
      </c>
      <c r="H372" s="8">
        <v>11.108515000000001</v>
      </c>
      <c r="I372" s="15" t="s">
        <v>2475</v>
      </c>
      <c r="J372" s="6" t="s">
        <v>2459</v>
      </c>
      <c r="K372" s="6" t="s">
        <v>2468</v>
      </c>
      <c r="L372" s="6"/>
      <c r="M372" s="6"/>
      <c r="N372" s="6" t="s">
        <v>2468</v>
      </c>
      <c r="O372" s="6" t="s">
        <v>7</v>
      </c>
      <c r="P372" s="6"/>
      <c r="Q372" s="6"/>
      <c r="R372" s="6"/>
      <c r="S372" s="6"/>
      <c r="T372" s="6"/>
      <c r="U372" s="6"/>
      <c r="V372" s="6"/>
      <c r="W372" s="6"/>
      <c r="X372" s="8"/>
      <c r="Y372" s="6" t="s">
        <v>3240</v>
      </c>
      <c r="Z372" s="6" t="s">
        <v>3255</v>
      </c>
      <c r="AA372" s="37" t="s">
        <v>3704</v>
      </c>
      <c r="AB372" s="39" t="s">
        <v>3705</v>
      </c>
      <c r="AC372" s="37" t="s">
        <v>3706</v>
      </c>
      <c r="AD372" s="37" t="s">
        <v>3707</v>
      </c>
      <c r="AE372" s="37" t="s">
        <v>3708</v>
      </c>
      <c r="AF372" s="37" t="s">
        <v>3709</v>
      </c>
      <c r="AG372" s="46" t="s">
        <v>3710</v>
      </c>
      <c r="AH372" s="37" t="s">
        <v>3711</v>
      </c>
    </row>
    <row r="373" spans="1:34" ht="14.45" hidden="1" customHeight="1" x14ac:dyDescent="0.3">
      <c r="A373" s="6" t="s">
        <v>507</v>
      </c>
      <c r="B373" s="7">
        <v>40561</v>
      </c>
      <c r="C373" s="6" t="s">
        <v>506</v>
      </c>
      <c r="D373" s="6" t="s">
        <v>395</v>
      </c>
      <c r="E373" s="6" t="s">
        <v>396</v>
      </c>
      <c r="F373" s="6" t="s">
        <v>3229</v>
      </c>
      <c r="G373" s="8">
        <v>5.1110000000000001E-3</v>
      </c>
      <c r="H373" s="8">
        <v>11.1008</v>
      </c>
      <c r="I373" s="6" t="s">
        <v>2497</v>
      </c>
      <c r="J373" s="6" t="s">
        <v>2459</v>
      </c>
      <c r="K373" s="6" t="s">
        <v>2460</v>
      </c>
      <c r="L373" s="6"/>
      <c r="M373" s="6"/>
      <c r="N373" s="6" t="s">
        <v>3268</v>
      </c>
      <c r="O373" s="6" t="s">
        <v>7</v>
      </c>
      <c r="P373" s="6" t="str">
        <f>VLOOKUP(Tableau1[[#This Row],[SITES NAMES]],[1]Feuil1!$1:$1048576,8,FALSE)</f>
        <v>OK</v>
      </c>
      <c r="Q373" s="6" t="str">
        <f>VLOOKUP(Tableau1[[#This Row],[SITES NAMES]],[1]Feuil1!$1:$1048576,9,FALSE)</f>
        <v>NO</v>
      </c>
      <c r="R373" s="6" t="str">
        <f>VLOOKUP(Tableau1[[#This Row],[SITES NAMES]],[1]Feuil1!$1:$1048576,10,FALSE)</f>
        <v>NO</v>
      </c>
      <c r="S373" s="6" t="s">
        <v>2461</v>
      </c>
      <c r="T373" s="6" t="s">
        <v>2470</v>
      </c>
      <c r="U373" s="6" t="s">
        <v>2463</v>
      </c>
      <c r="V373" s="6" t="s">
        <v>2498</v>
      </c>
      <c r="W373" s="6" t="s">
        <v>2476</v>
      </c>
      <c r="X373" s="8" t="s">
        <v>2659</v>
      </c>
      <c r="Y373" s="6" t="s">
        <v>3240</v>
      </c>
      <c r="Z373" s="6" t="s">
        <v>3255</v>
      </c>
      <c r="AA373" s="37" t="s">
        <v>3704</v>
      </c>
      <c r="AB373" s="39" t="s">
        <v>3705</v>
      </c>
      <c r="AC373" s="37" t="s">
        <v>3706</v>
      </c>
      <c r="AD373" s="37" t="s">
        <v>3707</v>
      </c>
      <c r="AE373" s="37" t="s">
        <v>3708</v>
      </c>
      <c r="AF373" s="37" t="s">
        <v>3709</v>
      </c>
      <c r="AG373" s="46" t="s">
        <v>3710</v>
      </c>
      <c r="AH373" s="37" t="s">
        <v>3711</v>
      </c>
    </row>
    <row r="374" spans="1:34" ht="14.45" hidden="1" customHeight="1" x14ac:dyDescent="0.3">
      <c r="A374" s="6" t="s">
        <v>430</v>
      </c>
      <c r="B374" s="7">
        <v>45100</v>
      </c>
      <c r="C374" s="6" t="s">
        <v>429</v>
      </c>
      <c r="D374" s="6" t="s">
        <v>395</v>
      </c>
      <c r="E374" s="6" t="s">
        <v>396</v>
      </c>
      <c r="F374" s="6" t="s">
        <v>3229</v>
      </c>
      <c r="G374" s="8">
        <v>4.5240000000000002E-2</v>
      </c>
      <c r="H374" s="8">
        <v>11.09257</v>
      </c>
      <c r="I374" s="6" t="s">
        <v>2479</v>
      </c>
      <c r="J374" s="6" t="s">
        <v>2459</v>
      </c>
      <c r="K374" s="6" t="s">
        <v>2460</v>
      </c>
      <c r="L374" s="6"/>
      <c r="M374" s="6"/>
      <c r="N374" s="6" t="s">
        <v>3268</v>
      </c>
      <c r="O374" s="6" t="s">
        <v>7</v>
      </c>
      <c r="P374" s="6" t="str">
        <f>VLOOKUP(Tableau1[[#This Row],[SITES NAMES]],[1]Feuil1!$1:$1048576,8,FALSE)</f>
        <v>OK</v>
      </c>
      <c r="Q374" s="6" t="str">
        <f>VLOOKUP(Tableau1[[#This Row],[SITES NAMES]],[1]Feuil1!$1:$1048576,9,FALSE)</f>
        <v>NO</v>
      </c>
      <c r="R374" s="6" t="str">
        <f>VLOOKUP(Tableau1[[#This Row],[SITES NAMES]],[1]Feuil1!$1:$1048576,10,FALSE)</f>
        <v>NO</v>
      </c>
      <c r="S374" s="6" t="s">
        <v>2469</v>
      </c>
      <c r="T374" s="6" t="s">
        <v>2470</v>
      </c>
      <c r="U374" s="6" t="s">
        <v>2471</v>
      </c>
      <c r="V374" s="6" t="s">
        <v>2498</v>
      </c>
      <c r="W374" s="6" t="s">
        <v>2465</v>
      </c>
      <c r="X374" s="8">
        <v>70997368</v>
      </c>
      <c r="Y374" s="6" t="s">
        <v>3240</v>
      </c>
      <c r="Z374" s="6" t="s">
        <v>3255</v>
      </c>
      <c r="AA374" s="37" t="s">
        <v>3704</v>
      </c>
      <c r="AB374" s="39" t="s">
        <v>3705</v>
      </c>
      <c r="AC374" s="37" t="s">
        <v>3706</v>
      </c>
      <c r="AD374" s="37" t="s">
        <v>3707</v>
      </c>
      <c r="AE374" s="37" t="s">
        <v>3708</v>
      </c>
      <c r="AF374" s="37" t="s">
        <v>3709</v>
      </c>
      <c r="AG374" s="46" t="s">
        <v>3710</v>
      </c>
      <c r="AH374" s="37" t="s">
        <v>3711</v>
      </c>
    </row>
    <row r="375" spans="1:34" ht="14.45" hidden="1" customHeight="1" x14ac:dyDescent="0.3">
      <c r="A375" s="6" t="s">
        <v>509</v>
      </c>
      <c r="B375" s="7">
        <v>45229</v>
      </c>
      <c r="C375" s="6" t="s">
        <v>508</v>
      </c>
      <c r="D375" s="6" t="s">
        <v>395</v>
      </c>
      <c r="E375" s="6" t="s">
        <v>396</v>
      </c>
      <c r="F375" s="6" t="s">
        <v>3229</v>
      </c>
      <c r="G375" s="8">
        <v>1.55E-2</v>
      </c>
      <c r="H375" s="8">
        <v>11.1028</v>
      </c>
      <c r="I375" s="6" t="s">
        <v>2475</v>
      </c>
      <c r="J375" s="6" t="s">
        <v>2459</v>
      </c>
      <c r="K375" s="6" t="s">
        <v>2468</v>
      </c>
      <c r="L375" s="6"/>
      <c r="M375" s="6"/>
      <c r="N375" s="6" t="s">
        <v>2468</v>
      </c>
      <c r="O375" s="6" t="s">
        <v>7</v>
      </c>
      <c r="P375" s="6" t="str">
        <f>VLOOKUP(Tableau1[[#This Row],[SITES NAMES]],[1]Feuil1!$1:$1048576,8,FALSE)</f>
        <v>OK</v>
      </c>
      <c r="Q375" s="6" t="str">
        <f>VLOOKUP(Tableau1[[#This Row],[SITES NAMES]],[1]Feuil1!$1:$1048576,9,FALSE)</f>
        <v>NO</v>
      </c>
      <c r="R375" s="6" t="str">
        <f>VLOOKUP(Tableau1[[#This Row],[SITES NAMES]],[1]Feuil1!$1:$1048576,10,FALSE)</f>
        <v>NO</v>
      </c>
      <c r="S375" s="6" t="s">
        <v>2461</v>
      </c>
      <c r="T375" s="6" t="s">
        <v>2462</v>
      </c>
      <c r="U375" s="6" t="s">
        <v>2463</v>
      </c>
      <c r="V375" s="6" t="s">
        <v>2498</v>
      </c>
      <c r="W375" s="6" t="s">
        <v>2531</v>
      </c>
      <c r="X375" s="8"/>
      <c r="Y375" s="6" t="s">
        <v>3240</v>
      </c>
      <c r="Z375" s="6" t="s">
        <v>3255</v>
      </c>
      <c r="AA375" s="37" t="s">
        <v>3704</v>
      </c>
      <c r="AB375" s="39" t="s">
        <v>3705</v>
      </c>
      <c r="AC375" s="37" t="s">
        <v>3706</v>
      </c>
      <c r="AD375" s="37" t="s">
        <v>3707</v>
      </c>
      <c r="AE375" s="37" t="s">
        <v>3708</v>
      </c>
      <c r="AF375" s="37" t="s">
        <v>3709</v>
      </c>
      <c r="AG375" s="46" t="s">
        <v>3710</v>
      </c>
      <c r="AH375" s="37" t="s">
        <v>3711</v>
      </c>
    </row>
    <row r="376" spans="1:34" ht="14.45" hidden="1" customHeight="1" x14ac:dyDescent="0.3">
      <c r="A376" s="6" t="s">
        <v>511</v>
      </c>
      <c r="B376" s="7">
        <v>43879</v>
      </c>
      <c r="C376" s="6" t="s">
        <v>510</v>
      </c>
      <c r="D376" s="6" t="s">
        <v>395</v>
      </c>
      <c r="E376" s="6" t="s">
        <v>396</v>
      </c>
      <c r="F376" s="6" t="s">
        <v>3229</v>
      </c>
      <c r="G376" s="8">
        <v>1.7691999999999999E-2</v>
      </c>
      <c r="H376" s="8">
        <v>11.095886</v>
      </c>
      <c r="I376" s="6" t="s">
        <v>2497</v>
      </c>
      <c r="J376" s="6" t="s">
        <v>2459</v>
      </c>
      <c r="K376" s="6" t="s">
        <v>2460</v>
      </c>
      <c r="L376" s="6"/>
      <c r="M376" s="6"/>
      <c r="N376" s="6" t="s">
        <v>3268</v>
      </c>
      <c r="O376" s="6" t="s">
        <v>7</v>
      </c>
      <c r="P376" s="6" t="str">
        <f>VLOOKUP(Tableau1[[#This Row],[SITES NAMES]],[1]Feuil1!$1:$1048576,8,FALSE)</f>
        <v>OK</v>
      </c>
      <c r="Q376" s="6" t="str">
        <f>VLOOKUP(Tableau1[[#This Row],[SITES NAMES]],[1]Feuil1!$1:$1048576,9,FALSE)</f>
        <v>NO</v>
      </c>
      <c r="R376" s="6" t="str">
        <f>VLOOKUP(Tableau1[[#This Row],[SITES NAMES]],[1]Feuil1!$1:$1048576,10,FALSE)</f>
        <v>NO</v>
      </c>
      <c r="S376" s="6" t="s">
        <v>2461</v>
      </c>
      <c r="T376" s="6" t="s">
        <v>2462</v>
      </c>
      <c r="U376" s="6" t="s">
        <v>2463</v>
      </c>
      <c r="V376" s="6" t="s">
        <v>2478</v>
      </c>
      <c r="W376" s="6" t="s">
        <v>2476</v>
      </c>
      <c r="X376" s="8" t="s">
        <v>2660</v>
      </c>
      <c r="Y376" s="6" t="s">
        <v>3240</v>
      </c>
      <c r="Z376" s="6" t="s">
        <v>3255</v>
      </c>
      <c r="AA376" s="37" t="s">
        <v>3704</v>
      </c>
      <c r="AB376" s="39" t="s">
        <v>3705</v>
      </c>
      <c r="AC376" s="37" t="s">
        <v>3706</v>
      </c>
      <c r="AD376" s="37" t="s">
        <v>3707</v>
      </c>
      <c r="AE376" s="37" t="s">
        <v>3708</v>
      </c>
      <c r="AF376" s="37" t="s">
        <v>3709</v>
      </c>
      <c r="AG376" s="46" t="s">
        <v>3710</v>
      </c>
      <c r="AH376" s="37" t="s">
        <v>3711</v>
      </c>
    </row>
    <row r="377" spans="1:34" ht="14.45" hidden="1" customHeight="1" x14ac:dyDescent="0.25">
      <c r="A377" s="6" t="s">
        <v>1516</v>
      </c>
      <c r="B377" s="7">
        <v>0</v>
      </c>
      <c r="C377" s="6" t="s">
        <v>1515</v>
      </c>
      <c r="D377" s="6" t="s">
        <v>66</v>
      </c>
      <c r="E377" s="6" t="s">
        <v>3233</v>
      </c>
      <c r="F377" s="6" t="s">
        <v>3229</v>
      </c>
      <c r="G377" s="8">
        <v>1.2066399999999999</v>
      </c>
      <c r="H377" s="8">
        <v>6.2009999999999996</v>
      </c>
      <c r="I377" s="6" t="s">
        <v>2497</v>
      </c>
      <c r="J377" s="6" t="s">
        <v>2459</v>
      </c>
      <c r="K377" s="6" t="s">
        <v>2460</v>
      </c>
      <c r="L377" s="6"/>
      <c r="M377" s="6"/>
      <c r="N377" s="6" t="s">
        <v>3268</v>
      </c>
      <c r="O377" s="6" t="s">
        <v>7</v>
      </c>
      <c r="P377" s="6" t="str">
        <f>VLOOKUP(Tableau1[[#This Row],[SITES NAMES]],[1]Feuil1!$1:$1048576,8,FALSE)</f>
        <v>OK</v>
      </c>
      <c r="Q377" s="6" t="str">
        <f>VLOOKUP(Tableau1[[#This Row],[SITES NAMES]],[1]Feuil1!$1:$1048576,9,FALSE)</f>
        <v>YES</v>
      </c>
      <c r="R377" s="6" t="str">
        <f>VLOOKUP(Tableau1[[#This Row],[SITES NAMES]],[1]Feuil1!$1:$1048576,10,FALSE)</f>
        <v>NO</v>
      </c>
      <c r="S377" s="6" t="s">
        <v>2461</v>
      </c>
      <c r="T377" s="6" t="s">
        <v>2462</v>
      </c>
      <c r="U377" s="6" t="s">
        <v>2463</v>
      </c>
      <c r="V377" s="6" t="s">
        <v>2478</v>
      </c>
      <c r="W377" s="6" t="s">
        <v>2476</v>
      </c>
      <c r="X377" s="8">
        <v>70996736</v>
      </c>
      <c r="Y377" s="6" t="s">
        <v>3238</v>
      </c>
      <c r="Z377" s="6" t="s">
        <v>3264</v>
      </c>
      <c r="AA377" s="35" t="s">
        <v>3616</v>
      </c>
      <c r="AB377" s="35" t="s">
        <v>3608</v>
      </c>
      <c r="AC377" s="35" t="s">
        <v>3617</v>
      </c>
      <c r="AD377" s="35" t="s">
        <v>3610</v>
      </c>
      <c r="AE377" s="35" t="s">
        <v>3610</v>
      </c>
      <c r="AF377" s="35" t="s">
        <v>3611</v>
      </c>
      <c r="AG377" s="35" t="s">
        <v>3612</v>
      </c>
      <c r="AH377" s="35" t="s">
        <v>3618</v>
      </c>
    </row>
    <row r="378" spans="1:34" ht="14.45" hidden="1" customHeight="1" x14ac:dyDescent="0.25">
      <c r="A378" s="6" t="s">
        <v>1518</v>
      </c>
      <c r="B378" s="7">
        <v>43810</v>
      </c>
      <c r="C378" s="6" t="s">
        <v>1517</v>
      </c>
      <c r="D378" s="6" t="s">
        <v>66</v>
      </c>
      <c r="E378" s="6" t="s">
        <v>3233</v>
      </c>
      <c r="F378" s="6" t="s">
        <v>3229</v>
      </c>
      <c r="G378" s="8">
        <v>1.1952780000000001</v>
      </c>
      <c r="H378" s="8">
        <v>6.2088330000000003</v>
      </c>
      <c r="I378" s="6" t="s">
        <v>2475</v>
      </c>
      <c r="J378" s="6" t="s">
        <v>2459</v>
      </c>
      <c r="K378" s="6" t="s">
        <v>2460</v>
      </c>
      <c r="L378" s="6"/>
      <c r="M378" s="6"/>
      <c r="N378" s="6" t="s">
        <v>3268</v>
      </c>
      <c r="O378" s="6" t="s">
        <v>7</v>
      </c>
      <c r="P378" s="6"/>
      <c r="Q378" s="6" t="str">
        <f>VLOOKUP(Tableau1[[#This Row],[SITES NAMES]],[1]Feuil1!$1:$1048576,9,FALSE)</f>
        <v>NO</v>
      </c>
      <c r="R378" s="6" t="str">
        <f>VLOOKUP(Tableau1[[#This Row],[SITES NAMES]],[1]Feuil1!$1:$1048576,10,FALSE)</f>
        <v>NO</v>
      </c>
      <c r="S378" s="6" t="s">
        <v>2469</v>
      </c>
      <c r="T378" s="6" t="s">
        <v>2470</v>
      </c>
      <c r="U378" s="6" t="s">
        <v>2480</v>
      </c>
      <c r="V378" s="6" t="s">
        <v>2464</v>
      </c>
      <c r="W378" s="6" t="s">
        <v>2476</v>
      </c>
      <c r="X378" s="8"/>
      <c r="Y378" s="6" t="s">
        <v>3238</v>
      </c>
      <c r="Z378" s="6" t="s">
        <v>3264</v>
      </c>
      <c r="AA378" s="35" t="s">
        <v>3616</v>
      </c>
      <c r="AB378" s="35" t="s">
        <v>3608</v>
      </c>
      <c r="AC378" s="35" t="s">
        <v>3617</v>
      </c>
      <c r="AD378" s="35" t="s">
        <v>3610</v>
      </c>
      <c r="AE378" s="35" t="s">
        <v>3610</v>
      </c>
      <c r="AF378" s="35" t="s">
        <v>3611</v>
      </c>
      <c r="AG378" s="35" t="s">
        <v>3612</v>
      </c>
      <c r="AH378" s="35" t="s">
        <v>3618</v>
      </c>
    </row>
    <row r="379" spans="1:34" ht="14.45" hidden="1" customHeight="1" x14ac:dyDescent="0.3">
      <c r="A379" s="6" t="s">
        <v>79</v>
      </c>
      <c r="B379" s="7">
        <v>41609</v>
      </c>
      <c r="C379" s="6" t="s">
        <v>78</v>
      </c>
      <c r="D379" s="6" t="s">
        <v>5</v>
      </c>
      <c r="E379" s="6" t="s">
        <v>6</v>
      </c>
      <c r="F379" s="6" t="s">
        <v>3229</v>
      </c>
      <c r="G379" s="8">
        <v>1.503684</v>
      </c>
      <c r="H379" s="8">
        <v>6.4816130000000003</v>
      </c>
      <c r="I379" s="6" t="s">
        <v>2486</v>
      </c>
      <c r="J379" s="6" t="s">
        <v>2459</v>
      </c>
      <c r="K379" s="6" t="s">
        <v>2468</v>
      </c>
      <c r="L379" s="6" t="s">
        <v>3395</v>
      </c>
      <c r="M379" s="6"/>
      <c r="N379" s="6" t="s">
        <v>2468</v>
      </c>
      <c r="O379" s="6" t="s">
        <v>7</v>
      </c>
      <c r="P379" s="6" t="str">
        <f>VLOOKUP(Tableau1[[#This Row],[SITES NAMES]],[1]Feuil1!$1:$1048576,8,FALSE)</f>
        <v>OK</v>
      </c>
      <c r="Q379" s="6" t="str">
        <f>VLOOKUP(Tableau1[[#This Row],[SITES NAMES]],[1]Feuil1!$1:$1048576,9,FALSE)</f>
        <v>NO</v>
      </c>
      <c r="R379" s="6" t="str">
        <f>VLOOKUP(Tableau1[[#This Row],[SITES NAMES]],[1]Feuil1!$1:$1048576,10,FALSE)</f>
        <v>NO</v>
      </c>
      <c r="S379" s="6" t="s">
        <v>2461</v>
      </c>
      <c r="T379" s="6" t="s">
        <v>2462</v>
      </c>
      <c r="U379" s="6" t="s">
        <v>2463</v>
      </c>
      <c r="V379" s="6" t="s">
        <v>2472</v>
      </c>
      <c r="W379" s="6" t="s">
        <v>2473</v>
      </c>
      <c r="X379" s="8" t="s">
        <v>2503</v>
      </c>
      <c r="Y379" s="6" t="s">
        <v>3241</v>
      </c>
      <c r="Z379" t="e">
        <f>VLOOKUP(Tableau1[[#This Row],[SITES NAMES]],#REF!,3,FALSE)</f>
        <v>#REF!</v>
      </c>
      <c r="AA379" s="37" t="s">
        <v>3626</v>
      </c>
      <c r="AB379" s="38" t="s">
        <v>3627</v>
      </c>
      <c r="AC379" s="37" t="s">
        <v>3633</v>
      </c>
      <c r="AD379" s="37" t="s">
        <v>3628</v>
      </c>
      <c r="AE379" s="37" t="s">
        <v>3629</v>
      </c>
      <c r="AF379" s="39" t="s">
        <v>3630</v>
      </c>
      <c r="AG379" s="37" t="s">
        <v>3631</v>
      </c>
      <c r="AH379" s="37" t="s">
        <v>3632</v>
      </c>
    </row>
    <row r="380" spans="1:34" ht="14.45" hidden="1" customHeight="1" x14ac:dyDescent="0.25">
      <c r="A380" s="6" t="s">
        <v>1392</v>
      </c>
      <c r="B380" s="7">
        <v>44116</v>
      </c>
      <c r="C380" s="6" t="s">
        <v>1391</v>
      </c>
      <c r="D380" s="6" t="s">
        <v>66</v>
      </c>
      <c r="E380" s="6" t="s">
        <v>3231</v>
      </c>
      <c r="F380" s="6" t="s">
        <v>3229</v>
      </c>
      <c r="G380" s="8">
        <v>1.40449</v>
      </c>
      <c r="H380" s="8">
        <v>6.2052399999999999</v>
      </c>
      <c r="I380" s="6" t="s">
        <v>2486</v>
      </c>
      <c r="J380" s="6" t="s">
        <v>2459</v>
      </c>
      <c r="K380" s="6" t="s">
        <v>2460</v>
      </c>
      <c r="L380" s="6"/>
      <c r="M380" s="6"/>
      <c r="N380" s="6" t="s">
        <v>3268</v>
      </c>
      <c r="O380" s="6" t="s">
        <v>7</v>
      </c>
      <c r="P380" s="6" t="str">
        <f>VLOOKUP(Tableau1[[#This Row],[SITES NAMES]],[1]Feuil1!$1:$1048576,8,FALSE)</f>
        <v>OK</v>
      </c>
      <c r="Q380" s="6" t="str">
        <f>VLOOKUP(Tableau1[[#This Row],[SITES NAMES]],[1]Feuil1!$1:$1048576,9,FALSE)</f>
        <v>NO</v>
      </c>
      <c r="R380" s="6" t="str">
        <f>VLOOKUP(Tableau1[[#This Row],[SITES NAMES]],[1]Feuil1!$1:$1048576,10,FALSE)</f>
        <v>NO</v>
      </c>
      <c r="S380" s="6" t="s">
        <v>2461</v>
      </c>
      <c r="T380" s="6" t="s">
        <v>2470</v>
      </c>
      <c r="U380" s="6" t="s">
        <v>2463</v>
      </c>
      <c r="V380" s="6" t="s">
        <v>2478</v>
      </c>
      <c r="W380" s="6" t="s">
        <v>2465</v>
      </c>
      <c r="X380" s="8" t="s">
        <v>2938</v>
      </c>
      <c r="Y380" s="6" t="s">
        <v>3238</v>
      </c>
      <c r="Z380" s="6"/>
      <c r="AA380" s="35" t="s">
        <v>3621</v>
      </c>
      <c r="AB380" s="35" t="s">
        <v>3608</v>
      </c>
      <c r="AC380" s="35" t="s">
        <v>3622</v>
      </c>
      <c r="AD380" s="35" t="s">
        <v>3610</v>
      </c>
      <c r="AE380" s="35" t="s">
        <v>3610</v>
      </c>
      <c r="AF380" s="35" t="s">
        <v>3611</v>
      </c>
      <c r="AG380" s="35" t="s">
        <v>3612</v>
      </c>
      <c r="AH380" s="35" t="s">
        <v>3623</v>
      </c>
    </row>
    <row r="381" spans="1:34" ht="14.45" hidden="1" customHeight="1" x14ac:dyDescent="0.3">
      <c r="A381" s="6" t="s">
        <v>2375</v>
      </c>
      <c r="B381" s="7">
        <v>41457</v>
      </c>
      <c r="C381" s="6" t="s">
        <v>2374</v>
      </c>
      <c r="D381" s="6" t="s">
        <v>5</v>
      </c>
      <c r="E381" s="6" t="s">
        <v>2333</v>
      </c>
      <c r="F381" s="6" t="s">
        <v>3229</v>
      </c>
      <c r="G381" s="8">
        <v>1.251922</v>
      </c>
      <c r="H381" s="8">
        <v>6.3826520000000002</v>
      </c>
      <c r="I381" s="6" t="s">
        <v>2486</v>
      </c>
      <c r="J381" s="6" t="s">
        <v>2459</v>
      </c>
      <c r="K381" s="6" t="s">
        <v>2468</v>
      </c>
      <c r="L381" s="6" t="s">
        <v>3396</v>
      </c>
      <c r="M381" s="6"/>
      <c r="N381" s="6" t="s">
        <v>2468</v>
      </c>
      <c r="O381" s="6" t="s">
        <v>7</v>
      </c>
      <c r="P381" s="6" t="str">
        <f>VLOOKUP(Tableau1[[#This Row],[SITES NAMES]],[1]Feuil1!$1:$1048576,8,FALSE)</f>
        <v>OK</v>
      </c>
      <c r="Q381" s="6" t="str">
        <f>VLOOKUP(Tableau1[[#This Row],[SITES NAMES]],[1]Feuil1!$1:$1048576,9,FALSE)</f>
        <v>NO</v>
      </c>
      <c r="R381" s="6" t="str">
        <f>VLOOKUP(Tableau1[[#This Row],[SITES NAMES]],[1]Feuil1!$1:$1048576,10,FALSE)</f>
        <v>NO</v>
      </c>
      <c r="S381" s="6" t="s">
        <v>2461</v>
      </c>
      <c r="T381" s="6" t="s">
        <v>2470</v>
      </c>
      <c r="U381" s="6" t="s">
        <v>2463</v>
      </c>
      <c r="V381" s="6" t="s">
        <v>2464</v>
      </c>
      <c r="W381" s="6" t="s">
        <v>2473</v>
      </c>
      <c r="X381" s="8" t="s">
        <v>3210</v>
      </c>
      <c r="Y381" s="6" t="s">
        <v>3241</v>
      </c>
      <c r="Z381" s="6"/>
      <c r="AA381" s="37"/>
      <c r="AB381" s="38" t="s">
        <v>3627</v>
      </c>
      <c r="AC381" s="37" t="s">
        <v>3640</v>
      </c>
      <c r="AD381" s="39" t="s">
        <v>3641</v>
      </c>
      <c r="AE381" s="37"/>
      <c r="AF381" s="39" t="s">
        <v>3641</v>
      </c>
      <c r="AG381" s="37"/>
      <c r="AH381" s="37" t="s">
        <v>3642</v>
      </c>
    </row>
    <row r="382" spans="1:34" ht="14.45" hidden="1" customHeight="1" x14ac:dyDescent="0.3">
      <c r="A382" s="6" t="s">
        <v>2377</v>
      </c>
      <c r="B382" s="7">
        <v>44790</v>
      </c>
      <c r="C382" s="6" t="s">
        <v>2376</v>
      </c>
      <c r="D382" s="6" t="s">
        <v>5</v>
      </c>
      <c r="E382" s="6" t="s">
        <v>2333</v>
      </c>
      <c r="F382" s="6" t="s">
        <v>3229</v>
      </c>
      <c r="G382" s="8">
        <v>1.29013</v>
      </c>
      <c r="H382" s="8">
        <v>6.3541400000000001</v>
      </c>
      <c r="I382" s="6" t="s">
        <v>2477</v>
      </c>
      <c r="J382" s="6" t="s">
        <v>2459</v>
      </c>
      <c r="K382" s="6" t="s">
        <v>2468</v>
      </c>
      <c r="L382" s="6" t="s">
        <v>3337</v>
      </c>
      <c r="M382" s="6"/>
      <c r="N382" s="6" t="s">
        <v>2468</v>
      </c>
      <c r="O382" s="6" t="s">
        <v>40</v>
      </c>
      <c r="P382" s="6" t="str">
        <f>VLOOKUP(Tableau1[[#This Row],[SITES NAMES]],[1]Feuil1!$1:$1048576,8,FALSE)</f>
        <v>OK</v>
      </c>
      <c r="Q382" s="6" t="str">
        <f>VLOOKUP(Tableau1[[#This Row],[SITES NAMES]],[1]Feuil1!$1:$1048576,9,FALSE)</f>
        <v>NO</v>
      </c>
      <c r="R382" s="6" t="str">
        <f>VLOOKUP(Tableau1[[#This Row],[SITES NAMES]],[1]Feuil1!$1:$1048576,10,FALSE)</f>
        <v>YES</v>
      </c>
      <c r="S382" s="6" t="s">
        <v>2461</v>
      </c>
      <c r="T382" s="6" t="s">
        <v>2462</v>
      </c>
      <c r="U382" s="6" t="s">
        <v>2463</v>
      </c>
      <c r="V382" s="6" t="s">
        <v>2472</v>
      </c>
      <c r="W382" s="6" t="s">
        <v>2473</v>
      </c>
      <c r="X382" s="8" t="s">
        <v>3211</v>
      </c>
      <c r="Y382" s="6" t="s">
        <v>3241</v>
      </c>
      <c r="Z382" s="6"/>
      <c r="AA382" s="37"/>
      <c r="AB382" s="38" t="s">
        <v>3627</v>
      </c>
      <c r="AC382" s="37" t="s">
        <v>3640</v>
      </c>
      <c r="AD382" s="39" t="s">
        <v>3641</v>
      </c>
      <c r="AE382" s="37"/>
      <c r="AF382" s="39" t="s">
        <v>3641</v>
      </c>
      <c r="AG382" s="37"/>
      <c r="AH382" s="37" t="s">
        <v>3642</v>
      </c>
    </row>
    <row r="383" spans="1:34" ht="14.45" hidden="1" customHeight="1" x14ac:dyDescent="0.25">
      <c r="A383" s="6" t="s">
        <v>1646</v>
      </c>
      <c r="B383" s="7">
        <v>40646</v>
      </c>
      <c r="C383" s="6" t="s">
        <v>1645</v>
      </c>
      <c r="D383" s="6" t="s">
        <v>66</v>
      </c>
      <c r="E383" s="6" t="s">
        <v>3236</v>
      </c>
      <c r="F383" s="6" t="s">
        <v>3229</v>
      </c>
      <c r="G383" s="8">
        <v>1.1557949999999999</v>
      </c>
      <c r="H383" s="8">
        <v>6.2277004119999999</v>
      </c>
      <c r="I383" s="6" t="s">
        <v>2486</v>
      </c>
      <c r="J383" s="6" t="s">
        <v>2459</v>
      </c>
      <c r="K383" s="6" t="s">
        <v>2460</v>
      </c>
      <c r="L383" s="6"/>
      <c r="M383" s="6"/>
      <c r="N383" s="6" t="s">
        <v>3268</v>
      </c>
      <c r="O383" s="6" t="s">
        <v>7</v>
      </c>
      <c r="P383" s="6" t="str">
        <f>VLOOKUP(Tableau1[[#This Row],[SITES NAMES]],[1]Feuil1!$1:$1048576,8,FALSE)</f>
        <v>OK</v>
      </c>
      <c r="Q383" s="6" t="str">
        <f>VLOOKUP(Tableau1[[#This Row],[SITES NAMES]],[1]Feuil1!$1:$1048576,9,FALSE)</f>
        <v>NO</v>
      </c>
      <c r="R383" s="6" t="str">
        <f>VLOOKUP(Tableau1[[#This Row],[SITES NAMES]],[1]Feuil1!$1:$1048576,10,FALSE)</f>
        <v>NO</v>
      </c>
      <c r="S383" s="6" t="s">
        <v>2469</v>
      </c>
      <c r="T383" s="6" t="s">
        <v>2470</v>
      </c>
      <c r="U383" s="6" t="s">
        <v>2471</v>
      </c>
      <c r="V383" s="6" t="s">
        <v>2478</v>
      </c>
      <c r="W383" s="6" t="s">
        <v>2476</v>
      </c>
      <c r="X383" s="8" t="s">
        <v>2994</v>
      </c>
      <c r="Y383" s="6" t="s">
        <v>3238</v>
      </c>
      <c r="Z383" s="6" t="s">
        <v>3263</v>
      </c>
      <c r="AA383" s="35" t="s">
        <v>3616</v>
      </c>
      <c r="AB383" s="35" t="s">
        <v>3608</v>
      </c>
      <c r="AC383" s="35" t="s">
        <v>3619</v>
      </c>
      <c r="AD383" s="35" t="s">
        <v>3610</v>
      </c>
      <c r="AE383" s="35" t="s">
        <v>3610</v>
      </c>
      <c r="AF383" s="35" t="s">
        <v>3611</v>
      </c>
      <c r="AG383" s="35" t="s">
        <v>3612</v>
      </c>
      <c r="AH383" s="35" t="s">
        <v>3620</v>
      </c>
    </row>
    <row r="384" spans="1:34" ht="14.45" hidden="1" customHeight="1" x14ac:dyDescent="0.25">
      <c r="A384" s="6" t="s">
        <v>1648</v>
      </c>
      <c r="B384" s="7">
        <v>44665</v>
      </c>
      <c r="C384" s="6" t="s">
        <v>1647</v>
      </c>
      <c r="D384" s="6" t="s">
        <v>66</v>
      </c>
      <c r="E384" s="6" t="s">
        <v>3236</v>
      </c>
      <c r="F384" s="6" t="s">
        <v>3229</v>
      </c>
      <c r="G384" s="8">
        <v>1.1604931999999999</v>
      </c>
      <c r="H384" s="8">
        <v>6.2443400000000002</v>
      </c>
      <c r="I384" s="6" t="s">
        <v>2475</v>
      </c>
      <c r="J384" s="6" t="s">
        <v>2459</v>
      </c>
      <c r="K384" s="6" t="s">
        <v>2460</v>
      </c>
      <c r="L384" s="6"/>
      <c r="M384" s="6"/>
      <c r="N384" s="6" t="s">
        <v>3268</v>
      </c>
      <c r="O384" s="6" t="s">
        <v>7</v>
      </c>
      <c r="P384" s="6" t="str">
        <f>VLOOKUP(Tableau1[[#This Row],[SITES NAMES]],[1]Feuil1!$1:$1048576,8,FALSE)</f>
        <v>OK</v>
      </c>
      <c r="Q384" s="6" t="str">
        <f>VLOOKUP(Tableau1[[#This Row],[SITES NAMES]],[1]Feuil1!$1:$1048576,9,FALSE)</f>
        <v>NO</v>
      </c>
      <c r="R384" s="6" t="str">
        <f>VLOOKUP(Tableau1[[#This Row],[SITES NAMES]],[1]Feuil1!$1:$1048576,10,FALSE)</f>
        <v>YES</v>
      </c>
      <c r="S384" s="6" t="s">
        <v>2469</v>
      </c>
      <c r="T384" s="6" t="s">
        <v>2470</v>
      </c>
      <c r="U384" s="6" t="s">
        <v>2463</v>
      </c>
      <c r="V384" s="6" t="s">
        <v>2464</v>
      </c>
      <c r="W384" s="6" t="s">
        <v>2476</v>
      </c>
      <c r="X384" s="8" t="s">
        <v>2995</v>
      </c>
      <c r="Y384" s="6" t="s">
        <v>3238</v>
      </c>
      <c r="Z384" s="6" t="s">
        <v>3263</v>
      </c>
      <c r="AA384" s="35" t="s">
        <v>3616</v>
      </c>
      <c r="AB384" s="35" t="s">
        <v>3608</v>
      </c>
      <c r="AC384" s="35" t="s">
        <v>3619</v>
      </c>
      <c r="AD384" s="35" t="s">
        <v>3610</v>
      </c>
      <c r="AE384" s="35" t="s">
        <v>3610</v>
      </c>
      <c r="AF384" s="35" t="s">
        <v>3611</v>
      </c>
      <c r="AG384" s="35" t="s">
        <v>3612</v>
      </c>
      <c r="AH384" s="35" t="s">
        <v>3620</v>
      </c>
    </row>
    <row r="385" spans="1:34" ht="14.45" hidden="1" customHeight="1" x14ac:dyDescent="0.25">
      <c r="A385" s="6" t="s">
        <v>1650</v>
      </c>
      <c r="B385" s="7">
        <v>44078</v>
      </c>
      <c r="C385" s="6" t="s">
        <v>1649</v>
      </c>
      <c r="D385" s="6" t="s">
        <v>66</v>
      </c>
      <c r="E385" s="6" t="s">
        <v>3236</v>
      </c>
      <c r="F385" s="6" t="s">
        <v>3229</v>
      </c>
      <c r="G385" s="8">
        <v>1.153354</v>
      </c>
      <c r="H385" s="8">
        <v>6.2413239999999996</v>
      </c>
      <c r="I385" s="6" t="s">
        <v>2497</v>
      </c>
      <c r="J385" s="6" t="s">
        <v>2459</v>
      </c>
      <c r="K385" s="6" t="s">
        <v>2460</v>
      </c>
      <c r="L385" s="6"/>
      <c r="M385" s="6"/>
      <c r="N385" s="6" t="s">
        <v>3268</v>
      </c>
      <c r="O385" s="6" t="s">
        <v>7</v>
      </c>
      <c r="P385" s="6" t="str">
        <f>VLOOKUP(Tableau1[[#This Row],[SITES NAMES]],[1]Feuil1!$1:$1048576,8,FALSE)</f>
        <v>OK</v>
      </c>
      <c r="Q385" s="6" t="str">
        <f>VLOOKUP(Tableau1[[#This Row],[SITES NAMES]],[1]Feuil1!$1:$1048576,9,FALSE)</f>
        <v>NO</v>
      </c>
      <c r="R385" s="6" t="str">
        <f>VLOOKUP(Tableau1[[#This Row],[SITES NAMES]],[1]Feuil1!$1:$1048576,10,FALSE)</f>
        <v>NO</v>
      </c>
      <c r="S385" s="6" t="s">
        <v>2469</v>
      </c>
      <c r="T385" s="6" t="s">
        <v>2470</v>
      </c>
      <c r="U385" s="6" t="s">
        <v>2480</v>
      </c>
      <c r="V385" s="6" t="s">
        <v>2464</v>
      </c>
      <c r="W385" s="6" t="s">
        <v>2476</v>
      </c>
      <c r="X385" s="8"/>
      <c r="Y385" s="6" t="s">
        <v>3238</v>
      </c>
      <c r="Z385" s="6" t="s">
        <v>3263</v>
      </c>
      <c r="AA385" s="35" t="s">
        <v>3616</v>
      </c>
      <c r="AB385" s="35" t="s">
        <v>3608</v>
      </c>
      <c r="AC385" s="35" t="s">
        <v>3619</v>
      </c>
      <c r="AD385" s="35" t="s">
        <v>3610</v>
      </c>
      <c r="AE385" s="35" t="s">
        <v>3610</v>
      </c>
      <c r="AF385" s="35" t="s">
        <v>3611</v>
      </c>
      <c r="AG385" s="35" t="s">
        <v>3612</v>
      </c>
      <c r="AH385" s="35" t="s">
        <v>3620</v>
      </c>
    </row>
    <row r="386" spans="1:34" ht="14.45" hidden="1" customHeight="1" x14ac:dyDescent="0.25">
      <c r="A386" s="6" t="s">
        <v>1652</v>
      </c>
      <c r="B386" s="7">
        <v>44684</v>
      </c>
      <c r="C386" s="6" t="s">
        <v>1651</v>
      </c>
      <c r="D386" s="6" t="s">
        <v>66</v>
      </c>
      <c r="E386" s="6" t="s">
        <v>3236</v>
      </c>
      <c r="F386" s="6" t="s">
        <v>3229</v>
      </c>
      <c r="G386" s="8">
        <v>1.1184400000000001</v>
      </c>
      <c r="H386" s="8">
        <v>6.2697241999999997</v>
      </c>
      <c r="I386" s="6" t="s">
        <v>2479</v>
      </c>
      <c r="J386" s="6" t="s">
        <v>2459</v>
      </c>
      <c r="K386" s="6" t="s">
        <v>2460</v>
      </c>
      <c r="L386" s="6"/>
      <c r="M386" s="6"/>
      <c r="N386" s="6" t="s">
        <v>3268</v>
      </c>
      <c r="O386" s="6" t="s">
        <v>7</v>
      </c>
      <c r="P386" s="6" t="str">
        <f>VLOOKUP(Tableau1[[#This Row],[SITES NAMES]],[1]Feuil1!$1:$1048576,8,FALSE)</f>
        <v>OK</v>
      </c>
      <c r="Q386" s="6" t="str">
        <f>VLOOKUP(Tableau1[[#This Row],[SITES NAMES]],[1]Feuil1!$1:$1048576,9,FALSE)</f>
        <v>NO</v>
      </c>
      <c r="R386" s="6" t="str">
        <f>VLOOKUP(Tableau1[[#This Row],[SITES NAMES]],[1]Feuil1!$1:$1048576,10,FALSE)</f>
        <v>YES</v>
      </c>
      <c r="S386" s="6" t="s">
        <v>2461</v>
      </c>
      <c r="T386" s="6" t="s">
        <v>2462</v>
      </c>
      <c r="U386" s="6" t="s">
        <v>2463</v>
      </c>
      <c r="V386" s="6" t="s">
        <v>2464</v>
      </c>
      <c r="W386" s="6" t="s">
        <v>2465</v>
      </c>
      <c r="X386" s="8" t="s">
        <v>2996</v>
      </c>
      <c r="Y386" s="6" t="s">
        <v>3238</v>
      </c>
      <c r="Z386" s="6" t="s">
        <v>3263</v>
      </c>
      <c r="AA386" s="35" t="s">
        <v>3616</v>
      </c>
      <c r="AB386" s="35" t="s">
        <v>3608</v>
      </c>
      <c r="AC386" s="35" t="s">
        <v>3619</v>
      </c>
      <c r="AD386" s="35" t="s">
        <v>3610</v>
      </c>
      <c r="AE386" s="35" t="s">
        <v>3610</v>
      </c>
      <c r="AF386" s="35" t="s">
        <v>3611</v>
      </c>
      <c r="AG386" s="35" t="s">
        <v>3612</v>
      </c>
      <c r="AH386" s="35" t="s">
        <v>3620</v>
      </c>
    </row>
    <row r="387" spans="1:34" ht="14.45" hidden="1" customHeight="1" x14ac:dyDescent="0.25">
      <c r="A387" s="6" t="s">
        <v>1578</v>
      </c>
      <c r="B387" s="7">
        <v>45206</v>
      </c>
      <c r="C387" s="6" t="s">
        <v>1577</v>
      </c>
      <c r="D387" s="6" t="s">
        <v>66</v>
      </c>
      <c r="E387" s="6" t="s">
        <v>3236</v>
      </c>
      <c r="F387" s="6" t="s">
        <v>3229</v>
      </c>
      <c r="G387" s="8">
        <v>1.1073839999999999</v>
      </c>
      <c r="H387" s="8">
        <v>6.26112</v>
      </c>
      <c r="I387" s="6" t="s">
        <v>2479</v>
      </c>
      <c r="J387" s="6" t="s">
        <v>2459</v>
      </c>
      <c r="K387" s="6" t="s">
        <v>2460</v>
      </c>
      <c r="L387" s="6" t="s">
        <v>3397</v>
      </c>
      <c r="M387" s="6"/>
      <c r="N387" s="6" t="s">
        <v>3268</v>
      </c>
      <c r="O387" s="6" t="s">
        <v>7</v>
      </c>
      <c r="P387" s="6" t="str">
        <f>VLOOKUP(Tableau1[[#This Row],[SITES NAMES]],[1]Feuil1!$1:$1048576,8,FALSE)</f>
        <v>NOK</v>
      </c>
      <c r="Q387" s="6" t="str">
        <f>VLOOKUP(Tableau1[[#This Row],[SITES NAMES]],[1]Feuil1!$1:$1048576,9,FALSE)</f>
        <v>NO</v>
      </c>
      <c r="R387" s="6" t="str">
        <f>VLOOKUP(Tableau1[[#This Row],[SITES NAMES]],[1]Feuil1!$1:$1048576,10,FALSE)</f>
        <v>NO</v>
      </c>
      <c r="S387" s="6" t="s">
        <v>2461</v>
      </c>
      <c r="T387" s="6" t="s">
        <v>2462</v>
      </c>
      <c r="U387" s="6" t="s">
        <v>2463</v>
      </c>
      <c r="V387" s="6" t="s">
        <v>2464</v>
      </c>
      <c r="W387" s="6" t="s">
        <v>2974</v>
      </c>
      <c r="X387" s="8"/>
      <c r="Y387" s="6" t="s">
        <v>3238</v>
      </c>
      <c r="Z387" s="6" t="s">
        <v>3263</v>
      </c>
      <c r="AA387" s="35" t="s">
        <v>3616</v>
      </c>
      <c r="AB387" s="35" t="s">
        <v>3608</v>
      </c>
      <c r="AC387" s="35" t="s">
        <v>3619</v>
      </c>
      <c r="AD387" s="35" t="s">
        <v>3610</v>
      </c>
      <c r="AE387" s="35" t="s">
        <v>3610</v>
      </c>
      <c r="AF387" s="35" t="s">
        <v>3611</v>
      </c>
      <c r="AG387" s="35" t="s">
        <v>3612</v>
      </c>
      <c r="AH387" s="35" t="s">
        <v>3620</v>
      </c>
    </row>
    <row r="388" spans="1:34" ht="14.45" hidden="1" customHeight="1" x14ac:dyDescent="0.3">
      <c r="A388" s="6" t="s">
        <v>2306</v>
      </c>
      <c r="B388" s="7">
        <v>43907</v>
      </c>
      <c r="C388" s="6" t="s">
        <v>2305</v>
      </c>
      <c r="D388" s="6" t="s">
        <v>320</v>
      </c>
      <c r="E388" s="6" t="s">
        <v>2274</v>
      </c>
      <c r="F388" s="6" t="s">
        <v>3229</v>
      </c>
      <c r="G388" s="8">
        <v>1.48482</v>
      </c>
      <c r="H388" s="8">
        <v>8.9991800000000008</v>
      </c>
      <c r="I388" s="6" t="s">
        <v>2482</v>
      </c>
      <c r="J388" s="6" t="s">
        <v>2459</v>
      </c>
      <c r="K388" s="6" t="s">
        <v>2460</v>
      </c>
      <c r="L388" s="6" t="s">
        <v>3392</v>
      </c>
      <c r="M388" s="6"/>
      <c r="N388" s="6" t="s">
        <v>3268</v>
      </c>
      <c r="O388" s="6" t="s">
        <v>7</v>
      </c>
      <c r="P388" s="6" t="str">
        <f>VLOOKUP(Tableau1[[#This Row],[SITES NAMES]],[1]Feuil1!$1:$1048576,8,FALSE)</f>
        <v>OK</v>
      </c>
      <c r="Q388" s="6" t="str">
        <f>VLOOKUP(Tableau1[[#This Row],[SITES NAMES]],[1]Feuil1!$1:$1048576,9,FALSE)</f>
        <v>NO</v>
      </c>
      <c r="R388" s="6" t="str">
        <f>VLOOKUP(Tableau1[[#This Row],[SITES NAMES]],[1]Feuil1!$1:$1048576,10,FALSE)</f>
        <v>NO</v>
      </c>
      <c r="S388" s="6" t="s">
        <v>2469</v>
      </c>
      <c r="T388" s="6" t="s">
        <v>2470</v>
      </c>
      <c r="U388" s="6" t="s">
        <v>2480</v>
      </c>
      <c r="V388" s="6" t="s">
        <v>2472</v>
      </c>
      <c r="W388" s="6" t="s">
        <v>2473</v>
      </c>
      <c r="X388" s="8" t="s">
        <v>3190</v>
      </c>
      <c r="Y388" s="6" t="s">
        <v>3238</v>
      </c>
      <c r="Z388" s="6" t="s">
        <v>3254</v>
      </c>
      <c r="AA388" s="37" t="s">
        <v>3678</v>
      </c>
      <c r="AB388" s="39" t="s">
        <v>3665</v>
      </c>
      <c r="AC388" s="37" t="s">
        <v>3679</v>
      </c>
      <c r="AD388" s="37" t="s">
        <v>3678</v>
      </c>
      <c r="AE388" s="37" t="s">
        <v>3680</v>
      </c>
      <c r="AF388" s="39" t="s">
        <v>3676</v>
      </c>
      <c r="AG388" s="37" t="s">
        <v>3670</v>
      </c>
      <c r="AH388" s="37" t="s">
        <v>3681</v>
      </c>
    </row>
    <row r="389" spans="1:34" ht="14.45" hidden="1" customHeight="1" x14ac:dyDescent="0.3">
      <c r="A389" s="6" t="s">
        <v>1020</v>
      </c>
      <c r="B389" s="7">
        <v>0</v>
      </c>
      <c r="C389" s="6" t="s">
        <v>1019</v>
      </c>
      <c r="D389" s="6" t="s">
        <v>5</v>
      </c>
      <c r="E389" s="6" t="s">
        <v>1003</v>
      </c>
      <c r="F389" s="6" t="s">
        <v>3229</v>
      </c>
      <c r="G389" s="8">
        <v>0.69157100000000005</v>
      </c>
      <c r="H389" s="8">
        <v>7.1991940000000003</v>
      </c>
      <c r="I389" s="6" t="s">
        <v>2525</v>
      </c>
      <c r="J389" s="6" t="s">
        <v>2459</v>
      </c>
      <c r="K389" s="6" t="s">
        <v>2460</v>
      </c>
      <c r="L389" s="6" t="s">
        <v>3398</v>
      </c>
      <c r="M389" s="6"/>
      <c r="N389" s="6" t="s">
        <v>3268</v>
      </c>
      <c r="O389" s="6" t="s">
        <v>7</v>
      </c>
      <c r="P389" s="6" t="str">
        <f>VLOOKUP(Tableau1[[#This Row],[SITES NAMES]],[1]Feuil1!$1:$1048576,8,FALSE)</f>
        <v>NOK</v>
      </c>
      <c r="Q389" s="6" t="str">
        <f>VLOOKUP(Tableau1[[#This Row],[SITES NAMES]],[1]Feuil1!$1:$1048576,9,FALSE)</f>
        <v>NO</v>
      </c>
      <c r="R389" s="6" t="str">
        <f>VLOOKUP(Tableau1[[#This Row],[SITES NAMES]],[1]Feuil1!$1:$1048576,10,FALSE)</f>
        <v>YES</v>
      </c>
      <c r="S389" s="6" t="s">
        <v>2469</v>
      </c>
      <c r="T389" s="6" t="s">
        <v>2470</v>
      </c>
      <c r="U389" s="6" t="s">
        <v>2480</v>
      </c>
      <c r="V389" s="6" t="s">
        <v>2464</v>
      </c>
      <c r="W389" s="6" t="s">
        <v>2465</v>
      </c>
      <c r="X389" s="8" t="s">
        <v>2844</v>
      </c>
      <c r="Y389" s="6" t="s">
        <v>3241</v>
      </c>
      <c r="Z389" s="6"/>
      <c r="AA389" s="37" t="s">
        <v>3634</v>
      </c>
      <c r="AB389" s="38" t="s">
        <v>3627</v>
      </c>
      <c r="AC389" s="37" t="s">
        <v>3635</v>
      </c>
      <c r="AD389" s="37" t="s">
        <v>3636</v>
      </c>
      <c r="AE389" s="37" t="s">
        <v>3637</v>
      </c>
      <c r="AF389" s="37" t="s">
        <v>3636</v>
      </c>
      <c r="AG389" s="37" t="s">
        <v>3638</v>
      </c>
      <c r="AH389" s="37" t="s">
        <v>3639</v>
      </c>
    </row>
    <row r="390" spans="1:34" ht="14.45" hidden="1" customHeight="1" x14ac:dyDescent="0.3">
      <c r="A390" s="6" t="s">
        <v>1066</v>
      </c>
      <c r="B390" s="7">
        <v>43900</v>
      </c>
      <c r="C390" s="6" t="s">
        <v>1065</v>
      </c>
      <c r="D390" s="6" t="s">
        <v>5</v>
      </c>
      <c r="E390" s="6" t="s">
        <v>1003</v>
      </c>
      <c r="F390" s="6" t="s">
        <v>3229</v>
      </c>
      <c r="G390" s="8">
        <v>0.68984000000000001</v>
      </c>
      <c r="H390" s="8">
        <v>7.2357699999999996</v>
      </c>
      <c r="I390" s="6" t="s">
        <v>2467</v>
      </c>
      <c r="J390" s="6" t="s">
        <v>2459</v>
      </c>
      <c r="K390" s="6" t="s">
        <v>2468</v>
      </c>
      <c r="L390" s="6" t="s">
        <v>3399</v>
      </c>
      <c r="M390" s="6"/>
      <c r="N390" s="6" t="s">
        <v>2468</v>
      </c>
      <c r="O390" s="6" t="s">
        <v>7</v>
      </c>
      <c r="P390" s="6" t="str">
        <f>VLOOKUP(Tableau1[[#This Row],[SITES NAMES]],[1]Feuil1!$1:$1048576,8,FALSE)</f>
        <v>NOK</v>
      </c>
      <c r="Q390" s="6" t="str">
        <f>VLOOKUP(Tableau1[[#This Row],[SITES NAMES]],[1]Feuil1!$1:$1048576,9,FALSE)</f>
        <v>NO</v>
      </c>
      <c r="R390" s="6" t="str">
        <f>VLOOKUP(Tableau1[[#This Row],[SITES NAMES]],[1]Feuil1!$1:$1048576,10,FALSE)</f>
        <v>NO</v>
      </c>
      <c r="S390" s="6" t="s">
        <v>2469</v>
      </c>
      <c r="T390" s="6" t="s">
        <v>2470</v>
      </c>
      <c r="U390" s="6" t="s">
        <v>2480</v>
      </c>
      <c r="V390" s="6" t="s">
        <v>2472</v>
      </c>
      <c r="W390" s="6" t="s">
        <v>2473</v>
      </c>
      <c r="X390" s="8" t="s">
        <v>2856</v>
      </c>
      <c r="Y390" s="6" t="s">
        <v>3241</v>
      </c>
      <c r="Z390" s="6"/>
      <c r="AA390" s="37" t="s">
        <v>3634</v>
      </c>
      <c r="AB390" s="38" t="s">
        <v>3627</v>
      </c>
      <c r="AC390" s="37" t="s">
        <v>3635</v>
      </c>
      <c r="AD390" s="37" t="s">
        <v>3636</v>
      </c>
      <c r="AE390" s="37" t="s">
        <v>3637</v>
      </c>
      <c r="AF390" s="37" t="s">
        <v>3636</v>
      </c>
      <c r="AG390" s="37" t="s">
        <v>3638</v>
      </c>
      <c r="AH390" s="37" t="s">
        <v>3639</v>
      </c>
    </row>
    <row r="391" spans="1:34" ht="14.45" hidden="1" customHeight="1" x14ac:dyDescent="0.3">
      <c r="A391" s="6" t="s">
        <v>1068</v>
      </c>
      <c r="B391" s="7">
        <v>39612</v>
      </c>
      <c r="C391" s="6" t="s">
        <v>1067</v>
      </c>
      <c r="D391" s="6" t="s">
        <v>5</v>
      </c>
      <c r="E391" s="6" t="s">
        <v>1003</v>
      </c>
      <c r="F391" s="6" t="s">
        <v>3229</v>
      </c>
      <c r="G391" s="8">
        <v>0.721248</v>
      </c>
      <c r="H391" s="8">
        <v>7.2844819999999997</v>
      </c>
      <c r="I391" s="6" t="s">
        <v>2467</v>
      </c>
      <c r="J391" s="6" t="s">
        <v>2459</v>
      </c>
      <c r="K391" s="6" t="s">
        <v>2468</v>
      </c>
      <c r="L391" s="6" t="s">
        <v>3400</v>
      </c>
      <c r="M391" s="6"/>
      <c r="N391" s="6" t="s">
        <v>2468</v>
      </c>
      <c r="O391" s="6" t="s">
        <v>18</v>
      </c>
      <c r="P391" s="6" t="str">
        <f>VLOOKUP(Tableau1[[#This Row],[SITES NAMES]],[1]Feuil1!$1:$1048576,8,FALSE)</f>
        <v>NOK</v>
      </c>
      <c r="Q391" s="6" t="str">
        <f>VLOOKUP(Tableau1[[#This Row],[SITES NAMES]],[1]Feuil1!$1:$1048576,9,FALSE)</f>
        <v>NO</v>
      </c>
      <c r="R391" s="6" t="str">
        <f>VLOOKUP(Tableau1[[#This Row],[SITES NAMES]],[1]Feuil1!$1:$1048576,10,FALSE)</f>
        <v>NO</v>
      </c>
      <c r="S391" s="6" t="s">
        <v>2469</v>
      </c>
      <c r="T391" s="6" t="s">
        <v>2470</v>
      </c>
      <c r="U391" s="6" t="s">
        <v>2480</v>
      </c>
      <c r="V391" s="6" t="s">
        <v>2472</v>
      </c>
      <c r="W391" s="6" t="s">
        <v>2465</v>
      </c>
      <c r="X391" s="8" t="s">
        <v>2857</v>
      </c>
      <c r="Y391" s="6" t="s">
        <v>3241</v>
      </c>
      <c r="Z391" s="6"/>
      <c r="AA391" s="37" t="s">
        <v>3634</v>
      </c>
      <c r="AB391" s="38" t="s">
        <v>3627</v>
      </c>
      <c r="AC391" s="37" t="s">
        <v>3635</v>
      </c>
      <c r="AD391" s="37" t="s">
        <v>3636</v>
      </c>
      <c r="AE391" s="37" t="s">
        <v>3637</v>
      </c>
      <c r="AF391" s="37" t="s">
        <v>3636</v>
      </c>
      <c r="AG391" s="37" t="s">
        <v>3638</v>
      </c>
      <c r="AH391" s="37" t="s">
        <v>3639</v>
      </c>
    </row>
    <row r="392" spans="1:34" ht="14.45" hidden="1" customHeight="1" x14ac:dyDescent="0.3">
      <c r="A392" s="6" t="s">
        <v>257</v>
      </c>
      <c r="B392" s="7">
        <v>43883</v>
      </c>
      <c r="C392" s="6" t="s">
        <v>256</v>
      </c>
      <c r="D392" s="6" t="s">
        <v>132</v>
      </c>
      <c r="E392" s="6" t="s">
        <v>251</v>
      </c>
      <c r="F392" s="6" t="s">
        <v>3229</v>
      </c>
      <c r="G392" s="8">
        <v>0.53333699999999995</v>
      </c>
      <c r="H392" s="8">
        <v>7.5847389999999999</v>
      </c>
      <c r="I392" s="6" t="s">
        <v>2467</v>
      </c>
      <c r="J392" s="6" t="s">
        <v>2459</v>
      </c>
      <c r="K392" s="6" t="s">
        <v>2468</v>
      </c>
      <c r="L392" s="6" t="s">
        <v>253</v>
      </c>
      <c r="M392" s="6"/>
      <c r="N392" s="6" t="s">
        <v>2468</v>
      </c>
      <c r="O392" s="6" t="s">
        <v>7</v>
      </c>
      <c r="P392" s="6" t="str">
        <f>VLOOKUP(Tableau1[[#This Row],[SITES NAMES]],[1]Feuil1!$1:$1048576,8,FALSE)</f>
        <v>NOK</v>
      </c>
      <c r="Q392" s="6" t="str">
        <f>VLOOKUP(Tableau1[[#This Row],[SITES NAMES]],[1]Feuil1!$1:$1048576,9,FALSE)</f>
        <v>NO</v>
      </c>
      <c r="R392" s="6" t="str">
        <f>VLOOKUP(Tableau1[[#This Row],[SITES NAMES]],[1]Feuil1!$1:$1048576,10,FALSE)</f>
        <v>NO</v>
      </c>
      <c r="S392" s="6" t="s">
        <v>2469</v>
      </c>
      <c r="T392" s="6" t="s">
        <v>2470</v>
      </c>
      <c r="U392" s="6" t="s">
        <v>2480</v>
      </c>
      <c r="V392" s="6" t="s">
        <v>2472</v>
      </c>
      <c r="W392" s="6" t="s">
        <v>2473</v>
      </c>
      <c r="X392" s="8" t="s">
        <v>2569</v>
      </c>
      <c r="Y392" s="6" t="s">
        <v>3238</v>
      </c>
      <c r="Z392" s="6" t="s">
        <v>3256</v>
      </c>
      <c r="AA392" s="37" t="s">
        <v>3651</v>
      </c>
      <c r="AB392" s="39" t="s">
        <v>3644</v>
      </c>
      <c r="AC392" s="45" t="s">
        <v>3652</v>
      </c>
      <c r="AD392" s="39" t="s">
        <v>3646</v>
      </c>
      <c r="AE392" s="37" t="s">
        <v>3653</v>
      </c>
      <c r="AF392" s="37" t="s">
        <v>3654</v>
      </c>
      <c r="AG392" s="37" t="s">
        <v>3649</v>
      </c>
      <c r="AH392" s="37" t="s">
        <v>3655</v>
      </c>
    </row>
    <row r="393" spans="1:34" ht="14.45" hidden="1" customHeight="1" x14ac:dyDescent="0.3">
      <c r="A393" s="6" t="s">
        <v>951</v>
      </c>
      <c r="B393" s="7">
        <v>38687</v>
      </c>
      <c r="C393" s="6" t="s">
        <v>950</v>
      </c>
      <c r="D393" s="6" t="s">
        <v>657</v>
      </c>
      <c r="E393" s="6" t="s">
        <v>3235</v>
      </c>
      <c r="F393" s="6" t="s">
        <v>3229</v>
      </c>
      <c r="G393" s="8">
        <v>1.0630599999999999</v>
      </c>
      <c r="H393" s="8">
        <v>9.3213899999999992</v>
      </c>
      <c r="I393" s="6" t="s">
        <v>2477</v>
      </c>
      <c r="J393" s="6" t="s">
        <v>2459</v>
      </c>
      <c r="K393" s="6" t="s">
        <v>2468</v>
      </c>
      <c r="L393" s="6" t="s">
        <v>1000</v>
      </c>
      <c r="M393" s="6"/>
      <c r="N393" s="6" t="s">
        <v>2468</v>
      </c>
      <c r="O393" s="6" t="s">
        <v>40</v>
      </c>
      <c r="P393" s="6" t="str">
        <f>VLOOKUP(Tableau1[[#This Row],[SITES NAMES]],[1]Feuil1!$1:$1048576,8,FALSE)</f>
        <v>OK</v>
      </c>
      <c r="Q393" s="6" t="str">
        <f>VLOOKUP(Tableau1[[#This Row],[SITES NAMES]],[1]Feuil1!$1:$1048576,9,FALSE)</f>
        <v>NO</v>
      </c>
      <c r="R393" s="6" t="str">
        <f>VLOOKUP(Tableau1[[#This Row],[SITES NAMES]],[1]Feuil1!$1:$1048576,10,FALSE)</f>
        <v>NO</v>
      </c>
      <c r="S393" s="6" t="s">
        <v>2469</v>
      </c>
      <c r="T393" s="6" t="s">
        <v>2470</v>
      </c>
      <c r="U393" s="6" t="s">
        <v>2480</v>
      </c>
      <c r="V393" s="6" t="s">
        <v>2472</v>
      </c>
      <c r="W393" s="6" t="s">
        <v>2473</v>
      </c>
      <c r="X393" s="8" t="s">
        <v>2819</v>
      </c>
      <c r="Y393" s="6" t="s">
        <v>3239</v>
      </c>
      <c r="Z393" s="6" t="s">
        <v>3253</v>
      </c>
      <c r="AA393" s="37" t="s">
        <v>3698</v>
      </c>
      <c r="AB393" s="38" t="s">
        <v>3683</v>
      </c>
      <c r="AC393" s="39" t="s">
        <v>3699</v>
      </c>
      <c r="AD393" s="39" t="s">
        <v>3700</v>
      </c>
      <c r="AE393" s="37" t="s">
        <v>3701</v>
      </c>
      <c r="AF393" s="39" t="s">
        <v>3702</v>
      </c>
      <c r="AG393" s="40" t="s">
        <v>3685</v>
      </c>
      <c r="AH393" s="37" t="s">
        <v>3703</v>
      </c>
    </row>
    <row r="394" spans="1:34" ht="15.75" hidden="1" x14ac:dyDescent="0.3">
      <c r="A394" s="6" t="s">
        <v>396</v>
      </c>
      <c r="B394" s="7">
        <v>0</v>
      </c>
      <c r="C394" s="6" t="s">
        <v>512</v>
      </c>
      <c r="D394" s="6" t="s">
        <v>395</v>
      </c>
      <c r="E394" s="6" t="s">
        <v>396</v>
      </c>
      <c r="F394" s="18" t="s">
        <v>3230</v>
      </c>
      <c r="G394" s="8">
        <v>0.20002</v>
      </c>
      <c r="H394" s="8">
        <v>10.86064</v>
      </c>
      <c r="I394" s="6" t="s">
        <v>2475</v>
      </c>
      <c r="J394" s="6" t="s">
        <v>2459</v>
      </c>
      <c r="K394" s="6" t="s">
        <v>2460</v>
      </c>
      <c r="L394" s="6"/>
      <c r="M394" s="6"/>
      <c r="N394" s="21" t="s">
        <v>3269</v>
      </c>
      <c r="O394" s="6" t="s">
        <v>7</v>
      </c>
      <c r="P394" s="6" t="str">
        <f>VLOOKUP(Tableau1[[#This Row],[SITES NAMES]],[1]Feuil1!$1:$1048576,8,FALSE)</f>
        <v>OK</v>
      </c>
      <c r="Q394" s="6" t="str">
        <f>VLOOKUP(Tableau1[[#This Row],[SITES NAMES]],[1]Feuil1!$1:$1048576,9,FALSE)</f>
        <v>NO</v>
      </c>
      <c r="R394" s="6" t="str">
        <f>VLOOKUP(Tableau1[[#This Row],[SITES NAMES]],[1]Feuil1!$1:$1048576,10,FALSE)</f>
        <v>YES</v>
      </c>
      <c r="S394" s="6" t="s">
        <v>2461</v>
      </c>
      <c r="T394" s="6" t="s">
        <v>2470</v>
      </c>
      <c r="U394" s="6" t="s">
        <v>2463</v>
      </c>
      <c r="V394" s="6" t="s">
        <v>2478</v>
      </c>
      <c r="W394" s="6" t="s">
        <v>2476</v>
      </c>
      <c r="X394" s="8" t="s">
        <v>2661</v>
      </c>
      <c r="Y394" s="6" t="s">
        <v>3240</v>
      </c>
      <c r="Z394" s="6" t="s">
        <v>3255</v>
      </c>
      <c r="AA394" s="37" t="s">
        <v>3704</v>
      </c>
      <c r="AB394" s="39" t="s">
        <v>3705</v>
      </c>
      <c r="AC394" s="37" t="s">
        <v>3706</v>
      </c>
      <c r="AD394" s="37" t="s">
        <v>3707</v>
      </c>
      <c r="AE394" s="37" t="s">
        <v>3708</v>
      </c>
      <c r="AF394" s="37" t="s">
        <v>3709</v>
      </c>
      <c r="AG394" s="46" t="s">
        <v>3710</v>
      </c>
      <c r="AH394" s="37" t="s">
        <v>3711</v>
      </c>
    </row>
    <row r="395" spans="1:34" ht="14.45" hidden="1" customHeight="1" x14ac:dyDescent="0.3">
      <c r="A395" s="6" t="s">
        <v>485</v>
      </c>
      <c r="B395" s="7">
        <v>46022</v>
      </c>
      <c r="C395" s="6" t="s">
        <v>484</v>
      </c>
      <c r="D395" s="6" t="s">
        <v>395</v>
      </c>
      <c r="E395" s="6" t="s">
        <v>396</v>
      </c>
      <c r="F395" s="6" t="s">
        <v>3229</v>
      </c>
      <c r="G395" s="8">
        <v>0.22892000000000001</v>
      </c>
      <c r="H395" s="8">
        <v>10.883240000000001</v>
      </c>
      <c r="I395" s="6" t="e">
        <v>#N/A</v>
      </c>
      <c r="J395" s="6" t="s">
        <v>2459</v>
      </c>
      <c r="K395" s="6" t="s">
        <v>2468</v>
      </c>
      <c r="L395" s="6"/>
      <c r="M395" s="6"/>
      <c r="N395" s="6" t="s">
        <v>2468</v>
      </c>
      <c r="O395" s="6" t="s">
        <v>47</v>
      </c>
      <c r="P395" s="6"/>
      <c r="Q395" s="6"/>
      <c r="R395" s="6"/>
      <c r="S395" s="6"/>
      <c r="T395" s="6"/>
      <c r="U395" s="6"/>
      <c r="V395" s="6"/>
      <c r="W395" s="6"/>
      <c r="X395" s="8"/>
      <c r="Y395" s="6" t="s">
        <v>3240</v>
      </c>
      <c r="Z395" s="6" t="s">
        <v>3255</v>
      </c>
      <c r="AA395" s="37" t="s">
        <v>3704</v>
      </c>
      <c r="AB395" s="39" t="s">
        <v>3705</v>
      </c>
      <c r="AC395" s="37" t="s">
        <v>3706</v>
      </c>
      <c r="AD395" s="37" t="s">
        <v>3707</v>
      </c>
      <c r="AE395" s="37" t="s">
        <v>3708</v>
      </c>
      <c r="AF395" s="37" t="s">
        <v>3709</v>
      </c>
      <c r="AG395" s="46" t="s">
        <v>3710</v>
      </c>
      <c r="AH395" s="37" t="s">
        <v>3711</v>
      </c>
    </row>
    <row r="396" spans="1:34" ht="14.45" hidden="1" customHeight="1" x14ac:dyDescent="0.3">
      <c r="A396" s="6" t="s">
        <v>514</v>
      </c>
      <c r="B396" s="7">
        <v>45205</v>
      </c>
      <c r="C396" s="6" t="s">
        <v>513</v>
      </c>
      <c r="D396" s="6" t="s">
        <v>395</v>
      </c>
      <c r="E396" s="6" t="s">
        <v>396</v>
      </c>
      <c r="F396" s="6" t="s">
        <v>3229</v>
      </c>
      <c r="G396" s="8">
        <v>0.17760999999999999</v>
      </c>
      <c r="H396" s="8">
        <v>10.85567</v>
      </c>
      <c r="I396" s="6" t="s">
        <v>2479</v>
      </c>
      <c r="J396" s="6" t="s">
        <v>2459</v>
      </c>
      <c r="K396" s="6" t="s">
        <v>2468</v>
      </c>
      <c r="L396" s="6" t="s">
        <v>522</v>
      </c>
      <c r="M396" s="6"/>
      <c r="N396" s="6" t="s">
        <v>2468</v>
      </c>
      <c r="O396" s="6" t="s">
        <v>7</v>
      </c>
      <c r="P396" s="6" t="str">
        <f>VLOOKUP(Tableau1[[#This Row],[SITES NAMES]],[1]Feuil1!$1:$1048576,8,FALSE)</f>
        <v>OK</v>
      </c>
      <c r="Q396" s="6" t="str">
        <f>VLOOKUP(Tableau1[[#This Row],[SITES NAMES]],[1]Feuil1!$1:$1048576,9,FALSE)</f>
        <v>NO</v>
      </c>
      <c r="R396" s="6" t="str">
        <f>VLOOKUP(Tableau1[[#This Row],[SITES NAMES]],[1]Feuil1!$1:$1048576,10,FALSE)</f>
        <v>NO</v>
      </c>
      <c r="S396" s="6" t="s">
        <v>2469</v>
      </c>
      <c r="T396" s="6" t="s">
        <v>2470</v>
      </c>
      <c r="U396" s="6" t="s">
        <v>2480</v>
      </c>
      <c r="V396" s="6" t="s">
        <v>2464</v>
      </c>
      <c r="W396" s="6" t="s">
        <v>2493</v>
      </c>
      <c r="X396" s="8"/>
      <c r="Y396" s="6" t="s">
        <v>3240</v>
      </c>
      <c r="Z396" s="6" t="s">
        <v>3255</v>
      </c>
      <c r="AA396" s="37" t="s">
        <v>3704</v>
      </c>
      <c r="AB396" s="39" t="s">
        <v>3705</v>
      </c>
      <c r="AC396" s="37" t="s">
        <v>3706</v>
      </c>
      <c r="AD396" s="37" t="s">
        <v>3707</v>
      </c>
      <c r="AE396" s="37" t="s">
        <v>3708</v>
      </c>
      <c r="AF396" s="37" t="s">
        <v>3709</v>
      </c>
      <c r="AG396" s="46" t="s">
        <v>3710</v>
      </c>
      <c r="AH396" s="37" t="s">
        <v>3711</v>
      </c>
    </row>
    <row r="397" spans="1:34" ht="14.45" hidden="1" customHeight="1" x14ac:dyDescent="0.3">
      <c r="A397" s="6" t="s">
        <v>516</v>
      </c>
      <c r="B397" s="7">
        <v>44653</v>
      </c>
      <c r="C397" s="6" t="s">
        <v>515</v>
      </c>
      <c r="D397" s="6" t="s">
        <v>395</v>
      </c>
      <c r="E397" s="6" t="s">
        <v>396</v>
      </c>
      <c r="F397" s="6" t="s">
        <v>3229</v>
      </c>
      <c r="G397" s="8">
        <v>0.20022999999999999</v>
      </c>
      <c r="H397" s="8">
        <v>10.849164200000001</v>
      </c>
      <c r="I397" s="6" t="s">
        <v>2475</v>
      </c>
      <c r="J397" s="6" t="s">
        <v>2459</v>
      </c>
      <c r="K397" s="6" t="s">
        <v>2460</v>
      </c>
      <c r="L397" s="6" t="s">
        <v>3401</v>
      </c>
      <c r="M397" s="6"/>
      <c r="N397" s="6" t="s">
        <v>3268</v>
      </c>
      <c r="O397" s="6" t="s">
        <v>7</v>
      </c>
      <c r="P397" s="6" t="str">
        <f>VLOOKUP(Tableau1[[#This Row],[SITES NAMES]],[1]Feuil1!$1:$1048576,8,FALSE)</f>
        <v>OK</v>
      </c>
      <c r="Q397" s="6" t="str">
        <f>VLOOKUP(Tableau1[[#This Row],[SITES NAMES]],[1]Feuil1!$1:$1048576,9,FALSE)</f>
        <v>NO</v>
      </c>
      <c r="R397" s="6" t="str">
        <f>VLOOKUP(Tableau1[[#This Row],[SITES NAMES]],[1]Feuil1!$1:$1048576,10,FALSE)</f>
        <v>YES</v>
      </c>
      <c r="S397" s="6" t="s">
        <v>2469</v>
      </c>
      <c r="T397" s="6" t="s">
        <v>2470</v>
      </c>
      <c r="U397" s="6" t="s">
        <v>2480</v>
      </c>
      <c r="V397" s="6" t="s">
        <v>2478</v>
      </c>
      <c r="W397" s="6" t="s">
        <v>2476</v>
      </c>
      <c r="X397" s="8" t="s">
        <v>2662</v>
      </c>
      <c r="Y397" s="6" t="s">
        <v>3240</v>
      </c>
      <c r="Z397" s="6" t="s">
        <v>3255</v>
      </c>
      <c r="AA397" s="37" t="s">
        <v>3704</v>
      </c>
      <c r="AB397" s="39" t="s">
        <v>3705</v>
      </c>
      <c r="AC397" s="37" t="s">
        <v>3706</v>
      </c>
      <c r="AD397" s="37" t="s">
        <v>3707</v>
      </c>
      <c r="AE397" s="37" t="s">
        <v>3708</v>
      </c>
      <c r="AF397" s="37" t="s">
        <v>3709</v>
      </c>
      <c r="AG397" s="46" t="s">
        <v>3710</v>
      </c>
      <c r="AH397" s="37" t="s">
        <v>3711</v>
      </c>
    </row>
    <row r="398" spans="1:34" ht="14.45" hidden="1" customHeight="1" x14ac:dyDescent="0.3">
      <c r="A398" s="6" t="s">
        <v>518</v>
      </c>
      <c r="B398" s="7">
        <v>0</v>
      </c>
      <c r="C398" s="6" t="s">
        <v>517</v>
      </c>
      <c r="D398" s="6" t="s">
        <v>395</v>
      </c>
      <c r="E398" s="6" t="s">
        <v>396</v>
      </c>
      <c r="F398" s="6" t="s">
        <v>3229</v>
      </c>
      <c r="G398" s="8">
        <v>0.21190000000000001</v>
      </c>
      <c r="H398" s="8">
        <v>10.86495</v>
      </c>
      <c r="I398" s="6" t="s">
        <v>2475</v>
      </c>
      <c r="J398" s="6" t="s">
        <v>2459</v>
      </c>
      <c r="K398" s="6" t="s">
        <v>2460</v>
      </c>
      <c r="L398" s="6"/>
      <c r="M398" s="6"/>
      <c r="N398" s="6" t="s">
        <v>3268</v>
      </c>
      <c r="O398" s="6" t="s">
        <v>7</v>
      </c>
      <c r="P398" s="6" t="str">
        <f>VLOOKUP(Tableau1[[#This Row],[SITES NAMES]],[1]Feuil1!$1:$1048576,8,FALSE)</f>
        <v>OK</v>
      </c>
      <c r="Q398" s="6" t="str">
        <f>VLOOKUP(Tableau1[[#This Row],[SITES NAMES]],[1]Feuil1!$1:$1048576,9,FALSE)</f>
        <v>NO</v>
      </c>
      <c r="R398" s="6" t="str">
        <f>VLOOKUP(Tableau1[[#This Row],[SITES NAMES]],[1]Feuil1!$1:$1048576,10,FALSE)</f>
        <v>NO</v>
      </c>
      <c r="S398" s="6" t="s">
        <v>2469</v>
      </c>
      <c r="T398" s="6" t="s">
        <v>2470</v>
      </c>
      <c r="U398" s="6" t="s">
        <v>2480</v>
      </c>
      <c r="V398" s="6" t="s">
        <v>2498</v>
      </c>
      <c r="W398" s="6" t="s">
        <v>2476</v>
      </c>
      <c r="X398" s="8" t="s">
        <v>2663</v>
      </c>
      <c r="Y398" s="6" t="s">
        <v>3240</v>
      </c>
      <c r="Z398" s="6" t="s">
        <v>3255</v>
      </c>
      <c r="AA398" s="37" t="s">
        <v>3704</v>
      </c>
      <c r="AB398" s="39" t="s">
        <v>3705</v>
      </c>
      <c r="AC398" s="37" t="s">
        <v>3706</v>
      </c>
      <c r="AD398" s="37" t="s">
        <v>3707</v>
      </c>
      <c r="AE398" s="37" t="s">
        <v>3708</v>
      </c>
      <c r="AF398" s="37" t="s">
        <v>3709</v>
      </c>
      <c r="AG398" s="46" t="s">
        <v>3710</v>
      </c>
      <c r="AH398" s="37" t="s">
        <v>3711</v>
      </c>
    </row>
    <row r="399" spans="1:34" ht="14.45" hidden="1" customHeight="1" x14ac:dyDescent="0.3">
      <c r="A399" s="6" t="s">
        <v>432</v>
      </c>
      <c r="B399" s="7">
        <v>45185</v>
      </c>
      <c r="C399" s="6" t="s">
        <v>431</v>
      </c>
      <c r="D399" s="6" t="s">
        <v>395</v>
      </c>
      <c r="E399" s="6" t="s">
        <v>396</v>
      </c>
      <c r="F399" s="6" t="s">
        <v>3229</v>
      </c>
      <c r="G399" s="8">
        <v>0.19801199999999999</v>
      </c>
      <c r="H399" s="8">
        <v>10.834617</v>
      </c>
      <c r="I399" s="6" t="s">
        <v>2479</v>
      </c>
      <c r="J399" s="6" t="s">
        <v>2459</v>
      </c>
      <c r="K399" s="6" t="s">
        <v>2468</v>
      </c>
      <c r="L399" s="6" t="s">
        <v>3402</v>
      </c>
      <c r="M399" s="6"/>
      <c r="N399" s="6" t="s">
        <v>2468</v>
      </c>
      <c r="O399" s="6" t="s">
        <v>7</v>
      </c>
      <c r="P399" s="6" t="str">
        <f>VLOOKUP(Tableau1[[#This Row],[SITES NAMES]],[1]Feuil1!$1:$1048576,8,FALSE)</f>
        <v>OK</v>
      </c>
      <c r="Q399" s="6" t="str">
        <f>VLOOKUP(Tableau1[[#This Row],[SITES NAMES]],[1]Feuil1!$1:$1048576,9,FALSE)</f>
        <v>NO</v>
      </c>
      <c r="R399" s="6" t="str">
        <f>VLOOKUP(Tableau1[[#This Row],[SITES NAMES]],[1]Feuil1!$1:$1048576,10,FALSE)</f>
        <v>NO</v>
      </c>
      <c r="S399" s="6" t="s">
        <v>2461</v>
      </c>
      <c r="T399" s="6" t="s">
        <v>2462</v>
      </c>
      <c r="U399" s="6" t="s">
        <v>2463</v>
      </c>
      <c r="V399" s="6" t="s">
        <v>2478</v>
      </c>
      <c r="W399" s="6" t="s">
        <v>2476</v>
      </c>
      <c r="X399" s="8"/>
      <c r="Y399" s="6" t="s">
        <v>3240</v>
      </c>
      <c r="Z399" s="6" t="s">
        <v>3255</v>
      </c>
      <c r="AA399" s="37" t="s">
        <v>3704</v>
      </c>
      <c r="AB399" s="39" t="s">
        <v>3705</v>
      </c>
      <c r="AC399" s="37" t="s">
        <v>3706</v>
      </c>
      <c r="AD399" s="37" t="s">
        <v>3707</v>
      </c>
      <c r="AE399" s="37" t="s">
        <v>3708</v>
      </c>
      <c r="AF399" s="37" t="s">
        <v>3709</v>
      </c>
      <c r="AG399" s="46" t="s">
        <v>3710</v>
      </c>
      <c r="AH399" s="37" t="s">
        <v>3711</v>
      </c>
    </row>
    <row r="400" spans="1:34" ht="14.45" hidden="1" customHeight="1" x14ac:dyDescent="0.3">
      <c r="A400" s="6" t="s">
        <v>520</v>
      </c>
      <c r="B400" s="7">
        <v>43867</v>
      </c>
      <c r="C400" s="6" t="s">
        <v>519</v>
      </c>
      <c r="D400" s="6" t="s">
        <v>395</v>
      </c>
      <c r="E400" s="6" t="s">
        <v>396</v>
      </c>
      <c r="F400" s="6" t="s">
        <v>3229</v>
      </c>
      <c r="G400" s="8">
        <v>0.1835</v>
      </c>
      <c r="H400" s="8">
        <v>10.8695556</v>
      </c>
      <c r="I400" s="6" t="s">
        <v>2475</v>
      </c>
      <c r="J400" s="6" t="s">
        <v>2459</v>
      </c>
      <c r="K400" s="6" t="s">
        <v>2460</v>
      </c>
      <c r="L400" s="6"/>
      <c r="M400" s="6"/>
      <c r="N400" s="6" t="s">
        <v>3268</v>
      </c>
      <c r="O400" s="6" t="s">
        <v>7</v>
      </c>
      <c r="P400" s="6" t="str">
        <f>VLOOKUP(Tableau1[[#This Row],[SITES NAMES]],[1]Feuil1!$1:$1048576,8,FALSE)</f>
        <v>OK</v>
      </c>
      <c r="Q400" s="6" t="str">
        <f>VLOOKUP(Tableau1[[#This Row],[SITES NAMES]],[1]Feuil1!$1:$1048576,9,FALSE)</f>
        <v>NO</v>
      </c>
      <c r="R400" s="6" t="str">
        <f>VLOOKUP(Tableau1[[#This Row],[SITES NAMES]],[1]Feuil1!$1:$1048576,10,FALSE)</f>
        <v>NO</v>
      </c>
      <c r="S400" s="6" t="s">
        <v>2461</v>
      </c>
      <c r="T400" s="6" t="s">
        <v>2470</v>
      </c>
      <c r="U400" s="6" t="s">
        <v>2463</v>
      </c>
      <c r="V400" s="6" t="s">
        <v>2478</v>
      </c>
      <c r="W400" s="6" t="s">
        <v>2476</v>
      </c>
      <c r="X400" s="8" t="s">
        <v>2664</v>
      </c>
      <c r="Y400" s="6" t="s">
        <v>3240</v>
      </c>
      <c r="Z400" s="6" t="s">
        <v>3255</v>
      </c>
      <c r="AA400" s="37" t="s">
        <v>3704</v>
      </c>
      <c r="AB400" s="39" t="s">
        <v>3705</v>
      </c>
      <c r="AC400" s="37" t="s">
        <v>3706</v>
      </c>
      <c r="AD400" s="37" t="s">
        <v>3707</v>
      </c>
      <c r="AE400" s="37" t="s">
        <v>3708</v>
      </c>
      <c r="AF400" s="37" t="s">
        <v>3709</v>
      </c>
      <c r="AG400" s="46" t="s">
        <v>3710</v>
      </c>
      <c r="AH400" s="37" t="s">
        <v>3711</v>
      </c>
    </row>
    <row r="401" spans="1:34" ht="14.45" hidden="1" customHeight="1" x14ac:dyDescent="0.3">
      <c r="A401" s="6" t="s">
        <v>481</v>
      </c>
      <c r="B401" s="7">
        <v>46022</v>
      </c>
      <c r="C401" s="6" t="s">
        <v>477</v>
      </c>
      <c r="D401" s="6" t="s">
        <v>395</v>
      </c>
      <c r="E401" s="6" t="s">
        <v>396</v>
      </c>
      <c r="F401" s="6" t="s">
        <v>3229</v>
      </c>
      <c r="G401" s="8">
        <v>0.20699200000000001</v>
      </c>
      <c r="H401" s="8">
        <v>10.85544</v>
      </c>
      <c r="I401" s="16" t="s">
        <v>2497</v>
      </c>
      <c r="J401" s="6" t="s">
        <v>2459</v>
      </c>
      <c r="K401" s="6" t="s">
        <v>2468</v>
      </c>
      <c r="L401" s="6" t="s">
        <v>3405</v>
      </c>
      <c r="M401" s="6"/>
      <c r="N401" s="6" t="s">
        <v>2468</v>
      </c>
      <c r="O401" s="6" t="s">
        <v>7</v>
      </c>
      <c r="P401" s="6"/>
      <c r="Q401" s="6"/>
      <c r="R401" s="6"/>
      <c r="S401" s="6"/>
      <c r="T401" s="6"/>
      <c r="U401" s="6"/>
      <c r="V401" s="6"/>
      <c r="W401" s="6"/>
      <c r="X401" s="8"/>
      <c r="Y401" s="6" t="s">
        <v>3240</v>
      </c>
      <c r="Z401" s="6" t="s">
        <v>3255</v>
      </c>
      <c r="AA401" s="37" t="s">
        <v>3704</v>
      </c>
      <c r="AB401" s="39" t="s">
        <v>3705</v>
      </c>
      <c r="AC401" s="37" t="s">
        <v>3706</v>
      </c>
      <c r="AD401" s="37" t="s">
        <v>3707</v>
      </c>
      <c r="AE401" s="37" t="s">
        <v>3708</v>
      </c>
      <c r="AF401" s="37" t="s">
        <v>3709</v>
      </c>
      <c r="AG401" s="46" t="s">
        <v>3710</v>
      </c>
      <c r="AH401" s="37" t="s">
        <v>3711</v>
      </c>
    </row>
    <row r="402" spans="1:34" ht="14.45" hidden="1" customHeight="1" x14ac:dyDescent="0.3">
      <c r="A402" s="6" t="s">
        <v>522</v>
      </c>
      <c r="B402" s="7">
        <v>40148</v>
      </c>
      <c r="C402" s="6" t="s">
        <v>521</v>
      </c>
      <c r="D402" s="6" t="s">
        <v>395</v>
      </c>
      <c r="E402" s="6" t="s">
        <v>396</v>
      </c>
      <c r="F402" s="18" t="s">
        <v>3230</v>
      </c>
      <c r="G402" s="8">
        <v>0.19694400000000001</v>
      </c>
      <c r="H402" s="8">
        <v>10.875556</v>
      </c>
      <c r="I402" s="6" t="s">
        <v>2475</v>
      </c>
      <c r="J402" s="6" t="s">
        <v>2459</v>
      </c>
      <c r="K402" s="6" t="s">
        <v>2460</v>
      </c>
      <c r="L402" s="6"/>
      <c r="M402" s="6"/>
      <c r="N402" s="6" t="s">
        <v>3268</v>
      </c>
      <c r="O402" s="6" t="s">
        <v>7</v>
      </c>
      <c r="P402" s="6" t="str">
        <f>VLOOKUP(Tableau1[[#This Row],[SITES NAMES]],[1]Feuil1!$1:$1048576,8,FALSE)</f>
        <v>OK</v>
      </c>
      <c r="Q402" s="6" t="str">
        <f>VLOOKUP(Tableau1[[#This Row],[SITES NAMES]],[1]Feuil1!$1:$1048576,9,FALSE)</f>
        <v>NO</v>
      </c>
      <c r="R402" s="6" t="str">
        <f>VLOOKUP(Tableau1[[#This Row],[SITES NAMES]],[1]Feuil1!$1:$1048576,10,FALSE)</f>
        <v>NO</v>
      </c>
      <c r="S402" s="6" t="s">
        <v>2461</v>
      </c>
      <c r="T402" s="6" t="s">
        <v>2462</v>
      </c>
      <c r="U402" s="6" t="s">
        <v>2463</v>
      </c>
      <c r="V402" s="6" t="s">
        <v>2478</v>
      </c>
      <c r="W402" s="6" t="s">
        <v>2476</v>
      </c>
      <c r="X402" s="8" t="s">
        <v>2665</v>
      </c>
      <c r="Y402" s="6" t="s">
        <v>3240</v>
      </c>
      <c r="Z402" s="6" t="s">
        <v>3255</v>
      </c>
      <c r="AA402" s="37" t="s">
        <v>3704</v>
      </c>
      <c r="AB402" s="39" t="s">
        <v>3705</v>
      </c>
      <c r="AC402" s="37" t="s">
        <v>3706</v>
      </c>
      <c r="AD402" s="37" t="s">
        <v>3707</v>
      </c>
      <c r="AE402" s="37" t="s">
        <v>3708</v>
      </c>
      <c r="AF402" s="37" t="s">
        <v>3709</v>
      </c>
      <c r="AG402" s="46" t="s">
        <v>3710</v>
      </c>
      <c r="AH402" s="37" t="s">
        <v>3711</v>
      </c>
    </row>
    <row r="403" spans="1:34" ht="14.45" hidden="1" customHeight="1" x14ac:dyDescent="0.3">
      <c r="A403" s="6" t="s">
        <v>478</v>
      </c>
      <c r="B403" s="7">
        <v>45179</v>
      </c>
      <c r="C403" s="6" t="s">
        <v>477</v>
      </c>
      <c r="D403" s="6" t="s">
        <v>395</v>
      </c>
      <c r="E403" s="6" t="s">
        <v>396</v>
      </c>
      <c r="F403" s="6" t="s">
        <v>3229</v>
      </c>
      <c r="G403" s="8">
        <v>0.19359999999999999</v>
      </c>
      <c r="H403" s="8">
        <v>10.83947</v>
      </c>
      <c r="I403" s="6" t="s">
        <v>2479</v>
      </c>
      <c r="J403" s="6" t="s">
        <v>2459</v>
      </c>
      <c r="K403" s="6" t="s">
        <v>2468</v>
      </c>
      <c r="L403" s="6" t="s">
        <v>396</v>
      </c>
      <c r="M403" s="6"/>
      <c r="N403" s="6" t="s">
        <v>2468</v>
      </c>
      <c r="O403" s="6" t="s">
        <v>7</v>
      </c>
      <c r="P403" s="6" t="str">
        <f>VLOOKUP(Tableau1[[#This Row],[SITES NAMES]],[1]Feuil1!$1:$1048576,8,FALSE)</f>
        <v>NOK</v>
      </c>
      <c r="Q403" s="6" t="str">
        <f>VLOOKUP(Tableau1[[#This Row],[SITES NAMES]],[1]Feuil1!$1:$1048576,9,FALSE)</f>
        <v>NO</v>
      </c>
      <c r="R403" s="6" t="str">
        <f>VLOOKUP(Tableau1[[#This Row],[SITES NAMES]],[1]Feuil1!$1:$1048576,10,FALSE)</f>
        <v>NO</v>
      </c>
      <c r="S403" s="6" t="s">
        <v>2461</v>
      </c>
      <c r="T403" s="6" t="s">
        <v>2470</v>
      </c>
      <c r="U403" s="6" t="s">
        <v>2463</v>
      </c>
      <c r="V403" s="6" t="s">
        <v>2464</v>
      </c>
      <c r="W403" s="6" t="s">
        <v>2476</v>
      </c>
      <c r="X403" s="8"/>
      <c r="Y403" s="6" t="s">
        <v>3240</v>
      </c>
      <c r="Z403" s="6" t="s">
        <v>3255</v>
      </c>
      <c r="AA403" s="37" t="s">
        <v>3704</v>
      </c>
      <c r="AB403" s="39" t="s">
        <v>3705</v>
      </c>
      <c r="AC403" s="37" t="s">
        <v>3706</v>
      </c>
      <c r="AD403" s="37" t="s">
        <v>3707</v>
      </c>
      <c r="AE403" s="37" t="s">
        <v>3708</v>
      </c>
      <c r="AF403" s="37" t="s">
        <v>3709</v>
      </c>
      <c r="AG403" s="46" t="s">
        <v>3710</v>
      </c>
      <c r="AH403" s="37" t="s">
        <v>3711</v>
      </c>
    </row>
    <row r="404" spans="1:34" ht="14.45" hidden="1" customHeight="1" x14ac:dyDescent="0.3">
      <c r="A404" s="6" t="s">
        <v>434</v>
      </c>
      <c r="B404" s="7">
        <v>45097</v>
      </c>
      <c r="C404" s="6" t="s">
        <v>433</v>
      </c>
      <c r="D404" s="6" t="s">
        <v>395</v>
      </c>
      <c r="E404" s="6" t="s">
        <v>396</v>
      </c>
      <c r="F404" s="6" t="s">
        <v>3229</v>
      </c>
      <c r="G404" s="8">
        <v>0.209693518</v>
      </c>
      <c r="H404" s="8">
        <v>10.879214548</v>
      </c>
      <c r="I404" s="6" t="s">
        <v>2479</v>
      </c>
      <c r="J404" s="6" t="s">
        <v>2459</v>
      </c>
      <c r="K404" s="6" t="s">
        <v>2460</v>
      </c>
      <c r="L404" s="6" t="s">
        <v>3404</v>
      </c>
      <c r="M404" s="6"/>
      <c r="N404" s="6" t="s">
        <v>3268</v>
      </c>
      <c r="O404" s="6" t="s">
        <v>7</v>
      </c>
      <c r="P404" s="6" t="str">
        <f>VLOOKUP(Tableau1[[#This Row],[SITES NAMES]],[1]Feuil1!$1:$1048576,8,FALSE)</f>
        <v>OK</v>
      </c>
      <c r="Q404" s="6" t="str">
        <f>VLOOKUP(Tableau1[[#This Row],[SITES NAMES]],[1]Feuil1!$1:$1048576,9,FALSE)</f>
        <v>NO</v>
      </c>
      <c r="R404" s="6" t="str">
        <f>VLOOKUP(Tableau1[[#This Row],[SITES NAMES]],[1]Feuil1!$1:$1048576,10,FALSE)</f>
        <v>NO</v>
      </c>
      <c r="S404" s="6" t="s">
        <v>2469</v>
      </c>
      <c r="T404" s="6" t="s">
        <v>2470</v>
      </c>
      <c r="U404" s="6" t="s">
        <v>2480</v>
      </c>
      <c r="V404" s="6" t="s">
        <v>2478</v>
      </c>
      <c r="W404" s="6" t="s">
        <v>2465</v>
      </c>
      <c r="X404" s="8">
        <v>70997369</v>
      </c>
      <c r="Y404" s="6" t="s">
        <v>3240</v>
      </c>
      <c r="Z404" s="6" t="s">
        <v>3255</v>
      </c>
      <c r="AA404" s="37" t="s">
        <v>3704</v>
      </c>
      <c r="AB404" s="39" t="s">
        <v>3705</v>
      </c>
      <c r="AC404" s="37" t="s">
        <v>3706</v>
      </c>
      <c r="AD404" s="37" t="s">
        <v>3707</v>
      </c>
      <c r="AE404" s="37" t="s">
        <v>3708</v>
      </c>
      <c r="AF404" s="37" t="s">
        <v>3709</v>
      </c>
      <c r="AG404" s="46" t="s">
        <v>3710</v>
      </c>
      <c r="AH404" s="37" t="s">
        <v>3711</v>
      </c>
    </row>
    <row r="405" spans="1:34" ht="14.45" hidden="1" customHeight="1" x14ac:dyDescent="0.3">
      <c r="A405" s="6" t="s">
        <v>524</v>
      </c>
      <c r="B405" s="7">
        <v>44548</v>
      </c>
      <c r="C405" s="6" t="s">
        <v>523</v>
      </c>
      <c r="D405" s="6" t="s">
        <v>395</v>
      </c>
      <c r="E405" s="6" t="s">
        <v>396</v>
      </c>
      <c r="F405" s="6" t="s">
        <v>3229</v>
      </c>
      <c r="G405" s="8">
        <v>0.19628300000000001</v>
      </c>
      <c r="H405" s="8">
        <v>10.886222</v>
      </c>
      <c r="I405" s="6" t="s">
        <v>2475</v>
      </c>
      <c r="J405" s="6" t="s">
        <v>2459</v>
      </c>
      <c r="K405" s="6" t="s">
        <v>2460</v>
      </c>
      <c r="L405" s="6"/>
      <c r="M405" s="6"/>
      <c r="N405" s="6" t="s">
        <v>3268</v>
      </c>
      <c r="O405" s="6" t="s">
        <v>7</v>
      </c>
      <c r="P405" s="6" t="str">
        <f>VLOOKUP(Tableau1[[#This Row],[SITES NAMES]],[1]Feuil1!$1:$1048576,8,FALSE)</f>
        <v>OK</v>
      </c>
      <c r="Q405" s="6" t="str">
        <f>VLOOKUP(Tableau1[[#This Row],[SITES NAMES]],[1]Feuil1!$1:$1048576,9,FALSE)</f>
        <v>NO</v>
      </c>
      <c r="R405" s="6" t="str">
        <f>VLOOKUP(Tableau1[[#This Row],[SITES NAMES]],[1]Feuil1!$1:$1048576,10,FALSE)</f>
        <v>YES</v>
      </c>
      <c r="S405" s="6" t="s">
        <v>2461</v>
      </c>
      <c r="T405" s="6" t="s">
        <v>2462</v>
      </c>
      <c r="U405" s="6" t="s">
        <v>2463</v>
      </c>
      <c r="V405" s="6" t="s">
        <v>2478</v>
      </c>
      <c r="W405" s="6" t="s">
        <v>2465</v>
      </c>
      <c r="X405" s="8"/>
      <c r="Y405" s="6" t="s">
        <v>3240</v>
      </c>
      <c r="Z405" s="6" t="s">
        <v>3255</v>
      </c>
      <c r="AA405" s="37" t="s">
        <v>3704</v>
      </c>
      <c r="AB405" s="39" t="s">
        <v>3705</v>
      </c>
      <c r="AC405" s="37" t="s">
        <v>3706</v>
      </c>
      <c r="AD405" s="37" t="s">
        <v>3707</v>
      </c>
      <c r="AE405" s="37" t="s">
        <v>3708</v>
      </c>
      <c r="AF405" s="37" t="s">
        <v>3709</v>
      </c>
      <c r="AG405" s="46" t="s">
        <v>3710</v>
      </c>
      <c r="AH405" s="37" t="s">
        <v>3711</v>
      </c>
    </row>
    <row r="406" spans="1:34" ht="14.45" hidden="1" customHeight="1" x14ac:dyDescent="0.3">
      <c r="A406" s="6" t="s">
        <v>562</v>
      </c>
      <c r="B406" s="7">
        <v>46022</v>
      </c>
      <c r="C406" s="6" t="s">
        <v>561</v>
      </c>
      <c r="D406" s="6" t="s">
        <v>395</v>
      </c>
      <c r="E406" s="6" t="s">
        <v>396</v>
      </c>
      <c r="F406" s="6" t="s">
        <v>3229</v>
      </c>
      <c r="G406" s="8"/>
      <c r="H406" s="8"/>
      <c r="I406" s="6" t="e">
        <v>#N/A</v>
      </c>
      <c r="J406" s="6" t="s">
        <v>2459</v>
      </c>
      <c r="K406" s="6" t="s">
        <v>2460</v>
      </c>
      <c r="L406" s="6"/>
      <c r="M406" s="6"/>
      <c r="N406" s="6" t="s">
        <v>3268</v>
      </c>
      <c r="O406" s="6" t="s">
        <v>7</v>
      </c>
      <c r="P406" s="6"/>
      <c r="Q406" s="6"/>
      <c r="R406" s="6"/>
      <c r="S406" s="6"/>
      <c r="T406" s="6"/>
      <c r="U406" s="6"/>
      <c r="V406" s="6"/>
      <c r="W406" s="6"/>
      <c r="X406" s="8"/>
      <c r="Y406" s="6" t="s">
        <v>3240</v>
      </c>
      <c r="Z406" s="6" t="s">
        <v>3255</v>
      </c>
      <c r="AA406" s="37" t="s">
        <v>3704</v>
      </c>
      <c r="AB406" s="39" t="s">
        <v>3705</v>
      </c>
      <c r="AC406" s="37" t="s">
        <v>3706</v>
      </c>
      <c r="AD406" s="37" t="s">
        <v>3707</v>
      </c>
      <c r="AE406" s="37" t="s">
        <v>3708</v>
      </c>
      <c r="AF406" s="37" t="s">
        <v>3709</v>
      </c>
      <c r="AG406" s="46" t="s">
        <v>3710</v>
      </c>
      <c r="AH406" s="37" t="s">
        <v>3711</v>
      </c>
    </row>
    <row r="407" spans="1:34" ht="14.45" hidden="1" customHeight="1" x14ac:dyDescent="0.3">
      <c r="A407" s="6" t="s">
        <v>526</v>
      </c>
      <c r="B407" s="7">
        <v>45185</v>
      </c>
      <c r="C407" s="6" t="s">
        <v>525</v>
      </c>
      <c r="D407" s="6" t="s">
        <v>395</v>
      </c>
      <c r="E407" s="6" t="s">
        <v>396</v>
      </c>
      <c r="F407" s="6" t="s">
        <v>3229</v>
      </c>
      <c r="G407" s="8">
        <v>0.191277</v>
      </c>
      <c r="H407" s="8">
        <v>10.856244999999999</v>
      </c>
      <c r="I407" s="14" t="s">
        <v>2475</v>
      </c>
      <c r="J407" s="6" t="s">
        <v>2459</v>
      </c>
      <c r="K407" s="6" t="s">
        <v>2468</v>
      </c>
      <c r="L407" s="6" t="s">
        <v>3403</v>
      </c>
      <c r="M407" s="6"/>
      <c r="N407" s="6" t="s">
        <v>2468</v>
      </c>
      <c r="O407" s="6" t="s">
        <v>7</v>
      </c>
      <c r="P407" s="6" t="str">
        <f>VLOOKUP(Tableau1[[#This Row],[SITES NAMES]],[1]Feuil1!$1:$1048576,8,FALSE)</f>
        <v>OK</v>
      </c>
      <c r="Q407" s="6" t="str">
        <f>VLOOKUP(Tableau1[[#This Row],[SITES NAMES]],[1]Feuil1!$1:$1048576,9,FALSE)</f>
        <v>NO</v>
      </c>
      <c r="R407" s="6" t="str">
        <f>VLOOKUP(Tableau1[[#This Row],[SITES NAMES]],[1]Feuil1!$1:$1048576,10,FALSE)</f>
        <v>NO</v>
      </c>
      <c r="S407" s="6" t="s">
        <v>2461</v>
      </c>
      <c r="T407" s="6" t="s">
        <v>2470</v>
      </c>
      <c r="U407" s="6" t="s">
        <v>2463</v>
      </c>
      <c r="V407" s="6" t="s">
        <v>2464</v>
      </c>
      <c r="W407" s="6" t="s">
        <v>2465</v>
      </c>
      <c r="X407" s="8"/>
      <c r="Y407" s="6" t="s">
        <v>3240</v>
      </c>
      <c r="Z407" s="6" t="s">
        <v>3255</v>
      </c>
      <c r="AA407" s="37" t="s">
        <v>3704</v>
      </c>
      <c r="AB407" s="39" t="s">
        <v>3705</v>
      </c>
      <c r="AC407" s="37" t="s">
        <v>3706</v>
      </c>
      <c r="AD407" s="37" t="s">
        <v>3707</v>
      </c>
      <c r="AE407" s="37" t="s">
        <v>3708</v>
      </c>
      <c r="AF407" s="37" t="s">
        <v>3709</v>
      </c>
      <c r="AG407" s="46" t="s">
        <v>3710</v>
      </c>
      <c r="AH407" s="37" t="s">
        <v>3711</v>
      </c>
    </row>
    <row r="408" spans="1:34" ht="14.45" hidden="1" customHeight="1" x14ac:dyDescent="0.3">
      <c r="A408" s="6" t="s">
        <v>528</v>
      </c>
      <c r="B408" s="7">
        <v>40247</v>
      </c>
      <c r="C408" s="6" t="s">
        <v>527</v>
      </c>
      <c r="D408" s="6" t="s">
        <v>395</v>
      </c>
      <c r="E408" s="6" t="s">
        <v>396</v>
      </c>
      <c r="F408" s="6" t="s">
        <v>3229</v>
      </c>
      <c r="G408" s="8">
        <v>0.20708299999999999</v>
      </c>
      <c r="H408" s="8">
        <v>10.868399999999999</v>
      </c>
      <c r="I408" s="6" t="s">
        <v>2475</v>
      </c>
      <c r="J408" s="6" t="s">
        <v>2459</v>
      </c>
      <c r="K408" s="6" t="s">
        <v>2460</v>
      </c>
      <c r="L408" s="6"/>
      <c r="M408" s="6"/>
      <c r="N408" s="6" t="s">
        <v>3268</v>
      </c>
      <c r="O408" s="6" t="s">
        <v>7</v>
      </c>
      <c r="P408" s="6" t="str">
        <f>VLOOKUP(Tableau1[[#This Row],[SITES NAMES]],[1]Feuil1!$1:$1048576,8,FALSE)</f>
        <v>NOK</v>
      </c>
      <c r="Q408" s="6" t="str">
        <f>VLOOKUP(Tableau1[[#This Row],[SITES NAMES]],[1]Feuil1!$1:$1048576,9,FALSE)</f>
        <v>NO</v>
      </c>
      <c r="R408" s="6" t="str">
        <f>VLOOKUP(Tableau1[[#This Row],[SITES NAMES]],[1]Feuil1!$1:$1048576,10,FALSE)</f>
        <v>YES</v>
      </c>
      <c r="S408" s="6" t="s">
        <v>2461</v>
      </c>
      <c r="T408" s="6" t="s">
        <v>2462</v>
      </c>
      <c r="U408" s="6" t="s">
        <v>2463</v>
      </c>
      <c r="V408" s="6" t="s">
        <v>2464</v>
      </c>
      <c r="W408" s="6" t="s">
        <v>2476</v>
      </c>
      <c r="X408" s="8" t="s">
        <v>2666</v>
      </c>
      <c r="Y408" s="6" t="s">
        <v>3240</v>
      </c>
      <c r="Z408" s="6" t="s">
        <v>3255</v>
      </c>
      <c r="AA408" s="37" t="s">
        <v>3704</v>
      </c>
      <c r="AB408" s="39" t="s">
        <v>3705</v>
      </c>
      <c r="AC408" s="37" t="s">
        <v>3706</v>
      </c>
      <c r="AD408" s="37" t="s">
        <v>3707</v>
      </c>
      <c r="AE408" s="37" t="s">
        <v>3708</v>
      </c>
      <c r="AF408" s="37" t="s">
        <v>3709</v>
      </c>
      <c r="AG408" s="46" t="s">
        <v>3710</v>
      </c>
      <c r="AH408" s="37" t="s">
        <v>3711</v>
      </c>
    </row>
    <row r="409" spans="1:34" ht="14.45" hidden="1" customHeight="1" x14ac:dyDescent="0.3">
      <c r="A409" s="6" t="s">
        <v>204</v>
      </c>
      <c r="B409" s="7">
        <v>44708</v>
      </c>
      <c r="C409" s="6" t="s">
        <v>203</v>
      </c>
      <c r="D409" s="6" t="s">
        <v>132</v>
      </c>
      <c r="E409" s="6" t="s">
        <v>133</v>
      </c>
      <c r="F409" s="6" t="s">
        <v>3229</v>
      </c>
      <c r="G409" s="8">
        <v>1.6077999999999999</v>
      </c>
      <c r="H409" s="8">
        <v>7.6183300000000003</v>
      </c>
      <c r="I409" s="14" t="s">
        <v>2477</v>
      </c>
      <c r="J409" s="6" t="s">
        <v>2459</v>
      </c>
      <c r="K409" s="6" t="s">
        <v>2468</v>
      </c>
      <c r="L409" s="6" t="s">
        <v>3406</v>
      </c>
      <c r="M409" s="6"/>
      <c r="N409" s="6" t="s">
        <v>2468</v>
      </c>
      <c r="O409" s="6" t="s">
        <v>40</v>
      </c>
      <c r="P409" s="6" t="str">
        <f>VLOOKUP(Tableau1[[#This Row],[SITES NAMES]],[1]Feuil1!$1:$1048576,8,FALSE)</f>
        <v>OK</v>
      </c>
      <c r="Q409" s="6" t="str">
        <f>VLOOKUP(Tableau1[[#This Row],[SITES NAMES]],[1]Feuil1!$1:$1048576,9,FALSE)</f>
        <v>NO</v>
      </c>
      <c r="R409" s="6" t="str">
        <f>VLOOKUP(Tableau1[[#This Row],[SITES NAMES]],[1]Feuil1!$1:$1048576,10,FALSE)</f>
        <v>YES</v>
      </c>
      <c r="S409" s="6" t="s">
        <v>2461</v>
      </c>
      <c r="T409" s="6" t="s">
        <v>2462</v>
      </c>
      <c r="U409" s="6" t="s">
        <v>2463</v>
      </c>
      <c r="V409" s="6" t="s">
        <v>2472</v>
      </c>
      <c r="W409" s="6" t="s">
        <v>2465</v>
      </c>
      <c r="X409" s="8" t="s">
        <v>2545</v>
      </c>
      <c r="Y409" s="6" t="s">
        <v>3238</v>
      </c>
      <c r="Z409" s="6" t="s">
        <v>3258</v>
      </c>
      <c r="AA409" s="37" t="s">
        <v>3643</v>
      </c>
      <c r="AB409" s="39" t="s">
        <v>3644</v>
      </c>
      <c r="AC409" s="37" t="s">
        <v>3645</v>
      </c>
      <c r="AD409" s="39" t="s">
        <v>3646</v>
      </c>
      <c r="AE409" s="39" t="s">
        <v>3647</v>
      </c>
      <c r="AF409" s="39" t="s">
        <v>3648</v>
      </c>
      <c r="AG409" s="37" t="s">
        <v>3649</v>
      </c>
      <c r="AH409" s="37" t="s">
        <v>3650</v>
      </c>
    </row>
    <row r="410" spans="1:34" ht="14.45" hidden="1" customHeight="1" x14ac:dyDescent="0.3">
      <c r="A410" s="6" t="s">
        <v>206</v>
      </c>
      <c r="B410" s="7">
        <v>40247</v>
      </c>
      <c r="C410" s="6" t="s">
        <v>205</v>
      </c>
      <c r="D410" s="6" t="s">
        <v>132</v>
      </c>
      <c r="E410" s="6" t="s">
        <v>133</v>
      </c>
      <c r="F410" s="6" t="s">
        <v>3229</v>
      </c>
      <c r="G410" s="8">
        <v>1.1613370000000001</v>
      </c>
      <c r="H410" s="8">
        <v>7.4336200000000003</v>
      </c>
      <c r="I410" s="14" t="s">
        <v>2486</v>
      </c>
      <c r="J410" s="6" t="s">
        <v>2459</v>
      </c>
      <c r="K410" s="6" t="s">
        <v>2460</v>
      </c>
      <c r="L410" s="6"/>
      <c r="M410" s="6"/>
      <c r="N410" s="6" t="s">
        <v>3268</v>
      </c>
      <c r="O410" s="6" t="s">
        <v>7</v>
      </c>
      <c r="P410" s="6" t="str">
        <f>VLOOKUP(Tableau1[[#This Row],[SITES NAMES]],[1]Feuil1!$1:$1048576,8,FALSE)</f>
        <v>NOK</v>
      </c>
      <c r="Q410" s="6" t="str">
        <f>VLOOKUP(Tableau1[[#This Row],[SITES NAMES]],[1]Feuil1!$1:$1048576,9,FALSE)</f>
        <v>NO</v>
      </c>
      <c r="R410" s="6" t="str">
        <f>VLOOKUP(Tableau1[[#This Row],[SITES NAMES]],[1]Feuil1!$1:$1048576,10,FALSE)</f>
        <v>NO</v>
      </c>
      <c r="S410" s="6" t="s">
        <v>2461</v>
      </c>
      <c r="T410" s="6" t="s">
        <v>2462</v>
      </c>
      <c r="U410" s="6" t="s">
        <v>2463</v>
      </c>
      <c r="V410" s="6" t="s">
        <v>2464</v>
      </c>
      <c r="W410" s="6" t="s">
        <v>2465</v>
      </c>
      <c r="X410" s="8" t="s">
        <v>2546</v>
      </c>
      <c r="Y410" s="6" t="s">
        <v>3238</v>
      </c>
      <c r="Z410" s="6" t="s">
        <v>3258</v>
      </c>
      <c r="AA410" s="37" t="s">
        <v>3643</v>
      </c>
      <c r="AB410" s="39" t="s">
        <v>3644</v>
      </c>
      <c r="AC410" s="37" t="s">
        <v>3645</v>
      </c>
      <c r="AD410" s="39" t="s">
        <v>3646</v>
      </c>
      <c r="AE410" s="39" t="s">
        <v>3647</v>
      </c>
      <c r="AF410" s="39" t="s">
        <v>3648</v>
      </c>
      <c r="AG410" s="37" t="s">
        <v>3649</v>
      </c>
      <c r="AH410" s="37" t="s">
        <v>3650</v>
      </c>
    </row>
    <row r="411" spans="1:34" ht="14.45" hidden="1" customHeight="1" x14ac:dyDescent="0.3">
      <c r="A411" s="6" t="s">
        <v>2379</v>
      </c>
      <c r="B411" s="7">
        <v>40148</v>
      </c>
      <c r="C411" s="6" t="s">
        <v>2378</v>
      </c>
      <c r="D411" s="6" t="s">
        <v>5</v>
      </c>
      <c r="E411" s="6" t="s">
        <v>2333</v>
      </c>
      <c r="F411" s="6" t="s">
        <v>3229</v>
      </c>
      <c r="G411" s="8">
        <v>1.206251</v>
      </c>
      <c r="H411" s="8">
        <v>6.3970589999999996</v>
      </c>
      <c r="I411" s="6" t="s">
        <v>2497</v>
      </c>
      <c r="J411" s="6" t="s">
        <v>2459</v>
      </c>
      <c r="K411" s="6" t="s">
        <v>2460</v>
      </c>
      <c r="L411" s="6"/>
      <c r="M411" s="6"/>
      <c r="N411" s="6" t="s">
        <v>3268</v>
      </c>
      <c r="O411" s="6" t="s">
        <v>7</v>
      </c>
      <c r="P411" s="6" t="str">
        <f>VLOOKUP(Tableau1[[#This Row],[SITES NAMES]],[1]Feuil1!$1:$1048576,8,FALSE)</f>
        <v>OK</v>
      </c>
      <c r="Q411" s="6" t="str">
        <f>VLOOKUP(Tableau1[[#This Row],[SITES NAMES]],[1]Feuil1!$1:$1048576,9,FALSE)</f>
        <v>NO</v>
      </c>
      <c r="R411" s="6" t="str">
        <f>VLOOKUP(Tableau1[[#This Row],[SITES NAMES]],[1]Feuil1!$1:$1048576,10,FALSE)</f>
        <v>NO</v>
      </c>
      <c r="S411" s="6" t="s">
        <v>2461</v>
      </c>
      <c r="T411" s="6" t="s">
        <v>2462</v>
      </c>
      <c r="U411" s="6" t="s">
        <v>2463</v>
      </c>
      <c r="V411" s="6" t="s">
        <v>2478</v>
      </c>
      <c r="W411" s="6" t="s">
        <v>2465</v>
      </c>
      <c r="X411" s="8" t="s">
        <v>3212</v>
      </c>
      <c r="Y411" s="6" t="s">
        <v>3241</v>
      </c>
      <c r="Z411" s="6"/>
      <c r="AA411" s="37"/>
      <c r="AB411" s="38" t="s">
        <v>3627</v>
      </c>
      <c r="AC411" s="37" t="s">
        <v>3640</v>
      </c>
      <c r="AD411" s="39" t="s">
        <v>3641</v>
      </c>
      <c r="AE411" s="37"/>
      <c r="AF411" s="39" t="s">
        <v>3641</v>
      </c>
      <c r="AG411" s="37"/>
      <c r="AH411" s="37" t="s">
        <v>3642</v>
      </c>
    </row>
    <row r="412" spans="1:34" ht="14.45" hidden="1" customHeight="1" x14ac:dyDescent="0.3">
      <c r="A412" s="6" t="s">
        <v>2381</v>
      </c>
      <c r="B412" s="7">
        <v>0</v>
      </c>
      <c r="C412" s="6" t="s">
        <v>2380</v>
      </c>
      <c r="D412" s="6" t="s">
        <v>5</v>
      </c>
      <c r="E412" s="6" t="s">
        <v>2333</v>
      </c>
      <c r="F412" s="6" t="s">
        <v>3229</v>
      </c>
      <c r="G412" s="8">
        <v>1.20394</v>
      </c>
      <c r="H412" s="8">
        <v>6.3785030000000003</v>
      </c>
      <c r="I412" s="6" t="s">
        <v>2497</v>
      </c>
      <c r="J412" s="6" t="s">
        <v>2459</v>
      </c>
      <c r="K412" s="6" t="s">
        <v>2460</v>
      </c>
      <c r="L412" s="6"/>
      <c r="M412" s="6"/>
      <c r="N412" s="6" t="s">
        <v>3268</v>
      </c>
      <c r="O412" s="6" t="s">
        <v>7</v>
      </c>
      <c r="P412" s="6" t="str">
        <f>VLOOKUP(Tableau1[[#This Row],[SITES NAMES]],[1]Feuil1!$1:$1048576,8,FALSE)</f>
        <v>OK</v>
      </c>
      <c r="Q412" s="6" t="str">
        <f>VLOOKUP(Tableau1[[#This Row],[SITES NAMES]],[1]Feuil1!$1:$1048576,9,FALSE)</f>
        <v>NO</v>
      </c>
      <c r="R412" s="6" t="str">
        <f>VLOOKUP(Tableau1[[#This Row],[SITES NAMES]],[1]Feuil1!$1:$1048576,10,FALSE)</f>
        <v>NO</v>
      </c>
      <c r="S412" s="6" t="s">
        <v>2469</v>
      </c>
      <c r="T412" s="6" t="s">
        <v>2470</v>
      </c>
      <c r="U412" s="6" t="s">
        <v>2480</v>
      </c>
      <c r="V412" s="6" t="s">
        <v>2464</v>
      </c>
      <c r="W412" s="6" t="s">
        <v>2465</v>
      </c>
      <c r="X412" s="8">
        <v>70997331</v>
      </c>
      <c r="Y412" s="6" t="s">
        <v>3241</v>
      </c>
      <c r="Z412" s="6"/>
      <c r="AA412" s="37"/>
      <c r="AB412" s="38" t="s">
        <v>3627</v>
      </c>
      <c r="AC412" s="37" t="s">
        <v>3640</v>
      </c>
      <c r="AD412" s="39" t="s">
        <v>3641</v>
      </c>
      <c r="AE412" s="37"/>
      <c r="AF412" s="39" t="s">
        <v>3641</v>
      </c>
      <c r="AG412" s="37"/>
      <c r="AH412" s="37" t="s">
        <v>3642</v>
      </c>
    </row>
    <row r="413" spans="1:34" ht="14.45" hidden="1" customHeight="1" x14ac:dyDescent="0.3">
      <c r="A413" s="6" t="s">
        <v>2383</v>
      </c>
      <c r="B413" s="7">
        <v>45113</v>
      </c>
      <c r="C413" s="6" t="s">
        <v>2382</v>
      </c>
      <c r="D413" s="6" t="s">
        <v>5</v>
      </c>
      <c r="E413" s="6" t="s">
        <v>2333</v>
      </c>
      <c r="F413" s="6" t="s">
        <v>3229</v>
      </c>
      <c r="G413" s="8">
        <v>1.1842200000000001</v>
      </c>
      <c r="H413" s="8">
        <v>6.3842489999999996</v>
      </c>
      <c r="I413" s="6" t="s">
        <v>2475</v>
      </c>
      <c r="J413" s="6" t="s">
        <v>2459</v>
      </c>
      <c r="K413" s="6" t="s">
        <v>2460</v>
      </c>
      <c r="L413" s="6" t="s">
        <v>3407</v>
      </c>
      <c r="M413" s="6"/>
      <c r="N413" s="6" t="s">
        <v>3268</v>
      </c>
      <c r="O413" s="6" t="s">
        <v>7</v>
      </c>
      <c r="P413" s="6" t="str">
        <f>VLOOKUP(Tableau1[[#This Row],[SITES NAMES]],[1]Feuil1!$1:$1048576,8,FALSE)</f>
        <v>OK</v>
      </c>
      <c r="Q413" s="6" t="str">
        <f>VLOOKUP(Tableau1[[#This Row],[SITES NAMES]],[1]Feuil1!$1:$1048576,9,FALSE)</f>
        <v>NO</v>
      </c>
      <c r="R413" s="6" t="str">
        <f>VLOOKUP(Tableau1[[#This Row],[SITES NAMES]],[1]Feuil1!$1:$1048576,10,FALSE)</f>
        <v>YES</v>
      </c>
      <c r="S413" s="6" t="s">
        <v>2461</v>
      </c>
      <c r="T413" s="6" t="s">
        <v>2462</v>
      </c>
      <c r="U413" s="6" t="s">
        <v>2463</v>
      </c>
      <c r="V413" s="6" t="s">
        <v>2464</v>
      </c>
      <c r="W413" s="6" t="s">
        <v>2465</v>
      </c>
      <c r="X413" s="8">
        <v>70997331</v>
      </c>
      <c r="Y413" s="6" t="s">
        <v>3241</v>
      </c>
      <c r="Z413" s="6"/>
      <c r="AA413" s="37"/>
      <c r="AB413" s="38" t="s">
        <v>3627</v>
      </c>
      <c r="AC413" s="37" t="s">
        <v>3640</v>
      </c>
      <c r="AD413" s="39" t="s">
        <v>3641</v>
      </c>
      <c r="AE413" s="37"/>
      <c r="AF413" s="39" t="s">
        <v>3641</v>
      </c>
      <c r="AG413" s="37"/>
      <c r="AH413" s="37" t="s">
        <v>3642</v>
      </c>
    </row>
    <row r="414" spans="1:34" ht="14.45" hidden="1" customHeight="1" x14ac:dyDescent="0.25">
      <c r="A414" s="6" t="s">
        <v>1890</v>
      </c>
      <c r="B414" s="7">
        <v>40406</v>
      </c>
      <c r="C414" s="6" t="s">
        <v>1889</v>
      </c>
      <c r="D414" s="6" t="s">
        <v>66</v>
      </c>
      <c r="E414" s="6" t="s">
        <v>3232</v>
      </c>
      <c r="F414" s="6" t="s">
        <v>3229</v>
      </c>
      <c r="G414" s="8">
        <v>1.2287060000000001</v>
      </c>
      <c r="H414" s="8">
        <v>6.1385249999999996</v>
      </c>
      <c r="I414" s="6" t="s">
        <v>2497</v>
      </c>
      <c r="J414" s="6" t="s">
        <v>2459</v>
      </c>
      <c r="K414" s="6" t="s">
        <v>2460</v>
      </c>
      <c r="L414" s="6"/>
      <c r="M414" s="6"/>
      <c r="N414" s="6" t="s">
        <v>3268</v>
      </c>
      <c r="O414" s="6" t="s">
        <v>1206</v>
      </c>
      <c r="P414" s="6"/>
      <c r="Q414" s="6" t="str">
        <f>VLOOKUP(Tableau1[[#This Row],[SITES NAMES]],[1]Feuil1!$1:$1048576,9,FALSE)</f>
        <v>YES</v>
      </c>
      <c r="R414" s="6" t="str">
        <f>VLOOKUP(Tableau1[[#This Row],[SITES NAMES]],[1]Feuil1!$1:$1048576,10,FALSE)</f>
        <v>YES</v>
      </c>
      <c r="S414" s="6" t="s">
        <v>2461</v>
      </c>
      <c r="T414" s="6" t="s">
        <v>2462</v>
      </c>
      <c r="U414" s="6" t="s">
        <v>2463</v>
      </c>
      <c r="V414" s="6" t="s">
        <v>2478</v>
      </c>
      <c r="W414" s="6" t="s">
        <v>2476</v>
      </c>
      <c r="X414" s="8" t="s">
        <v>3044</v>
      </c>
      <c r="Y414" s="6" t="s">
        <v>3238</v>
      </c>
      <c r="Z414" s="6" t="s">
        <v>3262</v>
      </c>
      <c r="AA414" s="35" t="s">
        <v>3621</v>
      </c>
      <c r="AB414" s="35" t="s">
        <v>3608</v>
      </c>
      <c r="AC414" s="35" t="s">
        <v>3624</v>
      </c>
      <c r="AD414" s="35" t="s">
        <v>3610</v>
      </c>
      <c r="AE414" s="35" t="s">
        <v>3610</v>
      </c>
      <c r="AF414" s="35" t="s">
        <v>3611</v>
      </c>
      <c r="AG414" s="35" t="s">
        <v>3612</v>
      </c>
      <c r="AH414" s="35" t="s">
        <v>3625</v>
      </c>
    </row>
    <row r="415" spans="1:34" ht="14.45" hidden="1" customHeight="1" x14ac:dyDescent="0.3">
      <c r="A415" s="6" t="s">
        <v>763</v>
      </c>
      <c r="B415" s="7">
        <v>41824</v>
      </c>
      <c r="C415" s="6" t="s">
        <v>762</v>
      </c>
      <c r="D415" s="6" t="s">
        <v>657</v>
      </c>
      <c r="E415" s="6" t="s">
        <v>758</v>
      </c>
      <c r="F415" s="6" t="s">
        <v>3229</v>
      </c>
      <c r="G415" s="8">
        <v>1.093888889</v>
      </c>
      <c r="H415" s="8">
        <v>9.85</v>
      </c>
      <c r="I415" s="6" t="s">
        <v>2525</v>
      </c>
      <c r="J415" s="6" t="s">
        <v>2459</v>
      </c>
      <c r="K415" s="6" t="s">
        <v>2468</v>
      </c>
      <c r="L415" s="6" t="s">
        <v>833</v>
      </c>
      <c r="M415" s="6"/>
      <c r="N415" s="6" t="s">
        <v>2468</v>
      </c>
      <c r="O415" s="6" t="s">
        <v>40</v>
      </c>
      <c r="P415" s="6" t="str">
        <f>VLOOKUP(Tableau1[[#This Row],[SITES NAMES]],[1]Feuil1!$1:$1048576,8,FALSE)</f>
        <v>OK</v>
      </c>
      <c r="Q415" s="6" t="str">
        <f>VLOOKUP(Tableau1[[#This Row],[SITES NAMES]],[1]Feuil1!$1:$1048576,9,FALSE)</f>
        <v>NO</v>
      </c>
      <c r="R415" s="6" t="str">
        <f>VLOOKUP(Tableau1[[#This Row],[SITES NAMES]],[1]Feuil1!$1:$1048576,10,FALSE)</f>
        <v>NO</v>
      </c>
      <c r="S415" s="6" t="s">
        <v>2469</v>
      </c>
      <c r="T415" s="6" t="s">
        <v>2470</v>
      </c>
      <c r="U415" s="6" t="s">
        <v>2471</v>
      </c>
      <c r="V415" s="6" t="s">
        <v>2464</v>
      </c>
      <c r="W415" s="6" t="s">
        <v>2473</v>
      </c>
      <c r="X415" s="8" t="s">
        <v>2757</v>
      </c>
      <c r="Y415" s="6" t="s">
        <v>3239</v>
      </c>
      <c r="Z415" s="6" t="s">
        <v>3253</v>
      </c>
      <c r="AA415" s="37" t="s">
        <v>3687</v>
      </c>
      <c r="AB415" s="38" t="s">
        <v>3683</v>
      </c>
      <c r="AC415" s="37" t="s">
        <v>3688</v>
      </c>
      <c r="AD415" s="37" t="s">
        <v>3687</v>
      </c>
      <c r="AE415" s="37" t="s">
        <v>3689</v>
      </c>
      <c r="AF415" s="39" t="s">
        <v>3690</v>
      </c>
      <c r="AG415" s="40" t="s">
        <v>3685</v>
      </c>
      <c r="AH415" s="37" t="s">
        <v>3691</v>
      </c>
    </row>
    <row r="416" spans="1:34" ht="14.45" hidden="1" customHeight="1" x14ac:dyDescent="0.25">
      <c r="A416" s="6" t="s">
        <v>1654</v>
      </c>
      <c r="B416" s="7">
        <v>40802</v>
      </c>
      <c r="C416" s="6" t="s">
        <v>1653</v>
      </c>
      <c r="D416" s="6" t="s">
        <v>66</v>
      </c>
      <c r="E416" s="6" t="s">
        <v>3236</v>
      </c>
      <c r="F416" s="6" t="s">
        <v>3229</v>
      </c>
      <c r="G416" s="8">
        <v>1.1979420000000001</v>
      </c>
      <c r="H416" s="8">
        <v>6.2448962579999998</v>
      </c>
      <c r="I416" s="6" t="s">
        <v>2497</v>
      </c>
      <c r="J416" s="6" t="s">
        <v>2459</v>
      </c>
      <c r="K416" s="6" t="s">
        <v>2460</v>
      </c>
      <c r="L416" s="6"/>
      <c r="M416" s="6"/>
      <c r="N416" s="6" t="s">
        <v>3268</v>
      </c>
      <c r="O416" s="6" t="s">
        <v>7</v>
      </c>
      <c r="P416" s="6" t="str">
        <f>VLOOKUP(Tableau1[[#This Row],[SITES NAMES]],[1]Feuil1!$1:$1048576,8,FALSE)</f>
        <v>OK</v>
      </c>
      <c r="Q416" s="6" t="str">
        <f>VLOOKUP(Tableau1[[#This Row],[SITES NAMES]],[1]Feuil1!$1:$1048576,9,FALSE)</f>
        <v>NO</v>
      </c>
      <c r="R416" s="6" t="str">
        <f>VLOOKUP(Tableau1[[#This Row],[SITES NAMES]],[1]Feuil1!$1:$1048576,10,FALSE)</f>
        <v>NO</v>
      </c>
      <c r="S416" s="6" t="s">
        <v>2469</v>
      </c>
      <c r="T416" s="6" t="s">
        <v>2470</v>
      </c>
      <c r="U416" s="6" t="s">
        <v>2463</v>
      </c>
      <c r="V416" s="6" t="s">
        <v>2478</v>
      </c>
      <c r="W416" s="6" t="s">
        <v>2476</v>
      </c>
      <c r="X416" s="8" t="s">
        <v>2997</v>
      </c>
      <c r="Y416" s="6" t="s">
        <v>3238</v>
      </c>
      <c r="Z416" s="6" t="s">
        <v>3263</v>
      </c>
      <c r="AA416" s="35" t="s">
        <v>3616</v>
      </c>
      <c r="AB416" s="35" t="s">
        <v>3608</v>
      </c>
      <c r="AC416" s="35" t="s">
        <v>3619</v>
      </c>
      <c r="AD416" s="35" t="s">
        <v>3610</v>
      </c>
      <c r="AE416" s="35" t="s">
        <v>3610</v>
      </c>
      <c r="AF416" s="35" t="s">
        <v>3611</v>
      </c>
      <c r="AG416" s="35" t="s">
        <v>3612</v>
      </c>
      <c r="AH416" s="35" t="s">
        <v>3620</v>
      </c>
    </row>
    <row r="417" spans="1:34" ht="14.45" hidden="1" customHeight="1" x14ac:dyDescent="0.25">
      <c r="A417" s="6" t="s">
        <v>1656</v>
      </c>
      <c r="B417" s="7">
        <v>40254</v>
      </c>
      <c r="C417" s="6" t="s">
        <v>1655</v>
      </c>
      <c r="D417" s="6" t="s">
        <v>66</v>
      </c>
      <c r="E417" s="6" t="s">
        <v>3236</v>
      </c>
      <c r="F417" s="6" t="s">
        <v>3229</v>
      </c>
      <c r="G417" s="8">
        <v>1.194094</v>
      </c>
      <c r="H417" s="8">
        <v>6.2403917739999999</v>
      </c>
      <c r="I417" s="6" t="s">
        <v>2486</v>
      </c>
      <c r="J417" s="6" t="s">
        <v>2459</v>
      </c>
      <c r="K417" s="6" t="s">
        <v>2460</v>
      </c>
      <c r="L417" s="6"/>
      <c r="M417" s="6"/>
      <c r="N417" s="6" t="s">
        <v>3268</v>
      </c>
      <c r="O417" s="6" t="s">
        <v>7</v>
      </c>
      <c r="P417" s="6" t="str">
        <f>VLOOKUP(Tableau1[[#This Row],[SITES NAMES]],[1]Feuil1!$1:$1048576,8,FALSE)</f>
        <v>OK</v>
      </c>
      <c r="Q417" s="6" t="str">
        <f>VLOOKUP(Tableau1[[#This Row],[SITES NAMES]],[1]Feuil1!$1:$1048576,9,FALSE)</f>
        <v>NO</v>
      </c>
      <c r="R417" s="6" t="str">
        <f>VLOOKUP(Tableau1[[#This Row],[SITES NAMES]],[1]Feuil1!$1:$1048576,10,FALSE)</f>
        <v>NO</v>
      </c>
      <c r="S417" s="6" t="s">
        <v>2469</v>
      </c>
      <c r="T417" s="6" t="s">
        <v>2470</v>
      </c>
      <c r="U417" s="6" t="s">
        <v>2471</v>
      </c>
      <c r="V417" s="6" t="s">
        <v>2464</v>
      </c>
      <c r="W417" s="6" t="s">
        <v>2476</v>
      </c>
      <c r="X417" s="8" t="s">
        <v>2998</v>
      </c>
      <c r="Y417" s="6" t="s">
        <v>3238</v>
      </c>
      <c r="Z417" s="6" t="s">
        <v>3263</v>
      </c>
      <c r="AA417" s="35" t="s">
        <v>3616</v>
      </c>
      <c r="AB417" s="35" t="s">
        <v>3608</v>
      </c>
      <c r="AC417" s="35" t="s">
        <v>3619</v>
      </c>
      <c r="AD417" s="35" t="s">
        <v>3610</v>
      </c>
      <c r="AE417" s="35" t="s">
        <v>3610</v>
      </c>
      <c r="AF417" s="35" t="s">
        <v>3611</v>
      </c>
      <c r="AG417" s="35" t="s">
        <v>3612</v>
      </c>
      <c r="AH417" s="35" t="s">
        <v>3620</v>
      </c>
    </row>
    <row r="418" spans="1:34" ht="14.45" hidden="1" customHeight="1" x14ac:dyDescent="0.25">
      <c r="A418" s="6" t="s">
        <v>1658</v>
      </c>
      <c r="B418" s="7">
        <v>43265</v>
      </c>
      <c r="C418" s="6" t="s">
        <v>1657</v>
      </c>
      <c r="D418" s="6" t="s">
        <v>66</v>
      </c>
      <c r="E418" s="6" t="s">
        <v>3236</v>
      </c>
      <c r="F418" s="6" t="s">
        <v>3229</v>
      </c>
      <c r="G418" s="8">
        <v>1.20384</v>
      </c>
      <c r="H418" s="8">
        <v>6.2471500000000004</v>
      </c>
      <c r="I418" s="6" t="s">
        <v>2497</v>
      </c>
      <c r="J418" s="6" t="s">
        <v>2459</v>
      </c>
      <c r="K418" s="6" t="s">
        <v>2460</v>
      </c>
      <c r="L418" s="6"/>
      <c r="M418" s="6"/>
      <c r="N418" s="6" t="s">
        <v>3268</v>
      </c>
      <c r="O418" s="6" t="s">
        <v>1206</v>
      </c>
      <c r="P418" s="6"/>
      <c r="Q418" s="6" t="str">
        <f>VLOOKUP(Tableau1[[#This Row],[SITES NAMES]],[1]Feuil1!$1:$1048576,9,FALSE)</f>
        <v>YES</v>
      </c>
      <c r="R418" s="6" t="str">
        <f>VLOOKUP(Tableau1[[#This Row],[SITES NAMES]],[1]Feuil1!$1:$1048576,10,FALSE)</f>
        <v>NO</v>
      </c>
      <c r="S418" s="6" t="s">
        <v>2469</v>
      </c>
      <c r="T418" s="6" t="s">
        <v>2470</v>
      </c>
      <c r="U418" s="6" t="s">
        <v>2480</v>
      </c>
      <c r="V418" s="6" t="s">
        <v>2472</v>
      </c>
      <c r="W418" s="6" t="s">
        <v>2476</v>
      </c>
      <c r="X418" s="8"/>
      <c r="Y418" s="6" t="s">
        <v>3238</v>
      </c>
      <c r="Z418" s="6" t="s">
        <v>3263</v>
      </c>
      <c r="AA418" s="35" t="s">
        <v>3616</v>
      </c>
      <c r="AB418" s="35" t="s">
        <v>3608</v>
      </c>
      <c r="AC418" s="35" t="s">
        <v>3619</v>
      </c>
      <c r="AD418" s="35" t="s">
        <v>3610</v>
      </c>
      <c r="AE418" s="35" t="s">
        <v>3610</v>
      </c>
      <c r="AF418" s="35" t="s">
        <v>3611</v>
      </c>
      <c r="AG418" s="35" t="s">
        <v>3612</v>
      </c>
      <c r="AH418" s="35" t="s">
        <v>3620</v>
      </c>
    </row>
    <row r="419" spans="1:34" ht="14.45" hidden="1" customHeight="1" x14ac:dyDescent="0.3">
      <c r="A419" s="6" t="s">
        <v>2083</v>
      </c>
      <c r="B419" s="7">
        <v>42156</v>
      </c>
      <c r="C419" s="6" t="s">
        <v>2082</v>
      </c>
      <c r="D419" s="6" t="s">
        <v>132</v>
      </c>
      <c r="E419" s="6" t="s">
        <v>2049</v>
      </c>
      <c r="F419" s="6" t="s">
        <v>3229</v>
      </c>
      <c r="G419" s="8">
        <v>1.389373</v>
      </c>
      <c r="H419" s="8">
        <v>6.8715159999999997</v>
      </c>
      <c r="I419" s="6" t="s">
        <v>2477</v>
      </c>
      <c r="J419" s="6" t="s">
        <v>2459</v>
      </c>
      <c r="K419" s="6" t="s">
        <v>2468</v>
      </c>
      <c r="L419" s="6" t="s">
        <v>2053</v>
      </c>
      <c r="M419" s="6"/>
      <c r="N419" s="6" t="s">
        <v>2468</v>
      </c>
      <c r="O419" s="6" t="s">
        <v>40</v>
      </c>
      <c r="P419" s="6" t="str">
        <f>VLOOKUP(Tableau1[[#This Row],[SITES NAMES]],[1]Feuil1!$1:$1048576,8,FALSE)</f>
        <v>NOK</v>
      </c>
      <c r="Q419" s="6" t="str">
        <f>VLOOKUP(Tableau1[[#This Row],[SITES NAMES]],[1]Feuil1!$1:$1048576,9,FALSE)</f>
        <v>NO</v>
      </c>
      <c r="R419" s="6" t="str">
        <f>VLOOKUP(Tableau1[[#This Row],[SITES NAMES]],[1]Feuil1!$1:$1048576,10,FALSE)</f>
        <v>NO</v>
      </c>
      <c r="S419" s="6" t="s">
        <v>2469</v>
      </c>
      <c r="T419" s="6" t="s">
        <v>2470</v>
      </c>
      <c r="U419" s="6" t="s">
        <v>2480</v>
      </c>
      <c r="V419" s="6" t="s">
        <v>2472</v>
      </c>
      <c r="W419" s="6" t="s">
        <v>2473</v>
      </c>
      <c r="X419" s="8" t="s">
        <v>3108</v>
      </c>
      <c r="Y419" s="6" t="s">
        <v>3238</v>
      </c>
      <c r="Z419" s="6" t="s">
        <v>3257</v>
      </c>
      <c r="AA419" s="45" t="s">
        <v>3656</v>
      </c>
      <c r="AB419" s="39" t="s">
        <v>3644</v>
      </c>
      <c r="AC419" s="45" t="s">
        <v>3657</v>
      </c>
      <c r="AD419" s="37" t="s">
        <v>3658</v>
      </c>
      <c r="AE419" s="37" t="s">
        <v>3647</v>
      </c>
      <c r="AF419" s="39" t="s">
        <v>3648</v>
      </c>
      <c r="AG419" s="37" t="s">
        <v>3649</v>
      </c>
      <c r="AH419" s="37" t="s">
        <v>3659</v>
      </c>
    </row>
    <row r="420" spans="1:34" ht="14.45" hidden="1" customHeight="1" x14ac:dyDescent="0.25">
      <c r="A420" s="6" t="s">
        <v>1394</v>
      </c>
      <c r="B420" s="7">
        <v>44807</v>
      </c>
      <c r="C420" s="6" t="s">
        <v>1393</v>
      </c>
      <c r="D420" s="6" t="s">
        <v>66</v>
      </c>
      <c r="E420" s="6" t="s">
        <v>3231</v>
      </c>
      <c r="F420" s="6" t="s">
        <v>3229</v>
      </c>
      <c r="G420" s="8">
        <v>1.3394999999999999</v>
      </c>
      <c r="H420" s="8">
        <v>6.1918350000000002</v>
      </c>
      <c r="I420" s="6" t="s">
        <v>2497</v>
      </c>
      <c r="J420" s="6" t="s">
        <v>2459</v>
      </c>
      <c r="K420" s="6" t="s">
        <v>2460</v>
      </c>
      <c r="L420" s="6"/>
      <c r="M420" s="6"/>
      <c r="N420" s="6" t="s">
        <v>3268</v>
      </c>
      <c r="O420" s="6" t="s">
        <v>7</v>
      </c>
      <c r="P420" s="6" t="str">
        <f>VLOOKUP(Tableau1[[#This Row],[SITES NAMES]],[1]Feuil1!$1:$1048576,8,FALSE)</f>
        <v>OK</v>
      </c>
      <c r="Q420" s="6" t="str">
        <f>VLOOKUP(Tableau1[[#This Row],[SITES NAMES]],[1]Feuil1!$1:$1048576,9,FALSE)</f>
        <v>NO</v>
      </c>
      <c r="R420" s="6" t="str">
        <f>VLOOKUP(Tableau1[[#This Row],[SITES NAMES]],[1]Feuil1!$1:$1048576,10,FALSE)</f>
        <v>NO</v>
      </c>
      <c r="S420" s="6" t="s">
        <v>2469</v>
      </c>
      <c r="T420" s="6" t="s">
        <v>2470</v>
      </c>
      <c r="U420" s="6" t="s">
        <v>2480</v>
      </c>
      <c r="V420" s="6" t="s">
        <v>2464</v>
      </c>
      <c r="W420" s="6" t="s">
        <v>2473</v>
      </c>
      <c r="X420" s="8"/>
      <c r="Y420" s="6" t="s">
        <v>3238</v>
      </c>
      <c r="Z420" s="6"/>
      <c r="AA420" s="35" t="s">
        <v>3621</v>
      </c>
      <c r="AB420" s="35" t="s">
        <v>3608</v>
      </c>
      <c r="AC420" s="35" t="s">
        <v>3622</v>
      </c>
      <c r="AD420" s="35" t="s">
        <v>3610</v>
      </c>
      <c r="AE420" s="35" t="s">
        <v>3610</v>
      </c>
      <c r="AF420" s="35" t="s">
        <v>3611</v>
      </c>
      <c r="AG420" s="35" t="s">
        <v>3612</v>
      </c>
      <c r="AH420" s="35" t="s">
        <v>3623</v>
      </c>
    </row>
    <row r="421" spans="1:34" ht="14.45" hidden="1" customHeight="1" x14ac:dyDescent="0.25">
      <c r="A421" s="6" t="s">
        <v>1306</v>
      </c>
      <c r="B421" s="7">
        <v>44091</v>
      </c>
      <c r="C421" s="6" t="s">
        <v>1305</v>
      </c>
      <c r="D421" s="6" t="s">
        <v>66</v>
      </c>
      <c r="E421" s="6" t="s">
        <v>3231</v>
      </c>
      <c r="F421" s="6" t="s">
        <v>3229</v>
      </c>
      <c r="G421" s="8">
        <v>1.3394999999999999</v>
      </c>
      <c r="H421" s="8">
        <v>6.1918350000000002</v>
      </c>
      <c r="I421" s="6" t="s">
        <v>2475</v>
      </c>
      <c r="J421" s="6" t="s">
        <v>2459</v>
      </c>
      <c r="K421" s="6" t="s">
        <v>2460</v>
      </c>
      <c r="L421" s="6" t="s">
        <v>3408</v>
      </c>
      <c r="M421" s="6"/>
      <c r="N421" s="6" t="s">
        <v>3268</v>
      </c>
      <c r="O421" s="6" t="s">
        <v>7</v>
      </c>
      <c r="P421" s="6" t="str">
        <f>VLOOKUP(Tableau1[[#This Row],[SITES NAMES]],[1]Feuil1!$1:$1048576,8,FALSE)</f>
        <v>OK</v>
      </c>
      <c r="Q421" s="6" t="str">
        <f>VLOOKUP(Tableau1[[#This Row],[SITES NAMES]],[1]Feuil1!$1:$1048576,9,FALSE)</f>
        <v>NO</v>
      </c>
      <c r="R421" s="6" t="str">
        <f>VLOOKUP(Tableau1[[#This Row],[SITES NAMES]],[1]Feuil1!$1:$1048576,10,FALSE)</f>
        <v>YES</v>
      </c>
      <c r="S421" s="6" t="s">
        <v>2469</v>
      </c>
      <c r="T421" s="6" t="s">
        <v>2470</v>
      </c>
      <c r="U421" s="6" t="s">
        <v>2480</v>
      </c>
      <c r="V421" s="6" t="s">
        <v>2464</v>
      </c>
      <c r="W421" s="6" t="s">
        <v>2465</v>
      </c>
      <c r="X421" s="8" t="s">
        <v>2924</v>
      </c>
      <c r="Y421" s="6" t="s">
        <v>3238</v>
      </c>
      <c r="Z421" s="6"/>
      <c r="AA421" s="35" t="s">
        <v>3621</v>
      </c>
      <c r="AB421" s="35" t="s">
        <v>3608</v>
      </c>
      <c r="AC421" s="35" t="s">
        <v>3622</v>
      </c>
      <c r="AD421" s="35" t="s">
        <v>3610</v>
      </c>
      <c r="AE421" s="35" t="s">
        <v>3610</v>
      </c>
      <c r="AF421" s="35" t="s">
        <v>3611</v>
      </c>
      <c r="AG421" s="35" t="s">
        <v>3612</v>
      </c>
      <c r="AH421" s="35" t="s">
        <v>3623</v>
      </c>
    </row>
    <row r="422" spans="1:34" ht="14.45" hidden="1" customHeight="1" x14ac:dyDescent="0.25">
      <c r="A422" s="6" t="s">
        <v>1396</v>
      </c>
      <c r="B422" s="7">
        <v>44722</v>
      </c>
      <c r="C422" s="6" t="s">
        <v>1395</v>
      </c>
      <c r="D422" s="6" t="s">
        <v>66</v>
      </c>
      <c r="E422" s="6" t="s">
        <v>3231</v>
      </c>
      <c r="F422" s="6" t="s">
        <v>3229</v>
      </c>
      <c r="G422" s="8">
        <v>1.4282900000000001</v>
      </c>
      <c r="H422" s="8">
        <v>6.21563</v>
      </c>
      <c r="I422" s="6" t="s">
        <v>2475</v>
      </c>
      <c r="J422" s="6" t="s">
        <v>2459</v>
      </c>
      <c r="K422" s="6" t="s">
        <v>2460</v>
      </c>
      <c r="L422" s="6" t="s">
        <v>3280</v>
      </c>
      <c r="M422" s="6"/>
      <c r="N422" s="6" t="s">
        <v>3268</v>
      </c>
      <c r="O422" s="6" t="s">
        <v>7</v>
      </c>
      <c r="P422" s="6" t="str">
        <f>VLOOKUP(Tableau1[[#This Row],[SITES NAMES]],[1]Feuil1!$1:$1048576,8,FALSE)</f>
        <v>OK</v>
      </c>
      <c r="Q422" s="6" t="str">
        <f>VLOOKUP(Tableau1[[#This Row],[SITES NAMES]],[1]Feuil1!$1:$1048576,9,FALSE)</f>
        <v>NO</v>
      </c>
      <c r="R422" s="6" t="str">
        <f>VLOOKUP(Tableau1[[#This Row],[SITES NAMES]],[1]Feuil1!$1:$1048576,10,FALSE)</f>
        <v>NO</v>
      </c>
      <c r="S422" s="6" t="s">
        <v>2469</v>
      </c>
      <c r="T422" s="6" t="s">
        <v>2470</v>
      </c>
      <c r="U422" s="6" t="s">
        <v>2480</v>
      </c>
      <c r="V422" s="6" t="s">
        <v>2472</v>
      </c>
      <c r="W422" s="6" t="s">
        <v>2465</v>
      </c>
      <c r="X422" s="8">
        <v>70997327</v>
      </c>
      <c r="Y422" s="6" t="s">
        <v>3238</v>
      </c>
      <c r="Z422" s="6"/>
      <c r="AA422" s="35" t="s">
        <v>3621</v>
      </c>
      <c r="AB422" s="35" t="s">
        <v>3608</v>
      </c>
      <c r="AC422" s="35" t="s">
        <v>3622</v>
      </c>
      <c r="AD422" s="35" t="s">
        <v>3610</v>
      </c>
      <c r="AE422" s="35" t="s">
        <v>3610</v>
      </c>
      <c r="AF422" s="35" t="s">
        <v>3611</v>
      </c>
      <c r="AG422" s="35" t="s">
        <v>3612</v>
      </c>
      <c r="AH422" s="35" t="s">
        <v>3623</v>
      </c>
    </row>
    <row r="423" spans="1:34" ht="14.45" hidden="1" customHeight="1" x14ac:dyDescent="0.25">
      <c r="A423" s="6" t="s">
        <v>1520</v>
      </c>
      <c r="B423" s="7">
        <v>42563</v>
      </c>
      <c r="C423" s="6" t="s">
        <v>1519</v>
      </c>
      <c r="D423" s="6" t="s">
        <v>66</v>
      </c>
      <c r="E423" s="6" t="s">
        <v>3233</v>
      </c>
      <c r="F423" s="18" t="s">
        <v>3230</v>
      </c>
      <c r="G423" s="8">
        <v>1.229789</v>
      </c>
      <c r="H423" s="8">
        <v>6.2442500000000001</v>
      </c>
      <c r="I423" s="6" t="s">
        <v>2486</v>
      </c>
      <c r="J423" s="6" t="s">
        <v>2459</v>
      </c>
      <c r="K423" s="6" t="s">
        <v>2460</v>
      </c>
      <c r="L423" s="6"/>
      <c r="M423" s="6"/>
      <c r="N423" s="6" t="s">
        <v>3268</v>
      </c>
      <c r="O423" s="6" t="s">
        <v>7</v>
      </c>
      <c r="P423" s="6" t="str">
        <f>VLOOKUP(Tableau1[[#This Row],[SITES NAMES]],[1]Feuil1!$1:$1048576,8,FALSE)</f>
        <v>OK</v>
      </c>
      <c r="Q423" s="6" t="str">
        <f>VLOOKUP(Tableau1[[#This Row],[SITES NAMES]],[1]Feuil1!$1:$1048576,9,FALSE)</f>
        <v>NO</v>
      </c>
      <c r="R423" s="6" t="str">
        <f>VLOOKUP(Tableau1[[#This Row],[SITES NAMES]],[1]Feuil1!$1:$1048576,10,FALSE)</f>
        <v>NO</v>
      </c>
      <c r="S423" s="6" t="s">
        <v>2469</v>
      </c>
      <c r="T423" s="6" t="s">
        <v>2470</v>
      </c>
      <c r="U423" s="6" t="s">
        <v>2480</v>
      </c>
      <c r="V423" s="6" t="s">
        <v>2478</v>
      </c>
      <c r="W423" s="6" t="s">
        <v>2476</v>
      </c>
      <c r="X423" s="8" t="s">
        <v>2960</v>
      </c>
      <c r="Y423" s="6" t="s">
        <v>3238</v>
      </c>
      <c r="Z423" s="6" t="s">
        <v>3264</v>
      </c>
      <c r="AA423" s="35" t="s">
        <v>3616</v>
      </c>
      <c r="AB423" s="35" t="s">
        <v>3608</v>
      </c>
      <c r="AC423" s="35" t="s">
        <v>3617</v>
      </c>
      <c r="AD423" s="35" t="s">
        <v>3610</v>
      </c>
      <c r="AE423" s="35" t="s">
        <v>3610</v>
      </c>
      <c r="AF423" s="35" t="s">
        <v>3611</v>
      </c>
      <c r="AG423" s="35" t="s">
        <v>3612</v>
      </c>
      <c r="AH423" s="35" t="s">
        <v>3618</v>
      </c>
    </row>
    <row r="424" spans="1:34" ht="14.45" hidden="1" customHeight="1" x14ac:dyDescent="0.25">
      <c r="A424" s="6" t="s">
        <v>1769</v>
      </c>
      <c r="B424" s="7">
        <v>38200</v>
      </c>
      <c r="C424" s="6" t="s">
        <v>1768</v>
      </c>
      <c r="D424" s="6" t="s">
        <v>66</v>
      </c>
      <c r="E424" s="6" t="s">
        <v>3234</v>
      </c>
      <c r="F424" s="6" t="s">
        <v>3229</v>
      </c>
      <c r="G424" s="8">
        <v>1.192321</v>
      </c>
      <c r="H424" s="8">
        <v>6.1832366370000003</v>
      </c>
      <c r="I424" s="6" t="s">
        <v>2497</v>
      </c>
      <c r="J424" s="6" t="s">
        <v>2459</v>
      </c>
      <c r="K424" s="6" t="s">
        <v>2460</v>
      </c>
      <c r="L424" s="6"/>
      <c r="M424" s="6"/>
      <c r="N424" s="6" t="s">
        <v>3268</v>
      </c>
      <c r="O424" s="6" t="s">
        <v>7</v>
      </c>
      <c r="P424" s="6" t="str">
        <f>VLOOKUP(Tableau1[[#This Row],[SITES NAMES]],[1]Feuil1!$1:$1048576,8,FALSE)</f>
        <v>OK</v>
      </c>
      <c r="Q424" s="6" t="str">
        <f>VLOOKUP(Tableau1[[#This Row],[SITES NAMES]],[1]Feuil1!$1:$1048576,9,FALSE)</f>
        <v>NO</v>
      </c>
      <c r="R424" s="6" t="str">
        <f>VLOOKUP(Tableau1[[#This Row],[SITES NAMES]],[1]Feuil1!$1:$1048576,10,FALSE)</f>
        <v>NO</v>
      </c>
      <c r="S424" s="6" t="s">
        <v>2469</v>
      </c>
      <c r="T424" s="6" t="s">
        <v>2470</v>
      </c>
      <c r="U424" s="6" t="s">
        <v>2480</v>
      </c>
      <c r="V424" s="6" t="s">
        <v>2478</v>
      </c>
      <c r="W424" s="6" t="s">
        <v>2476</v>
      </c>
      <c r="X424" s="8"/>
      <c r="Y424" s="6" t="s">
        <v>3238</v>
      </c>
      <c r="Z424" s="6" t="s">
        <v>3265</v>
      </c>
      <c r="AA424" s="35" t="s">
        <v>3607</v>
      </c>
      <c r="AB424" s="35" t="s">
        <v>3608</v>
      </c>
      <c r="AC424" s="35" t="s">
        <v>3614</v>
      </c>
      <c r="AD424" s="35" t="s">
        <v>3610</v>
      </c>
      <c r="AE424" s="35" t="s">
        <v>3610</v>
      </c>
      <c r="AF424" s="35" t="s">
        <v>3611</v>
      </c>
      <c r="AG424" s="35" t="s">
        <v>3612</v>
      </c>
      <c r="AH424" s="35" t="s">
        <v>3615</v>
      </c>
    </row>
    <row r="425" spans="1:34" ht="14.45" hidden="1" customHeight="1" x14ac:dyDescent="0.25">
      <c r="A425" s="6" t="s">
        <v>1771</v>
      </c>
      <c r="B425" s="7">
        <v>40949</v>
      </c>
      <c r="C425" s="6" t="s">
        <v>1770</v>
      </c>
      <c r="D425" s="6" t="s">
        <v>66</v>
      </c>
      <c r="E425" s="6" t="s">
        <v>3234</v>
      </c>
      <c r="F425" s="6" t="s">
        <v>3229</v>
      </c>
      <c r="G425" s="8">
        <v>1.1997500000000001</v>
      </c>
      <c r="H425" s="8">
        <v>6.1779796280000001</v>
      </c>
      <c r="I425" s="6" t="s">
        <v>2497</v>
      </c>
      <c r="J425" s="6" t="s">
        <v>2459</v>
      </c>
      <c r="K425" s="6" t="s">
        <v>2460</v>
      </c>
      <c r="L425" s="6"/>
      <c r="M425" s="6"/>
      <c r="N425" s="6" t="s">
        <v>3268</v>
      </c>
      <c r="O425" s="6" t="s">
        <v>7</v>
      </c>
      <c r="P425" s="6" t="str">
        <f>VLOOKUP(Tableau1[[#This Row],[SITES NAMES]],[1]Feuil1!$1:$1048576,8,FALSE)</f>
        <v>OK</v>
      </c>
      <c r="Q425" s="6" t="str">
        <f>VLOOKUP(Tableau1[[#This Row],[SITES NAMES]],[1]Feuil1!$1:$1048576,9,FALSE)</f>
        <v>NO</v>
      </c>
      <c r="R425" s="6" t="str">
        <f>VLOOKUP(Tableau1[[#This Row],[SITES NAMES]],[1]Feuil1!$1:$1048576,10,FALSE)</f>
        <v>NO</v>
      </c>
      <c r="S425" s="6" t="s">
        <v>2469</v>
      </c>
      <c r="T425" s="6" t="s">
        <v>2470</v>
      </c>
      <c r="U425" s="6" t="s">
        <v>2471</v>
      </c>
      <c r="V425" s="6" t="s">
        <v>2464</v>
      </c>
      <c r="W425" s="6" t="s">
        <v>2476</v>
      </c>
      <c r="X425" s="8"/>
      <c r="Y425" s="6" t="s">
        <v>3238</v>
      </c>
      <c r="Z425" s="6" t="s">
        <v>3265</v>
      </c>
      <c r="AA425" s="35" t="s">
        <v>3607</v>
      </c>
      <c r="AB425" s="35" t="s">
        <v>3608</v>
      </c>
      <c r="AC425" s="35" t="s">
        <v>3614</v>
      </c>
      <c r="AD425" s="35" t="s">
        <v>3610</v>
      </c>
      <c r="AE425" s="35" t="s">
        <v>3610</v>
      </c>
      <c r="AF425" s="35" t="s">
        <v>3611</v>
      </c>
      <c r="AG425" s="35" t="s">
        <v>3612</v>
      </c>
      <c r="AH425" s="35" t="s">
        <v>3615</v>
      </c>
    </row>
    <row r="426" spans="1:34" ht="14.45" hidden="1" customHeight="1" x14ac:dyDescent="0.3">
      <c r="A426" s="6" t="s">
        <v>350</v>
      </c>
      <c r="B426" s="7">
        <v>42156</v>
      </c>
      <c r="C426" s="6" t="s">
        <v>349</v>
      </c>
      <c r="D426" s="6" t="s">
        <v>320</v>
      </c>
      <c r="E426" s="6" t="s">
        <v>321</v>
      </c>
      <c r="F426" s="6" t="s">
        <v>3229</v>
      </c>
      <c r="G426" s="8">
        <v>0.63822999999999996</v>
      </c>
      <c r="H426" s="8">
        <v>8.0884</v>
      </c>
      <c r="I426" s="6" t="s">
        <v>2477</v>
      </c>
      <c r="J426" s="6" t="s">
        <v>2459</v>
      </c>
      <c r="K426" s="6" t="s">
        <v>2468</v>
      </c>
      <c r="L426" s="6" t="s">
        <v>325</v>
      </c>
      <c r="M426" s="6"/>
      <c r="N426" s="6" t="s">
        <v>2468</v>
      </c>
      <c r="O426" s="6" t="s">
        <v>40</v>
      </c>
      <c r="P426" s="6" t="str">
        <f>VLOOKUP(Tableau1[[#This Row],[SITES NAMES]],[1]Feuil1!$1:$1048576,8,FALSE)</f>
        <v>NOK</v>
      </c>
      <c r="Q426" s="6" t="str">
        <f>VLOOKUP(Tableau1[[#This Row],[SITES NAMES]],[1]Feuil1!$1:$1048576,9,FALSE)</f>
        <v>NO</v>
      </c>
      <c r="R426" s="6" t="str">
        <f>VLOOKUP(Tableau1[[#This Row],[SITES NAMES]],[1]Feuil1!$1:$1048576,10,FALSE)</f>
        <v>NO</v>
      </c>
      <c r="S426" s="6" t="s">
        <v>2469</v>
      </c>
      <c r="T426" s="6" t="s">
        <v>2470</v>
      </c>
      <c r="U426" s="6" t="s">
        <v>2480</v>
      </c>
      <c r="V426" s="6" t="s">
        <v>2472</v>
      </c>
      <c r="W426" s="6" t="s">
        <v>2473</v>
      </c>
      <c r="X426" s="8" t="s">
        <v>2599</v>
      </c>
      <c r="Y426" s="6" t="s">
        <v>3238</v>
      </c>
      <c r="Z426" s="6" t="s">
        <v>3266</v>
      </c>
      <c r="AA426" s="37" t="s">
        <v>3664</v>
      </c>
      <c r="AB426" s="39" t="s">
        <v>3665</v>
      </c>
      <c r="AC426" s="37" t="s">
        <v>3666</v>
      </c>
      <c r="AD426" s="37" t="s">
        <v>3667</v>
      </c>
      <c r="AE426" s="37" t="s">
        <v>3668</v>
      </c>
      <c r="AF426" s="37" t="s">
        <v>3669</v>
      </c>
      <c r="AG426" s="37" t="s">
        <v>3670</v>
      </c>
      <c r="AH426" s="37" t="s">
        <v>3671</v>
      </c>
    </row>
    <row r="427" spans="1:34" ht="14.45" hidden="1" customHeight="1" x14ac:dyDescent="0.3">
      <c r="A427" s="6" t="s">
        <v>335</v>
      </c>
      <c r="B427" s="7">
        <v>46022</v>
      </c>
      <c r="C427" s="6" t="s">
        <v>334</v>
      </c>
      <c r="D427" s="6" t="s">
        <v>320</v>
      </c>
      <c r="E427" s="6" t="s">
        <v>321</v>
      </c>
      <c r="F427" s="6" t="s">
        <v>3229</v>
      </c>
      <c r="G427" s="8">
        <v>0.61956699999999998</v>
      </c>
      <c r="H427" s="8">
        <v>8.1910810000000005</v>
      </c>
      <c r="I427" s="16" t="s">
        <v>2477</v>
      </c>
      <c r="J427" s="6" t="s">
        <v>2459</v>
      </c>
      <c r="K427" s="6" t="s">
        <v>2468</v>
      </c>
      <c r="L427" s="6"/>
      <c r="M427" s="6"/>
      <c r="N427" s="6" t="s">
        <v>2468</v>
      </c>
      <c r="O427" s="6" t="s">
        <v>7</v>
      </c>
      <c r="P427" s="6"/>
      <c r="Q427" s="6"/>
      <c r="R427" s="6"/>
      <c r="S427" s="6"/>
      <c r="T427" s="6"/>
      <c r="U427" s="6"/>
      <c r="V427" s="6"/>
      <c r="W427" s="6"/>
      <c r="X427" s="8"/>
      <c r="Y427" s="6" t="s">
        <v>3238</v>
      </c>
      <c r="Z427" s="6" t="s">
        <v>3266</v>
      </c>
      <c r="AA427" s="37" t="s">
        <v>3664</v>
      </c>
      <c r="AB427" s="39" t="s">
        <v>3665</v>
      </c>
      <c r="AC427" s="37" t="s">
        <v>3666</v>
      </c>
      <c r="AD427" s="37" t="s">
        <v>3667</v>
      </c>
      <c r="AE427" s="37" t="s">
        <v>3668</v>
      </c>
      <c r="AF427" s="37" t="s">
        <v>3669</v>
      </c>
      <c r="AG427" s="37" t="s">
        <v>3670</v>
      </c>
      <c r="AH427" s="37" t="s">
        <v>3671</v>
      </c>
    </row>
    <row r="428" spans="1:34" ht="14.45" hidden="1" customHeight="1" x14ac:dyDescent="0.3">
      <c r="A428" s="6" t="s">
        <v>698</v>
      </c>
      <c r="B428" s="7">
        <v>38687</v>
      </c>
      <c r="C428" s="6" t="s">
        <v>697</v>
      </c>
      <c r="D428" s="6" t="s">
        <v>657</v>
      </c>
      <c r="E428" s="6" t="s">
        <v>658</v>
      </c>
      <c r="F428" s="6" t="s">
        <v>3229</v>
      </c>
      <c r="G428" s="8">
        <v>0.60023000000000004</v>
      </c>
      <c r="H428" s="8">
        <v>9.2005999999999997</v>
      </c>
      <c r="I428" s="6" t="s">
        <v>2486</v>
      </c>
      <c r="J428" s="6" t="s">
        <v>2459</v>
      </c>
      <c r="K428" s="6" t="s">
        <v>2468</v>
      </c>
      <c r="L428" s="6" t="s">
        <v>3409</v>
      </c>
      <c r="M428" s="6"/>
      <c r="N428" s="6" t="s">
        <v>2468</v>
      </c>
      <c r="O428" s="6" t="s">
        <v>18</v>
      </c>
      <c r="P428" s="6" t="str">
        <f>VLOOKUP(Tableau1[[#This Row],[SITES NAMES]],[1]Feuil1!$1:$1048576,8,FALSE)</f>
        <v>OK</v>
      </c>
      <c r="Q428" s="6" t="str">
        <f>VLOOKUP(Tableau1[[#This Row],[SITES NAMES]],[1]Feuil1!$1:$1048576,9,FALSE)</f>
        <v>NO</v>
      </c>
      <c r="R428" s="6" t="str">
        <f>VLOOKUP(Tableau1[[#This Row],[SITES NAMES]],[1]Feuil1!$1:$1048576,10,FALSE)</f>
        <v>NO</v>
      </c>
      <c r="S428" s="6" t="s">
        <v>2469</v>
      </c>
      <c r="T428" s="6" t="s">
        <v>2470</v>
      </c>
      <c r="U428" s="6" t="s">
        <v>2471</v>
      </c>
      <c r="V428" s="6" t="s">
        <v>2472</v>
      </c>
      <c r="W428" s="6" t="s">
        <v>2473</v>
      </c>
      <c r="X428" s="8" t="s">
        <v>2727</v>
      </c>
      <c r="Y428" s="6" t="s">
        <v>3239</v>
      </c>
      <c r="Z428" s="6" t="s">
        <v>3253</v>
      </c>
      <c r="AA428" s="38" t="s">
        <v>3682</v>
      </c>
      <c r="AB428" s="38" t="s">
        <v>3683</v>
      </c>
      <c r="AC428" s="38" t="s">
        <v>3684</v>
      </c>
      <c r="AD428" s="38" t="s">
        <v>3682</v>
      </c>
      <c r="AE428" s="38" t="s">
        <v>3682</v>
      </c>
      <c r="AF428" s="38" t="s">
        <v>3682</v>
      </c>
      <c r="AG428" s="40" t="s">
        <v>3685</v>
      </c>
      <c r="AH428" s="37" t="s">
        <v>3686</v>
      </c>
    </row>
    <row r="429" spans="1:34" ht="14.45" hidden="1" customHeight="1" x14ac:dyDescent="0.3">
      <c r="A429" s="6" t="s">
        <v>1997</v>
      </c>
      <c r="B429" s="7">
        <v>45173</v>
      </c>
      <c r="C429" s="6" t="s">
        <v>1996</v>
      </c>
      <c r="D429" s="6" t="s">
        <v>395</v>
      </c>
      <c r="E429" s="6" t="s">
        <v>1965</v>
      </c>
      <c r="F429" s="6" t="s">
        <v>3229</v>
      </c>
      <c r="G429" s="8">
        <v>0.45138</v>
      </c>
      <c r="H429" s="8">
        <v>9.9327299999999994</v>
      </c>
      <c r="I429" s="6" t="s">
        <v>2477</v>
      </c>
      <c r="J429" s="6" t="s">
        <v>2459</v>
      </c>
      <c r="K429" s="6" t="s">
        <v>2468</v>
      </c>
      <c r="L429" s="6" t="s">
        <v>3410</v>
      </c>
      <c r="M429" s="6"/>
      <c r="N429" s="6" t="s">
        <v>2468</v>
      </c>
      <c r="O429" s="6" t="s">
        <v>40</v>
      </c>
      <c r="P429" s="6" t="str">
        <f>VLOOKUP(Tableau1[[#This Row],[SITES NAMES]],[1]Feuil1!$1:$1048576,8,FALSE)</f>
        <v>OK</v>
      </c>
      <c r="Q429" s="6" t="str">
        <f>VLOOKUP(Tableau1[[#This Row],[SITES NAMES]],[1]Feuil1!$1:$1048576,9,FALSE)</f>
        <v>NO</v>
      </c>
      <c r="R429" s="6" t="str">
        <f>VLOOKUP(Tableau1[[#This Row],[SITES NAMES]],[1]Feuil1!$1:$1048576,10,FALSE)</f>
        <v>NO</v>
      </c>
      <c r="S429" s="6" t="s">
        <v>2461</v>
      </c>
      <c r="T429" s="6" t="s">
        <v>2462</v>
      </c>
      <c r="U429" s="6" t="s">
        <v>2463</v>
      </c>
      <c r="V429" s="6" t="s">
        <v>2472</v>
      </c>
      <c r="W429" s="6" t="s">
        <v>2473</v>
      </c>
      <c r="X429" s="8"/>
      <c r="Y429" s="6" t="s">
        <v>3240</v>
      </c>
      <c r="Z429" s="6" t="s">
        <v>3255</v>
      </c>
      <c r="AA429" s="37" t="s">
        <v>3712</v>
      </c>
      <c r="AB429" s="39" t="s">
        <v>3705</v>
      </c>
      <c r="AC429" s="37" t="s">
        <v>3713</v>
      </c>
      <c r="AD429" s="37" t="s">
        <v>3712</v>
      </c>
      <c r="AE429" s="37" t="s">
        <v>3712</v>
      </c>
      <c r="AF429" s="37" t="s">
        <v>3712</v>
      </c>
      <c r="AG429" s="40" t="s">
        <v>3714</v>
      </c>
      <c r="AH429" s="37" t="s">
        <v>3715</v>
      </c>
    </row>
    <row r="430" spans="1:34" ht="14.45" hidden="1" customHeight="1" x14ac:dyDescent="0.25">
      <c r="A430" s="6" t="s">
        <v>1522</v>
      </c>
      <c r="B430" s="7">
        <v>43983</v>
      </c>
      <c r="C430" s="6" t="s">
        <v>1521</v>
      </c>
      <c r="D430" s="6" t="s">
        <v>66</v>
      </c>
      <c r="E430" s="6" t="s">
        <v>3233</v>
      </c>
      <c r="F430" s="6" t="s">
        <v>3229</v>
      </c>
      <c r="G430" s="8">
        <v>1.2155050000000001</v>
      </c>
      <c r="H430" s="8">
        <v>6.3446170000000004</v>
      </c>
      <c r="I430" s="6" t="s">
        <v>2497</v>
      </c>
      <c r="J430" s="6" t="s">
        <v>2459</v>
      </c>
      <c r="K430" s="6" t="s">
        <v>2460</v>
      </c>
      <c r="L430" s="6"/>
      <c r="M430" s="6"/>
      <c r="N430" s="6" t="s">
        <v>3268</v>
      </c>
      <c r="O430" s="6" t="s">
        <v>7</v>
      </c>
      <c r="P430" s="6" t="str">
        <f>VLOOKUP(Tableau1[[#This Row],[SITES NAMES]],[1]Feuil1!$1:$1048576,8,FALSE)</f>
        <v>OK</v>
      </c>
      <c r="Q430" s="6" t="str">
        <f>VLOOKUP(Tableau1[[#This Row],[SITES NAMES]],[1]Feuil1!$1:$1048576,9,FALSE)</f>
        <v>NO</v>
      </c>
      <c r="R430" s="6" t="str">
        <f>VLOOKUP(Tableau1[[#This Row],[SITES NAMES]],[1]Feuil1!$1:$1048576,10,FALSE)</f>
        <v>NO</v>
      </c>
      <c r="S430" s="6" t="s">
        <v>2461</v>
      </c>
      <c r="T430" s="6" t="s">
        <v>2462</v>
      </c>
      <c r="U430" s="6" t="s">
        <v>2463</v>
      </c>
      <c r="V430" s="6" t="s">
        <v>2478</v>
      </c>
      <c r="W430" s="6" t="s">
        <v>2465</v>
      </c>
      <c r="X430" s="8" t="s">
        <v>2961</v>
      </c>
      <c r="Y430" s="6" t="s">
        <v>3238</v>
      </c>
      <c r="Z430" s="6" t="s">
        <v>3264</v>
      </c>
      <c r="AA430" s="35" t="s">
        <v>3616</v>
      </c>
      <c r="AB430" s="35" t="s">
        <v>3608</v>
      </c>
      <c r="AC430" s="35" t="s">
        <v>3617</v>
      </c>
      <c r="AD430" s="35" t="s">
        <v>3610</v>
      </c>
      <c r="AE430" s="35" t="s">
        <v>3610</v>
      </c>
      <c r="AF430" s="35" t="s">
        <v>3611</v>
      </c>
      <c r="AG430" s="35" t="s">
        <v>3612</v>
      </c>
      <c r="AH430" s="35" t="s">
        <v>3618</v>
      </c>
    </row>
    <row r="431" spans="1:34" ht="14.45" hidden="1" customHeight="1" x14ac:dyDescent="0.25">
      <c r="A431" s="6" t="s">
        <v>1240</v>
      </c>
      <c r="B431" s="7">
        <v>40791</v>
      </c>
      <c r="C431" s="6" t="s">
        <v>1239</v>
      </c>
      <c r="D431" s="6" t="s">
        <v>66</v>
      </c>
      <c r="E431" s="6" t="s">
        <v>1924</v>
      </c>
      <c r="F431" s="18" t="s">
        <v>3230</v>
      </c>
      <c r="G431" s="8">
        <v>1.2811300000000001</v>
      </c>
      <c r="H431" s="8">
        <v>6.2515700000000001</v>
      </c>
      <c r="I431" s="6" t="s">
        <v>2497</v>
      </c>
      <c r="J431" s="6" t="s">
        <v>2459</v>
      </c>
      <c r="K431" s="6" t="s">
        <v>2460</v>
      </c>
      <c r="L431" s="6"/>
      <c r="M431" s="6"/>
      <c r="N431" s="6" t="s">
        <v>3268</v>
      </c>
      <c r="O431" s="6" t="s">
        <v>7</v>
      </c>
      <c r="P431" s="6" t="str">
        <f>VLOOKUP(Tableau1[[#This Row],[SITES NAMES]],[1]Feuil1!$1:$1048576,8,FALSE)</f>
        <v>OK</v>
      </c>
      <c r="Q431" s="6" t="str">
        <f>VLOOKUP(Tableau1[[#This Row],[SITES NAMES]],[1]Feuil1!$1:$1048576,9,FALSE)</f>
        <v>NO</v>
      </c>
      <c r="R431" s="6" t="str">
        <f>VLOOKUP(Tableau1[[#This Row],[SITES NAMES]],[1]Feuil1!$1:$1048576,10,FALSE)</f>
        <v>NO</v>
      </c>
      <c r="S431" s="6" t="s">
        <v>2469</v>
      </c>
      <c r="T431" s="6" t="s">
        <v>2470</v>
      </c>
      <c r="U431" s="6" t="s">
        <v>2480</v>
      </c>
      <c r="V431" s="6" t="s">
        <v>2478</v>
      </c>
      <c r="W431" s="6" t="s">
        <v>2465</v>
      </c>
      <c r="X431" s="8" t="s">
        <v>2907</v>
      </c>
      <c r="Y431" s="6" t="s">
        <v>3238</v>
      </c>
      <c r="Z431" s="6" t="s">
        <v>3261</v>
      </c>
      <c r="AA431" s="35" t="s">
        <v>3607</v>
      </c>
      <c r="AB431" s="35" t="s">
        <v>3608</v>
      </c>
      <c r="AC431" s="35" t="s">
        <v>3609</v>
      </c>
      <c r="AD431" s="35" t="s">
        <v>3610</v>
      </c>
      <c r="AE431" s="35" t="s">
        <v>3610</v>
      </c>
      <c r="AF431" s="35" t="s">
        <v>3611</v>
      </c>
      <c r="AG431" s="35" t="s">
        <v>3612</v>
      </c>
      <c r="AH431" s="35" t="s">
        <v>3613</v>
      </c>
    </row>
    <row r="432" spans="1:34" ht="14.45" hidden="1" customHeight="1" x14ac:dyDescent="0.25">
      <c r="A432" s="6" t="s">
        <v>1171</v>
      </c>
      <c r="B432" s="7">
        <v>45096</v>
      </c>
      <c r="C432" s="6" t="s">
        <v>1170</v>
      </c>
      <c r="D432" s="6" t="s">
        <v>66</v>
      </c>
      <c r="E432" s="6" t="s">
        <v>1924</v>
      </c>
      <c r="F432" s="6" t="s">
        <v>3229</v>
      </c>
      <c r="G432" s="8">
        <v>1.25034</v>
      </c>
      <c r="H432" s="8">
        <v>6.2838000000000003</v>
      </c>
      <c r="I432" s="6" t="s">
        <v>2479</v>
      </c>
      <c r="J432" s="6" t="s">
        <v>2459</v>
      </c>
      <c r="K432" s="6" t="s">
        <v>2460</v>
      </c>
      <c r="L432" s="6" t="s">
        <v>3411</v>
      </c>
      <c r="M432" s="6"/>
      <c r="N432" s="6" t="s">
        <v>3268</v>
      </c>
      <c r="O432" s="6" t="s">
        <v>7</v>
      </c>
      <c r="P432" s="6" t="str">
        <f>VLOOKUP(Tableau1[[#This Row],[SITES NAMES]],[1]Feuil1!$1:$1048576,8,FALSE)</f>
        <v>OK</v>
      </c>
      <c r="Q432" s="6" t="str">
        <f>VLOOKUP(Tableau1[[#This Row],[SITES NAMES]],[1]Feuil1!$1:$1048576,9,FALSE)</f>
        <v>NO</v>
      </c>
      <c r="R432" s="6" t="str">
        <f>VLOOKUP(Tableau1[[#This Row],[SITES NAMES]],[1]Feuil1!$1:$1048576,10,FALSE)</f>
        <v>NO</v>
      </c>
      <c r="S432" s="6" t="s">
        <v>2461</v>
      </c>
      <c r="T432" s="6" t="s">
        <v>2462</v>
      </c>
      <c r="U432" s="6" t="s">
        <v>2463</v>
      </c>
      <c r="V432" s="6" t="s">
        <v>2464</v>
      </c>
      <c r="W432" s="6" t="s">
        <v>2465</v>
      </c>
      <c r="X432" s="8"/>
      <c r="Y432" s="6" t="s">
        <v>3238</v>
      </c>
      <c r="Z432" s="6" t="s">
        <v>3261</v>
      </c>
      <c r="AA432" s="35" t="s">
        <v>3607</v>
      </c>
      <c r="AB432" s="35" t="s">
        <v>3608</v>
      </c>
      <c r="AC432" s="35" t="s">
        <v>3609</v>
      </c>
      <c r="AD432" s="35" t="s">
        <v>3610</v>
      </c>
      <c r="AE432" s="35" t="s">
        <v>3610</v>
      </c>
      <c r="AF432" s="35" t="s">
        <v>3611</v>
      </c>
      <c r="AG432" s="35" t="s">
        <v>3612</v>
      </c>
      <c r="AH432" s="35" t="s">
        <v>3613</v>
      </c>
    </row>
    <row r="433" spans="1:34" ht="14.45" hidden="1" customHeight="1" x14ac:dyDescent="0.25">
      <c r="A433" s="6" t="s">
        <v>1173</v>
      </c>
      <c r="B433" s="7">
        <v>44830</v>
      </c>
      <c r="C433" s="6" t="s">
        <v>1172</v>
      </c>
      <c r="D433" s="6" t="s">
        <v>66</v>
      </c>
      <c r="E433" s="6" t="s">
        <v>1924</v>
      </c>
      <c r="F433" s="6" t="s">
        <v>3229</v>
      </c>
      <c r="G433" s="8">
        <v>1.2767926700000001</v>
      </c>
      <c r="H433" s="8">
        <v>6.2829008069999999</v>
      </c>
      <c r="I433" s="6" t="s">
        <v>2479</v>
      </c>
      <c r="J433" s="6" t="s">
        <v>2459</v>
      </c>
      <c r="K433" s="6" t="s">
        <v>2460</v>
      </c>
      <c r="L433" s="6" t="s">
        <v>3412</v>
      </c>
      <c r="M433" s="6"/>
      <c r="N433" s="6" t="s">
        <v>3268</v>
      </c>
      <c r="O433" s="6" t="s">
        <v>37</v>
      </c>
      <c r="P433" s="6" t="str">
        <f>VLOOKUP(Tableau1[[#This Row],[SITES NAMES]],[1]Feuil1!$1:$1048576,8,FALSE)</f>
        <v>OK</v>
      </c>
      <c r="Q433" s="6" t="str">
        <f>VLOOKUP(Tableau1[[#This Row],[SITES NAMES]],[1]Feuil1!$1:$1048576,9,FALSE)</f>
        <v>NO</v>
      </c>
      <c r="R433" s="6" t="str">
        <f>VLOOKUP(Tableau1[[#This Row],[SITES NAMES]],[1]Feuil1!$1:$1048576,10,FALSE)</f>
        <v>YES</v>
      </c>
      <c r="S433" s="6" t="s">
        <v>2461</v>
      </c>
      <c r="T433" s="6" t="s">
        <v>2470</v>
      </c>
      <c r="U433" s="6" t="s">
        <v>2463</v>
      </c>
      <c r="V433" s="6" t="s">
        <v>2478</v>
      </c>
      <c r="W433" s="6" t="s">
        <v>2465</v>
      </c>
      <c r="X433" s="8" t="s">
        <v>2895</v>
      </c>
      <c r="Y433" s="6" t="s">
        <v>3238</v>
      </c>
      <c r="Z433" s="6" t="s">
        <v>3261</v>
      </c>
      <c r="AA433" s="35" t="s">
        <v>3607</v>
      </c>
      <c r="AB433" s="35" t="s">
        <v>3608</v>
      </c>
      <c r="AC433" s="35" t="s">
        <v>3609</v>
      </c>
      <c r="AD433" s="35" t="s">
        <v>3610</v>
      </c>
      <c r="AE433" s="35" t="s">
        <v>3610</v>
      </c>
      <c r="AF433" s="35" t="s">
        <v>3611</v>
      </c>
      <c r="AG433" s="35" t="s">
        <v>3612</v>
      </c>
      <c r="AH433" s="35" t="s">
        <v>3613</v>
      </c>
    </row>
    <row r="434" spans="1:34" ht="14.45" hidden="1" customHeight="1" x14ac:dyDescent="0.25">
      <c r="A434" s="6" t="s">
        <v>1175</v>
      </c>
      <c r="B434" s="7">
        <v>45206</v>
      </c>
      <c r="C434" s="6" t="s">
        <v>1174</v>
      </c>
      <c r="D434" s="6" t="s">
        <v>66</v>
      </c>
      <c r="E434" s="6" t="s">
        <v>1924</v>
      </c>
      <c r="F434" s="6" t="s">
        <v>3229</v>
      </c>
      <c r="G434" s="8">
        <v>1.29355</v>
      </c>
      <c r="H434" s="8">
        <v>6.2531819999999998</v>
      </c>
      <c r="I434" s="6" t="s">
        <v>2479</v>
      </c>
      <c r="J434" s="6" t="s">
        <v>2459</v>
      </c>
      <c r="K434" s="6" t="s">
        <v>2460</v>
      </c>
      <c r="L434" s="6" t="s">
        <v>49</v>
      </c>
      <c r="M434" s="6"/>
      <c r="N434" s="6" t="s">
        <v>3268</v>
      </c>
      <c r="O434" s="6" t="s">
        <v>7</v>
      </c>
      <c r="P434" s="6" t="str">
        <f>VLOOKUP(Tableau1[[#This Row],[SITES NAMES]],[1]Feuil1!$1:$1048576,8,FALSE)</f>
        <v>OK</v>
      </c>
      <c r="Q434" s="6" t="str">
        <f>VLOOKUP(Tableau1[[#This Row],[SITES NAMES]],[1]Feuil1!$1:$1048576,9,FALSE)</f>
        <v>NO</v>
      </c>
      <c r="R434" s="6" t="str">
        <f>VLOOKUP(Tableau1[[#This Row],[SITES NAMES]],[1]Feuil1!$1:$1048576,10,FALSE)</f>
        <v>NO</v>
      </c>
      <c r="S434" s="6" t="s">
        <v>2469</v>
      </c>
      <c r="T434" s="6" t="s">
        <v>2470</v>
      </c>
      <c r="U434" s="6" t="s">
        <v>2480</v>
      </c>
      <c r="V434" s="6" t="s">
        <v>2478</v>
      </c>
      <c r="W434" s="6" t="s">
        <v>2531</v>
      </c>
      <c r="X434" s="8"/>
      <c r="Y434" s="6" t="s">
        <v>3238</v>
      </c>
      <c r="Z434" s="6" t="s">
        <v>3261</v>
      </c>
      <c r="AA434" s="35" t="s">
        <v>3607</v>
      </c>
      <c r="AB434" s="35" t="s">
        <v>3608</v>
      </c>
      <c r="AC434" s="35" t="s">
        <v>3609</v>
      </c>
      <c r="AD434" s="35" t="s">
        <v>3610</v>
      </c>
      <c r="AE434" s="35" t="s">
        <v>3610</v>
      </c>
      <c r="AF434" s="35" t="s">
        <v>3611</v>
      </c>
      <c r="AG434" s="35" t="s">
        <v>3612</v>
      </c>
      <c r="AH434" s="35" t="s">
        <v>3613</v>
      </c>
    </row>
    <row r="435" spans="1:34" ht="14.45" hidden="1" customHeight="1" x14ac:dyDescent="0.25">
      <c r="A435" s="6" t="s">
        <v>1177</v>
      </c>
      <c r="B435" s="7">
        <v>43871</v>
      </c>
      <c r="C435" s="6" t="s">
        <v>1176</v>
      </c>
      <c r="D435" s="6" t="s">
        <v>66</v>
      </c>
      <c r="E435" s="6" t="s">
        <v>1924</v>
      </c>
      <c r="F435" s="6" t="s">
        <v>3229</v>
      </c>
      <c r="G435" s="8">
        <v>1.288583</v>
      </c>
      <c r="H435" s="8">
        <v>6.244243</v>
      </c>
      <c r="I435" s="6" t="s">
        <v>2486</v>
      </c>
      <c r="J435" s="6" t="s">
        <v>2459</v>
      </c>
      <c r="K435" s="6" t="s">
        <v>2460</v>
      </c>
      <c r="L435" s="6"/>
      <c r="M435" s="6"/>
      <c r="N435" s="6" t="s">
        <v>3268</v>
      </c>
      <c r="O435" s="6" t="s">
        <v>7</v>
      </c>
      <c r="P435" s="6" t="str">
        <f>VLOOKUP(Tableau1[[#This Row],[SITES NAMES]],[1]Feuil1!$1:$1048576,8,FALSE)</f>
        <v>OK</v>
      </c>
      <c r="Q435" s="6" t="str">
        <f>VLOOKUP(Tableau1[[#This Row],[SITES NAMES]],[1]Feuil1!$1:$1048576,9,FALSE)</f>
        <v>NO</v>
      </c>
      <c r="R435" s="6" t="str">
        <f>VLOOKUP(Tableau1[[#This Row],[SITES NAMES]],[1]Feuil1!$1:$1048576,10,FALSE)</f>
        <v>NO</v>
      </c>
      <c r="S435" s="6" t="s">
        <v>2469</v>
      </c>
      <c r="T435" s="6" t="s">
        <v>2470</v>
      </c>
      <c r="U435" s="6" t="s">
        <v>2471</v>
      </c>
      <c r="V435" s="6" t="s">
        <v>2464</v>
      </c>
      <c r="W435" s="6" t="s">
        <v>2465</v>
      </c>
      <c r="X435" s="8" t="s">
        <v>2896</v>
      </c>
      <c r="Y435" s="6" t="s">
        <v>3238</v>
      </c>
      <c r="Z435" s="6" t="s">
        <v>3261</v>
      </c>
      <c r="AA435" s="35" t="s">
        <v>3607</v>
      </c>
      <c r="AB435" s="35" t="s">
        <v>3608</v>
      </c>
      <c r="AC435" s="35" t="s">
        <v>3609</v>
      </c>
      <c r="AD435" s="35" t="s">
        <v>3610</v>
      </c>
      <c r="AE435" s="35" t="s">
        <v>3610</v>
      </c>
      <c r="AF435" s="35" t="s">
        <v>3611</v>
      </c>
      <c r="AG435" s="35" t="s">
        <v>3612</v>
      </c>
      <c r="AH435" s="35" t="s">
        <v>3613</v>
      </c>
    </row>
    <row r="436" spans="1:34" ht="14.45" hidden="1" customHeight="1" x14ac:dyDescent="0.25">
      <c r="A436" s="6" t="s">
        <v>1179</v>
      </c>
      <c r="B436" s="7">
        <v>44532</v>
      </c>
      <c r="C436" s="6" t="s">
        <v>1178</v>
      </c>
      <c r="D436" s="6" t="s">
        <v>66</v>
      </c>
      <c r="E436" s="6" t="s">
        <v>1924</v>
      </c>
      <c r="F436" s="6" t="s">
        <v>3229</v>
      </c>
      <c r="G436" s="8">
        <v>1.30131</v>
      </c>
      <c r="H436" s="8">
        <v>6.2434700000000003</v>
      </c>
      <c r="I436" s="6" t="s">
        <v>2497</v>
      </c>
      <c r="J436" s="6" t="s">
        <v>2459</v>
      </c>
      <c r="K436" s="6" t="s">
        <v>2460</v>
      </c>
      <c r="L436" s="6"/>
      <c r="M436" s="6"/>
      <c r="N436" s="6" t="s">
        <v>3268</v>
      </c>
      <c r="O436" s="6" t="s">
        <v>7</v>
      </c>
      <c r="P436" s="6" t="str">
        <f>VLOOKUP(Tableau1[[#This Row],[SITES NAMES]],[1]Feuil1!$1:$1048576,8,FALSE)</f>
        <v>OK</v>
      </c>
      <c r="Q436" s="6" t="str">
        <f>VLOOKUP(Tableau1[[#This Row],[SITES NAMES]],[1]Feuil1!$1:$1048576,9,FALSE)</f>
        <v>NO</v>
      </c>
      <c r="R436" s="6" t="str">
        <f>VLOOKUP(Tableau1[[#This Row],[SITES NAMES]],[1]Feuil1!$1:$1048576,10,FALSE)</f>
        <v>YES</v>
      </c>
      <c r="S436" s="6" t="s">
        <v>2461</v>
      </c>
      <c r="T436" s="6" t="s">
        <v>2462</v>
      </c>
      <c r="U436" s="6" t="s">
        <v>2463</v>
      </c>
      <c r="V436" s="6" t="s">
        <v>2464</v>
      </c>
      <c r="W436" s="6" t="s">
        <v>2465</v>
      </c>
      <c r="X436" s="8" t="s">
        <v>2897</v>
      </c>
      <c r="Y436" s="6" t="s">
        <v>3238</v>
      </c>
      <c r="Z436" s="6" t="s">
        <v>3261</v>
      </c>
      <c r="AA436" s="35" t="s">
        <v>3607</v>
      </c>
      <c r="AB436" s="35" t="s">
        <v>3608</v>
      </c>
      <c r="AC436" s="35" t="s">
        <v>3609</v>
      </c>
      <c r="AD436" s="35" t="s">
        <v>3610</v>
      </c>
      <c r="AE436" s="35" t="s">
        <v>3610</v>
      </c>
      <c r="AF436" s="35" t="s">
        <v>3611</v>
      </c>
      <c r="AG436" s="35" t="s">
        <v>3612</v>
      </c>
      <c r="AH436" s="35" t="s">
        <v>3613</v>
      </c>
    </row>
    <row r="437" spans="1:34" ht="14.45" hidden="1" customHeight="1" x14ac:dyDescent="0.25">
      <c r="A437" s="6" t="s">
        <v>1181</v>
      </c>
      <c r="B437" s="7">
        <v>44108</v>
      </c>
      <c r="C437" s="6" t="s">
        <v>1180</v>
      </c>
      <c r="D437" s="6" t="s">
        <v>66</v>
      </c>
      <c r="E437" s="6" t="s">
        <v>1924</v>
      </c>
      <c r="F437" s="6" t="s">
        <v>3229</v>
      </c>
      <c r="G437" s="8">
        <v>1.27051</v>
      </c>
      <c r="H437" s="8">
        <v>6.26126</v>
      </c>
      <c r="I437" s="6" t="s">
        <v>2486</v>
      </c>
      <c r="J437" s="6" t="s">
        <v>2459</v>
      </c>
      <c r="K437" s="6" t="s">
        <v>2460</v>
      </c>
      <c r="L437" s="6"/>
      <c r="M437" s="6"/>
      <c r="N437" s="6" t="s">
        <v>3268</v>
      </c>
      <c r="O437" s="6" t="s">
        <v>7</v>
      </c>
      <c r="P437" s="6" t="str">
        <f>VLOOKUP(Tableau1[[#This Row],[SITES NAMES]],[1]Feuil1!$1:$1048576,8,FALSE)</f>
        <v>NOK</v>
      </c>
      <c r="Q437" s="6" t="str">
        <f>VLOOKUP(Tableau1[[#This Row],[SITES NAMES]],[1]Feuil1!$1:$1048576,9,FALSE)</f>
        <v>NO</v>
      </c>
      <c r="R437" s="6" t="str">
        <f>VLOOKUP(Tableau1[[#This Row],[SITES NAMES]],[1]Feuil1!$1:$1048576,10,FALSE)</f>
        <v>NO</v>
      </c>
      <c r="S437" s="6" t="s">
        <v>2461</v>
      </c>
      <c r="T437" s="6" t="s">
        <v>2462</v>
      </c>
      <c r="U437" s="6" t="s">
        <v>2463</v>
      </c>
      <c r="V437" s="6" t="s">
        <v>2478</v>
      </c>
      <c r="W437" s="6" t="s">
        <v>2465</v>
      </c>
      <c r="X437" s="8" t="s">
        <v>2898</v>
      </c>
      <c r="Y437" s="6" t="s">
        <v>3238</v>
      </c>
      <c r="Z437" s="6" t="s">
        <v>3261</v>
      </c>
      <c r="AA437" s="35" t="s">
        <v>3607</v>
      </c>
      <c r="AB437" s="35" t="s">
        <v>3608</v>
      </c>
      <c r="AC437" s="35" t="s">
        <v>3609</v>
      </c>
      <c r="AD437" s="35" t="s">
        <v>3610</v>
      </c>
      <c r="AE437" s="35" t="s">
        <v>3610</v>
      </c>
      <c r="AF437" s="35" t="s">
        <v>3611</v>
      </c>
      <c r="AG437" s="35" t="s">
        <v>3612</v>
      </c>
      <c r="AH437" s="35" t="s">
        <v>3613</v>
      </c>
    </row>
    <row r="438" spans="1:34" ht="14.45" hidden="1" customHeight="1" x14ac:dyDescent="0.3">
      <c r="A438" s="6" t="s">
        <v>394</v>
      </c>
      <c r="B438" s="7">
        <v>0</v>
      </c>
      <c r="C438" s="6" t="s">
        <v>393</v>
      </c>
      <c r="D438" s="6" t="s">
        <v>395</v>
      </c>
      <c r="E438" s="6" t="s">
        <v>396</v>
      </c>
      <c r="F438" s="6" t="s">
        <v>3229</v>
      </c>
      <c r="G438" s="8">
        <v>0.23302290000000001</v>
      </c>
      <c r="H438" s="8">
        <v>11.062813999999999</v>
      </c>
      <c r="I438" s="6" t="s">
        <v>2477</v>
      </c>
      <c r="J438" s="6" t="s">
        <v>2459</v>
      </c>
      <c r="K438" s="6" t="s">
        <v>2468</v>
      </c>
      <c r="L438" s="6" t="s">
        <v>3413</v>
      </c>
      <c r="M438" s="6"/>
      <c r="N438" s="6" t="s">
        <v>2468</v>
      </c>
      <c r="O438" s="6" t="s">
        <v>40</v>
      </c>
      <c r="P438" s="6" t="str">
        <f>VLOOKUP(Tableau1[[#This Row],[SITES NAMES]],[1]Feuil1!$1:$1048576,8,FALSE)</f>
        <v>NOK</v>
      </c>
      <c r="Q438" s="6" t="str">
        <f>VLOOKUP(Tableau1[[#This Row],[SITES NAMES]],[1]Feuil1!$1:$1048576,9,FALSE)</f>
        <v>NO</v>
      </c>
      <c r="R438" s="6" t="str">
        <f>VLOOKUP(Tableau1[[#This Row],[SITES NAMES]],[1]Feuil1!$1:$1048576,10,FALSE)</f>
        <v>YES</v>
      </c>
      <c r="S438" s="6" t="s">
        <v>2461</v>
      </c>
      <c r="T438" s="6" t="s">
        <v>2462</v>
      </c>
      <c r="U438" s="6" t="s">
        <v>2463</v>
      </c>
      <c r="V438" s="6" t="s">
        <v>2464</v>
      </c>
      <c r="W438" s="6" t="s">
        <v>2473</v>
      </c>
      <c r="X438" s="8">
        <v>70996767</v>
      </c>
      <c r="Y438" s="6" t="s">
        <v>3240</v>
      </c>
      <c r="Z438" s="6" t="s">
        <v>3255</v>
      </c>
      <c r="AA438" s="37" t="s">
        <v>3704</v>
      </c>
      <c r="AB438" s="39" t="s">
        <v>3705</v>
      </c>
      <c r="AC438" s="37" t="s">
        <v>3706</v>
      </c>
      <c r="AD438" s="37" t="s">
        <v>3707</v>
      </c>
      <c r="AE438" s="37" t="s">
        <v>3708</v>
      </c>
      <c r="AF438" s="37" t="s">
        <v>3709</v>
      </c>
      <c r="AG438" s="46" t="s">
        <v>3710</v>
      </c>
      <c r="AH438" s="37" t="s">
        <v>3711</v>
      </c>
    </row>
    <row r="439" spans="1:34" ht="14.45" hidden="1" customHeight="1" x14ac:dyDescent="0.3">
      <c r="A439" s="6" t="s">
        <v>953</v>
      </c>
      <c r="B439" s="7">
        <v>38322</v>
      </c>
      <c r="C439" s="6" t="s">
        <v>952</v>
      </c>
      <c r="D439" s="6" t="s">
        <v>657</v>
      </c>
      <c r="E439" s="6" t="s">
        <v>3235</v>
      </c>
      <c r="F439" s="6" t="s">
        <v>3229</v>
      </c>
      <c r="G439" s="8">
        <v>1.03471</v>
      </c>
      <c r="H439" s="8">
        <v>9.51389</v>
      </c>
      <c r="I439" s="6" t="s">
        <v>2477</v>
      </c>
      <c r="J439" s="6" t="s">
        <v>2459</v>
      </c>
      <c r="K439" s="6" t="s">
        <v>2460</v>
      </c>
      <c r="L439" s="6"/>
      <c r="M439" s="6"/>
      <c r="N439" s="6" t="s">
        <v>3268</v>
      </c>
      <c r="O439" s="6" t="s">
        <v>18</v>
      </c>
      <c r="P439" s="6" t="str">
        <f>VLOOKUP(Tableau1[[#This Row],[SITES NAMES]],[1]Feuil1!$1:$1048576,8,FALSE)</f>
        <v>NOK</v>
      </c>
      <c r="Q439" s="6" t="str">
        <f>VLOOKUP(Tableau1[[#This Row],[SITES NAMES]],[1]Feuil1!$1:$1048576,9,FALSE)</f>
        <v>NO</v>
      </c>
      <c r="R439" s="6" t="str">
        <f>VLOOKUP(Tableau1[[#This Row],[SITES NAMES]],[1]Feuil1!$1:$1048576,10,FALSE)</f>
        <v>NO</v>
      </c>
      <c r="S439" s="6" t="s">
        <v>2469</v>
      </c>
      <c r="T439" s="6" t="s">
        <v>2470</v>
      </c>
      <c r="U439" s="6" t="s">
        <v>2480</v>
      </c>
      <c r="V439" s="6" t="s">
        <v>2472</v>
      </c>
      <c r="W439" s="6" t="s">
        <v>2473</v>
      </c>
      <c r="X439" s="8" t="s">
        <v>2820</v>
      </c>
      <c r="Y439" s="6" t="s">
        <v>3239</v>
      </c>
      <c r="Z439" s="6" t="s">
        <v>3253</v>
      </c>
      <c r="AA439" s="37" t="s">
        <v>3698</v>
      </c>
      <c r="AB439" s="38" t="s">
        <v>3683</v>
      </c>
      <c r="AC439" s="39" t="s">
        <v>3699</v>
      </c>
      <c r="AD439" s="39" t="s">
        <v>3700</v>
      </c>
      <c r="AE439" s="37" t="s">
        <v>3701</v>
      </c>
      <c r="AF439" s="39" t="s">
        <v>3702</v>
      </c>
      <c r="AG439" s="40" t="s">
        <v>3685</v>
      </c>
      <c r="AH439" s="37" t="s">
        <v>3703</v>
      </c>
    </row>
    <row r="440" spans="1:34" ht="14.45" hidden="1" customHeight="1" x14ac:dyDescent="0.3">
      <c r="A440" s="6" t="s">
        <v>1967</v>
      </c>
      <c r="B440" s="7">
        <v>43781</v>
      </c>
      <c r="C440" s="6" t="s">
        <v>1966</v>
      </c>
      <c r="D440" s="6" t="s">
        <v>395</v>
      </c>
      <c r="E440" s="6" t="s">
        <v>1965</v>
      </c>
      <c r="F440" s="6" t="s">
        <v>3229</v>
      </c>
      <c r="G440" s="8">
        <v>0.69575600000000004</v>
      </c>
      <c r="H440" s="8">
        <v>10.469048000000001</v>
      </c>
      <c r="I440" s="6" t="s">
        <v>2477</v>
      </c>
      <c r="J440" s="6" t="s">
        <v>2459</v>
      </c>
      <c r="K440" s="6" t="s">
        <v>2468</v>
      </c>
      <c r="L440" s="6" t="s">
        <v>3414</v>
      </c>
      <c r="M440" s="6"/>
      <c r="N440" s="6" t="s">
        <v>2468</v>
      </c>
      <c r="O440" s="6" t="s">
        <v>40</v>
      </c>
      <c r="P440" s="6" t="str">
        <f>VLOOKUP(Tableau1[[#This Row],[SITES NAMES]],[1]Feuil1!$1:$1048576,8,FALSE)</f>
        <v>OK</v>
      </c>
      <c r="Q440" s="6" t="str">
        <f>VLOOKUP(Tableau1[[#This Row],[SITES NAMES]],[1]Feuil1!$1:$1048576,9,FALSE)</f>
        <v>NO</v>
      </c>
      <c r="R440" s="6" t="str">
        <f>VLOOKUP(Tableau1[[#This Row],[SITES NAMES]],[1]Feuil1!$1:$1048576,10,FALSE)</f>
        <v>NO</v>
      </c>
      <c r="S440" s="6" t="s">
        <v>2469</v>
      </c>
      <c r="T440" s="6" t="s">
        <v>2470</v>
      </c>
      <c r="U440" s="6" t="s">
        <v>2471</v>
      </c>
      <c r="V440" s="6" t="s">
        <v>2472</v>
      </c>
      <c r="W440" s="6" t="s">
        <v>2473</v>
      </c>
      <c r="X440" s="8" t="s">
        <v>3065</v>
      </c>
      <c r="Y440" s="6" t="s">
        <v>3240</v>
      </c>
      <c r="Z440" s="6" t="s">
        <v>3255</v>
      </c>
      <c r="AA440" s="37" t="s">
        <v>3712</v>
      </c>
      <c r="AB440" s="39" t="s">
        <v>3705</v>
      </c>
      <c r="AC440" s="37" t="s">
        <v>3713</v>
      </c>
      <c r="AD440" s="37" t="s">
        <v>3712</v>
      </c>
      <c r="AE440" s="37" t="s">
        <v>3712</v>
      </c>
      <c r="AF440" s="37" t="s">
        <v>3712</v>
      </c>
      <c r="AG440" s="40" t="s">
        <v>3714</v>
      </c>
      <c r="AH440" s="37" t="s">
        <v>3715</v>
      </c>
    </row>
    <row r="441" spans="1:34" ht="14.45" hidden="1" customHeight="1" x14ac:dyDescent="0.3">
      <c r="A441" s="6" t="s">
        <v>664</v>
      </c>
      <c r="B441" s="7">
        <v>38453</v>
      </c>
      <c r="C441" s="6" t="s">
        <v>663</v>
      </c>
      <c r="D441" s="6" t="s">
        <v>657</v>
      </c>
      <c r="E441" s="6" t="s">
        <v>658</v>
      </c>
      <c r="F441" s="6" t="s">
        <v>3229</v>
      </c>
      <c r="G441" s="8">
        <v>0.56286999999999998</v>
      </c>
      <c r="H441" s="8">
        <v>8.7817600000000002</v>
      </c>
      <c r="I441" s="6" t="s">
        <v>2525</v>
      </c>
      <c r="J441" s="6" t="s">
        <v>2459</v>
      </c>
      <c r="K441" s="6" t="s">
        <v>2460</v>
      </c>
      <c r="L441" s="6" t="s">
        <v>3415</v>
      </c>
      <c r="M441" s="6"/>
      <c r="N441" s="6" t="s">
        <v>3268</v>
      </c>
      <c r="O441" s="6" t="s">
        <v>18</v>
      </c>
      <c r="P441" s="6" t="str">
        <f>VLOOKUP(Tableau1[[#This Row],[SITES NAMES]],[1]Feuil1!$1:$1048576,8,FALSE)</f>
        <v>OK</v>
      </c>
      <c r="Q441" s="6" t="str">
        <f>VLOOKUP(Tableau1[[#This Row],[SITES NAMES]],[1]Feuil1!$1:$1048576,9,FALSE)</f>
        <v>NO</v>
      </c>
      <c r="R441" s="6" t="str">
        <f>VLOOKUP(Tableau1[[#This Row],[SITES NAMES]],[1]Feuil1!$1:$1048576,10,FALSE)</f>
        <v>YES</v>
      </c>
      <c r="S441" s="6" t="s">
        <v>2469</v>
      </c>
      <c r="T441" s="6" t="s">
        <v>2470</v>
      </c>
      <c r="U441" s="6" t="s">
        <v>2471</v>
      </c>
      <c r="V441" s="6" t="s">
        <v>2464</v>
      </c>
      <c r="W441" s="6" t="s">
        <v>2465</v>
      </c>
      <c r="X441" s="8" t="s">
        <v>2715</v>
      </c>
      <c r="Y441" s="6" t="s">
        <v>3239</v>
      </c>
      <c r="Z441" s="6" t="s">
        <v>3253</v>
      </c>
      <c r="AA441" s="38" t="s">
        <v>3682</v>
      </c>
      <c r="AB441" s="38" t="s">
        <v>3683</v>
      </c>
      <c r="AC441" s="38" t="s">
        <v>3684</v>
      </c>
      <c r="AD441" s="38" t="s">
        <v>3682</v>
      </c>
      <c r="AE441" s="38" t="s">
        <v>3682</v>
      </c>
      <c r="AF441" s="38" t="s">
        <v>3682</v>
      </c>
      <c r="AG441" s="40" t="s">
        <v>3685</v>
      </c>
      <c r="AH441" s="37" t="s">
        <v>3686</v>
      </c>
    </row>
    <row r="442" spans="1:34" ht="14.45" hidden="1" customHeight="1" x14ac:dyDescent="0.3">
      <c r="A442" s="6" t="s">
        <v>700</v>
      </c>
      <c r="B442" s="7">
        <v>43871</v>
      </c>
      <c r="C442" s="6" t="s">
        <v>699</v>
      </c>
      <c r="D442" s="6" t="s">
        <v>657</v>
      </c>
      <c r="E442" s="6" t="s">
        <v>658</v>
      </c>
      <c r="F442" s="6" t="s">
        <v>3229</v>
      </c>
      <c r="G442" s="8">
        <v>0.57052000000000003</v>
      </c>
      <c r="H442" s="8">
        <v>8.7890700000000006</v>
      </c>
      <c r="I442" s="6" t="s">
        <v>2467</v>
      </c>
      <c r="J442" s="6" t="s">
        <v>2459</v>
      </c>
      <c r="K442" s="6" t="s">
        <v>2460</v>
      </c>
      <c r="L442" s="6" t="s">
        <v>3416</v>
      </c>
      <c r="M442" s="6"/>
      <c r="N442" s="6" t="s">
        <v>3268</v>
      </c>
      <c r="O442" s="6" t="s">
        <v>7</v>
      </c>
      <c r="P442" s="6" t="str">
        <f>VLOOKUP(Tableau1[[#This Row],[SITES NAMES]],[1]Feuil1!$1:$1048576,8,FALSE)</f>
        <v>OK</v>
      </c>
      <c r="Q442" s="6" t="str">
        <f>VLOOKUP(Tableau1[[#This Row],[SITES NAMES]],[1]Feuil1!$1:$1048576,9,FALSE)</f>
        <v>NO</v>
      </c>
      <c r="R442" s="6" t="str">
        <f>VLOOKUP(Tableau1[[#This Row],[SITES NAMES]],[1]Feuil1!$1:$1048576,10,FALSE)</f>
        <v>NO</v>
      </c>
      <c r="S442" s="6" t="s">
        <v>2469</v>
      </c>
      <c r="T442" s="6" t="s">
        <v>2470</v>
      </c>
      <c r="U442" s="6" t="s">
        <v>2471</v>
      </c>
      <c r="V442" s="6" t="s">
        <v>2472</v>
      </c>
      <c r="W442" s="6" t="s">
        <v>2465</v>
      </c>
      <c r="X442" s="8" t="s">
        <v>2728</v>
      </c>
      <c r="Y442" s="6" t="s">
        <v>3239</v>
      </c>
      <c r="Z442" s="6" t="s">
        <v>3253</v>
      </c>
      <c r="AA442" s="38" t="s">
        <v>3682</v>
      </c>
      <c r="AB442" s="38" t="s">
        <v>3683</v>
      </c>
      <c r="AC442" s="38" t="s">
        <v>3684</v>
      </c>
      <c r="AD442" s="38" t="s">
        <v>3682</v>
      </c>
      <c r="AE442" s="38" t="s">
        <v>3682</v>
      </c>
      <c r="AF442" s="38" t="s">
        <v>3682</v>
      </c>
      <c r="AG442" s="40" t="s">
        <v>3685</v>
      </c>
      <c r="AH442" s="37" t="s">
        <v>3686</v>
      </c>
    </row>
    <row r="443" spans="1:34" ht="14.45" hidden="1" customHeight="1" x14ac:dyDescent="0.3">
      <c r="A443" s="6" t="s">
        <v>2048</v>
      </c>
      <c r="B443" s="7">
        <v>43564</v>
      </c>
      <c r="C443" s="6" t="s">
        <v>2047</v>
      </c>
      <c r="D443" s="6" t="s">
        <v>132</v>
      </c>
      <c r="E443" s="6" t="s">
        <v>2049</v>
      </c>
      <c r="F443" s="6" t="s">
        <v>3229</v>
      </c>
      <c r="G443" s="8">
        <v>1.2348300000000001</v>
      </c>
      <c r="H443" s="8">
        <v>6.8910999999999998</v>
      </c>
      <c r="I443" s="6" t="s">
        <v>2482</v>
      </c>
      <c r="J443" s="6" t="s">
        <v>2459</v>
      </c>
      <c r="K443" s="6" t="s">
        <v>2468</v>
      </c>
      <c r="L443" s="6" t="s">
        <v>3373</v>
      </c>
      <c r="M443" s="6"/>
      <c r="N443" s="6" t="s">
        <v>2468</v>
      </c>
      <c r="O443" s="6" t="s">
        <v>37</v>
      </c>
      <c r="P443" s="6" t="str">
        <f>VLOOKUP(Tableau1[[#This Row],[SITES NAMES]],[1]Feuil1!$1:$1048576,8,FALSE)</f>
        <v>OK</v>
      </c>
      <c r="Q443" s="6" t="str">
        <f>VLOOKUP(Tableau1[[#This Row],[SITES NAMES]],[1]Feuil1!$1:$1048576,9,FALSE)</f>
        <v>NO</v>
      </c>
      <c r="R443" s="6" t="str">
        <f>VLOOKUP(Tableau1[[#This Row],[SITES NAMES]],[1]Feuil1!$1:$1048576,10,FALSE)</f>
        <v>NO</v>
      </c>
      <c r="S443" s="6" t="s">
        <v>2461</v>
      </c>
      <c r="T443" s="6" t="s">
        <v>2462</v>
      </c>
      <c r="U443" s="6" t="s">
        <v>2463</v>
      </c>
      <c r="V443" s="6" t="s">
        <v>2472</v>
      </c>
      <c r="W443" s="6" t="s">
        <v>2473</v>
      </c>
      <c r="X443" s="8" t="s">
        <v>3094</v>
      </c>
      <c r="Y443" s="6" t="s">
        <v>3238</v>
      </c>
      <c r="Z443" s="6" t="s">
        <v>3257</v>
      </c>
      <c r="AA443" s="45" t="s">
        <v>3656</v>
      </c>
      <c r="AB443" s="39" t="s">
        <v>3644</v>
      </c>
      <c r="AC443" s="45" t="s">
        <v>3657</v>
      </c>
      <c r="AD443" s="37" t="s">
        <v>3658</v>
      </c>
      <c r="AE443" s="37" t="s">
        <v>3647</v>
      </c>
      <c r="AF443" s="39" t="s">
        <v>3648</v>
      </c>
      <c r="AG443" s="37" t="s">
        <v>3649</v>
      </c>
      <c r="AH443" s="37" t="s">
        <v>3659</v>
      </c>
    </row>
    <row r="444" spans="1:34" ht="14.45" hidden="1" customHeight="1" x14ac:dyDescent="0.3">
      <c r="A444" s="6" t="s">
        <v>2085</v>
      </c>
      <c r="B444" s="7">
        <v>44711</v>
      </c>
      <c r="C444" s="6" t="s">
        <v>2084</v>
      </c>
      <c r="D444" s="6" t="s">
        <v>132</v>
      </c>
      <c r="E444" s="6" t="s">
        <v>2049</v>
      </c>
      <c r="F444" s="6" t="s">
        <v>3229</v>
      </c>
      <c r="G444" s="8">
        <v>1.254667</v>
      </c>
      <c r="H444" s="8">
        <v>6.9376329999999999</v>
      </c>
      <c r="I444" s="6" t="s">
        <v>2477</v>
      </c>
      <c r="J444" s="6" t="s">
        <v>2459</v>
      </c>
      <c r="K444" s="6" t="s">
        <v>2460</v>
      </c>
      <c r="L444" s="6" t="s">
        <v>2118</v>
      </c>
      <c r="M444" s="6"/>
      <c r="N444" s="6" t="s">
        <v>3268</v>
      </c>
      <c r="O444" s="6" t="s">
        <v>7</v>
      </c>
      <c r="P444" s="6" t="str">
        <f>VLOOKUP(Tableau1[[#This Row],[SITES NAMES]],[1]Feuil1!$1:$1048576,8,FALSE)</f>
        <v>OK</v>
      </c>
      <c r="Q444" s="6" t="str">
        <f>VLOOKUP(Tableau1[[#This Row],[SITES NAMES]],[1]Feuil1!$1:$1048576,9,FALSE)</f>
        <v>NO</v>
      </c>
      <c r="R444" s="6" t="str">
        <f>VLOOKUP(Tableau1[[#This Row],[SITES NAMES]],[1]Feuil1!$1:$1048576,10,FALSE)</f>
        <v>YES</v>
      </c>
      <c r="S444" s="6" t="s">
        <v>2469</v>
      </c>
      <c r="T444" s="6" t="s">
        <v>2470</v>
      </c>
      <c r="U444" s="6" t="s">
        <v>2463</v>
      </c>
      <c r="V444" s="6" t="s">
        <v>2472</v>
      </c>
      <c r="W444" s="6" t="s">
        <v>2473</v>
      </c>
      <c r="X444" s="8" t="s">
        <v>3109</v>
      </c>
      <c r="Y444" s="6" t="s">
        <v>3238</v>
      </c>
      <c r="Z444" s="6" t="s">
        <v>3257</v>
      </c>
      <c r="AA444" s="45" t="s">
        <v>3656</v>
      </c>
      <c r="AB444" s="39" t="s">
        <v>3644</v>
      </c>
      <c r="AC444" s="45" t="s">
        <v>3657</v>
      </c>
      <c r="AD444" s="37" t="s">
        <v>3658</v>
      </c>
      <c r="AE444" s="37" t="s">
        <v>3647</v>
      </c>
      <c r="AF444" s="39" t="s">
        <v>3648</v>
      </c>
      <c r="AG444" s="37" t="s">
        <v>3649</v>
      </c>
      <c r="AH444" s="37" t="s">
        <v>3659</v>
      </c>
    </row>
    <row r="445" spans="1:34" ht="14.45" hidden="1" customHeight="1" x14ac:dyDescent="0.25">
      <c r="A445" s="6" t="s">
        <v>1773</v>
      </c>
      <c r="B445" s="7">
        <v>45090</v>
      </c>
      <c r="C445" s="6" t="s">
        <v>1772</v>
      </c>
      <c r="D445" s="6" t="s">
        <v>66</v>
      </c>
      <c r="E445" s="6" t="s">
        <v>3234</v>
      </c>
      <c r="F445" s="6" t="s">
        <v>3229</v>
      </c>
      <c r="G445" s="8">
        <v>1.1954</v>
      </c>
      <c r="H445" s="8">
        <v>6.1764479999999997</v>
      </c>
      <c r="I445" s="6" t="s">
        <v>2475</v>
      </c>
      <c r="J445" s="6" t="s">
        <v>2459</v>
      </c>
      <c r="K445" s="6" t="s">
        <v>2460</v>
      </c>
      <c r="L445" s="6" t="s">
        <v>3480</v>
      </c>
      <c r="M445" s="6" t="s">
        <v>1781</v>
      </c>
      <c r="N445" s="6" t="s">
        <v>3268</v>
      </c>
      <c r="O445" s="6" t="s">
        <v>7</v>
      </c>
      <c r="P445" s="6" t="str">
        <f>VLOOKUP(Tableau1[[#This Row],[SITES NAMES]],[1]Feuil1!$1:$1048576,8,FALSE)</f>
        <v>OK</v>
      </c>
      <c r="Q445" s="6" t="str">
        <f>VLOOKUP(Tableau1[[#This Row],[SITES NAMES]],[1]Feuil1!$1:$1048576,9,FALSE)</f>
        <v>NO</v>
      </c>
      <c r="R445" s="6" t="str">
        <f>VLOOKUP(Tableau1[[#This Row],[SITES NAMES]],[1]Feuil1!$1:$1048576,10,FALSE)</f>
        <v>NO</v>
      </c>
      <c r="S445" s="6" t="s">
        <v>2461</v>
      </c>
      <c r="T445" s="6" t="s">
        <v>2462</v>
      </c>
      <c r="U445" s="6" t="s">
        <v>2463</v>
      </c>
      <c r="V445" s="6" t="s">
        <v>2464</v>
      </c>
      <c r="W445" s="6" t="s">
        <v>2476</v>
      </c>
      <c r="X445" s="8"/>
      <c r="Y445" s="6" t="s">
        <v>3238</v>
      </c>
      <c r="Z445" s="6" t="s">
        <v>3265</v>
      </c>
      <c r="AA445" s="35" t="s">
        <v>3607</v>
      </c>
      <c r="AB445" s="35" t="s">
        <v>3608</v>
      </c>
      <c r="AC445" s="35" t="s">
        <v>3614</v>
      </c>
      <c r="AD445" s="35" t="s">
        <v>3610</v>
      </c>
      <c r="AE445" s="35" t="s">
        <v>3610</v>
      </c>
      <c r="AF445" s="35" t="s">
        <v>3611</v>
      </c>
      <c r="AG445" s="35" t="s">
        <v>3612</v>
      </c>
      <c r="AH445" s="35" t="s">
        <v>3615</v>
      </c>
    </row>
    <row r="446" spans="1:34" ht="14.45" hidden="1" customHeight="1" x14ac:dyDescent="0.25">
      <c r="A446" s="6" t="s">
        <v>1775</v>
      </c>
      <c r="B446" s="7">
        <v>44862</v>
      </c>
      <c r="C446" s="6" t="s">
        <v>1774</v>
      </c>
      <c r="D446" s="6" t="s">
        <v>66</v>
      </c>
      <c r="E446" s="6" t="s">
        <v>3234</v>
      </c>
      <c r="F446" s="6" t="s">
        <v>3229</v>
      </c>
      <c r="G446" s="8">
        <v>1.1844840000000001</v>
      </c>
      <c r="H446" s="8">
        <v>6.1825700000000001</v>
      </c>
      <c r="I446" s="6" t="s">
        <v>2475</v>
      </c>
      <c r="J446" s="6" t="s">
        <v>2459</v>
      </c>
      <c r="K446" s="6" t="s">
        <v>2460</v>
      </c>
      <c r="L446" s="6" t="s">
        <v>3480</v>
      </c>
      <c r="M446" s="6" t="s">
        <v>1781</v>
      </c>
      <c r="N446" s="6" t="s">
        <v>3268</v>
      </c>
      <c r="O446" s="6" t="s">
        <v>7</v>
      </c>
      <c r="P446" s="6" t="str">
        <f>VLOOKUP(Tableau1[[#This Row],[SITES NAMES]],[1]Feuil1!$1:$1048576,8,FALSE)</f>
        <v>OK</v>
      </c>
      <c r="Q446" s="6" t="str">
        <f>VLOOKUP(Tableau1[[#This Row],[SITES NAMES]],[1]Feuil1!$1:$1048576,9,FALSE)</f>
        <v>NO</v>
      </c>
      <c r="R446" s="6" t="str">
        <f>VLOOKUP(Tableau1[[#This Row],[SITES NAMES]],[1]Feuil1!$1:$1048576,10,FALSE)</f>
        <v>YES</v>
      </c>
      <c r="S446" s="6" t="s">
        <v>2469</v>
      </c>
      <c r="T446" s="6" t="s">
        <v>2470</v>
      </c>
      <c r="U446" s="6" t="s">
        <v>2480</v>
      </c>
      <c r="V446" s="6" t="s">
        <v>2472</v>
      </c>
      <c r="W446" s="6" t="s">
        <v>2476</v>
      </c>
      <c r="X446" s="8"/>
      <c r="Y446" s="6" t="s">
        <v>3238</v>
      </c>
      <c r="Z446" s="6" t="s">
        <v>3265</v>
      </c>
      <c r="AA446" s="35" t="s">
        <v>3607</v>
      </c>
      <c r="AB446" s="35" t="s">
        <v>3608</v>
      </c>
      <c r="AC446" s="35" t="s">
        <v>3614</v>
      </c>
      <c r="AD446" s="35" t="s">
        <v>3610</v>
      </c>
      <c r="AE446" s="35" t="s">
        <v>3610</v>
      </c>
      <c r="AF446" s="35" t="s">
        <v>3611</v>
      </c>
      <c r="AG446" s="35" t="s">
        <v>3612</v>
      </c>
      <c r="AH446" s="35" t="s">
        <v>3615</v>
      </c>
    </row>
    <row r="447" spans="1:34" ht="14.45" hidden="1" customHeight="1" x14ac:dyDescent="0.25">
      <c r="A447" s="6" t="s">
        <v>1398</v>
      </c>
      <c r="B447" s="7">
        <v>40148</v>
      </c>
      <c r="C447" s="6" t="s">
        <v>1397</v>
      </c>
      <c r="D447" s="6" t="s">
        <v>66</v>
      </c>
      <c r="E447" s="6" t="s">
        <v>3231</v>
      </c>
      <c r="F447" s="18" t="s">
        <v>3230</v>
      </c>
      <c r="G447" s="8">
        <v>1.272111</v>
      </c>
      <c r="H447" s="8">
        <v>6.168967104</v>
      </c>
      <c r="I447" s="6" t="s">
        <v>2497</v>
      </c>
      <c r="J447" s="6" t="s">
        <v>2459</v>
      </c>
      <c r="K447" s="6" t="s">
        <v>2460</v>
      </c>
      <c r="L447" s="6"/>
      <c r="M447" s="6"/>
      <c r="N447" s="6" t="s">
        <v>3268</v>
      </c>
      <c r="O447" s="6" t="s">
        <v>7</v>
      </c>
      <c r="P447" s="6" t="str">
        <f>VLOOKUP(Tableau1[[#This Row],[SITES NAMES]],[1]Feuil1!$1:$1048576,8,FALSE)</f>
        <v>OK</v>
      </c>
      <c r="Q447" s="6" t="str">
        <f>VLOOKUP(Tableau1[[#This Row],[SITES NAMES]],[1]Feuil1!$1:$1048576,9,FALSE)</f>
        <v>NO</v>
      </c>
      <c r="R447" s="6" t="str">
        <f>VLOOKUP(Tableau1[[#This Row],[SITES NAMES]],[1]Feuil1!$1:$1048576,10,FALSE)</f>
        <v>NO</v>
      </c>
      <c r="S447" s="6" t="s">
        <v>2469</v>
      </c>
      <c r="T447" s="6" t="s">
        <v>2470</v>
      </c>
      <c r="U447" s="6" t="s">
        <v>2480</v>
      </c>
      <c r="V447" s="6" t="s">
        <v>2464</v>
      </c>
      <c r="W447" s="6" t="s">
        <v>2476</v>
      </c>
      <c r="X447" s="8" t="s">
        <v>2939</v>
      </c>
      <c r="Y447" s="6" t="s">
        <v>3238</v>
      </c>
      <c r="Z447" s="6"/>
      <c r="AA447" s="35" t="s">
        <v>3621</v>
      </c>
      <c r="AB447" s="35" t="s">
        <v>3608</v>
      </c>
      <c r="AC447" s="35" t="s">
        <v>3622</v>
      </c>
      <c r="AD447" s="35" t="s">
        <v>3610</v>
      </c>
      <c r="AE447" s="35" t="s">
        <v>3610</v>
      </c>
      <c r="AF447" s="35" t="s">
        <v>3611</v>
      </c>
      <c r="AG447" s="35" t="s">
        <v>3612</v>
      </c>
      <c r="AH447" s="35" t="s">
        <v>3623</v>
      </c>
    </row>
    <row r="448" spans="1:34" ht="14.45" hidden="1" customHeight="1" x14ac:dyDescent="0.25">
      <c r="A448" s="6" t="s">
        <v>1400</v>
      </c>
      <c r="B448" s="7">
        <v>0</v>
      </c>
      <c r="C448" s="6" t="s">
        <v>1399</v>
      </c>
      <c r="D448" s="6" t="s">
        <v>66</v>
      </c>
      <c r="E448" s="6" t="s">
        <v>3231</v>
      </c>
      <c r="F448" s="6" t="s">
        <v>3229</v>
      </c>
      <c r="G448" s="8">
        <v>1.2668299999999999</v>
      </c>
      <c r="H448" s="8">
        <v>6.1707219999999996</v>
      </c>
      <c r="I448" s="6" t="s">
        <v>2497</v>
      </c>
      <c r="J448" s="6" t="s">
        <v>2459</v>
      </c>
      <c r="K448" s="6" t="s">
        <v>2460</v>
      </c>
      <c r="L448" s="6"/>
      <c r="M448" s="6"/>
      <c r="N448" s="6" t="s">
        <v>3268</v>
      </c>
      <c r="O448" s="6" t="s">
        <v>7</v>
      </c>
      <c r="P448" s="6" t="str">
        <f>VLOOKUP(Tableau1[[#This Row],[SITES NAMES]],[1]Feuil1!$1:$1048576,8,FALSE)</f>
        <v>OK</v>
      </c>
      <c r="Q448" s="6" t="str">
        <f>VLOOKUP(Tableau1[[#This Row],[SITES NAMES]],[1]Feuil1!$1:$1048576,9,FALSE)</f>
        <v>YES</v>
      </c>
      <c r="R448" s="6" t="str">
        <f>VLOOKUP(Tableau1[[#This Row],[SITES NAMES]],[1]Feuil1!$1:$1048576,10,FALSE)</f>
        <v>NO</v>
      </c>
      <c r="S448" s="6" t="s">
        <v>2469</v>
      </c>
      <c r="T448" s="6" t="s">
        <v>2470</v>
      </c>
      <c r="U448" s="6" t="s">
        <v>2480</v>
      </c>
      <c r="V448" s="6" t="s">
        <v>2478</v>
      </c>
      <c r="W448" s="6" t="s">
        <v>2476</v>
      </c>
      <c r="X448" s="8" t="s">
        <v>2940</v>
      </c>
      <c r="Y448" s="6" t="s">
        <v>3238</v>
      </c>
      <c r="Z448" s="6"/>
      <c r="AA448" s="35" t="s">
        <v>3621</v>
      </c>
      <c r="AB448" s="35" t="s">
        <v>3608</v>
      </c>
      <c r="AC448" s="35" t="s">
        <v>3622</v>
      </c>
      <c r="AD448" s="35" t="s">
        <v>3610</v>
      </c>
      <c r="AE448" s="35" t="s">
        <v>3610</v>
      </c>
      <c r="AF448" s="35" t="s">
        <v>3611</v>
      </c>
      <c r="AG448" s="35" t="s">
        <v>3612</v>
      </c>
      <c r="AH448" s="35" t="s">
        <v>3623</v>
      </c>
    </row>
    <row r="449" spans="1:34" ht="14.45" hidden="1" customHeight="1" x14ac:dyDescent="0.3">
      <c r="A449" s="6" t="s">
        <v>1070</v>
      </c>
      <c r="B449" s="7">
        <v>44848</v>
      </c>
      <c r="C449" s="6" t="s">
        <v>1069</v>
      </c>
      <c r="D449" s="6" t="s">
        <v>5</v>
      </c>
      <c r="E449" s="6" t="s">
        <v>1003</v>
      </c>
      <c r="F449" s="6" t="s">
        <v>3229</v>
      </c>
      <c r="G449" s="8">
        <v>1.03535</v>
      </c>
      <c r="H449" s="8">
        <v>7.4148670000000001</v>
      </c>
      <c r="I449" s="6" t="s">
        <v>2477</v>
      </c>
      <c r="J449" s="6" t="s">
        <v>2459</v>
      </c>
      <c r="K449" s="6" t="s">
        <v>2468</v>
      </c>
      <c r="L449" s="6"/>
      <c r="M449" s="6"/>
      <c r="N449" s="6" t="s">
        <v>2468</v>
      </c>
      <c r="O449" s="6" t="s">
        <v>40</v>
      </c>
      <c r="P449" s="6" t="str">
        <f>VLOOKUP(Tableau1[[#This Row],[SITES NAMES]],[1]Feuil1!$1:$1048576,8,FALSE)</f>
        <v>OK</v>
      </c>
      <c r="Q449" s="6" t="str">
        <f>VLOOKUP(Tableau1[[#This Row],[SITES NAMES]],[1]Feuil1!$1:$1048576,9,FALSE)</f>
        <v>NO</v>
      </c>
      <c r="R449" s="6" t="str">
        <f>VLOOKUP(Tableau1[[#This Row],[SITES NAMES]],[1]Feuil1!$1:$1048576,10,FALSE)</f>
        <v>NO</v>
      </c>
      <c r="S449" s="6" t="s">
        <v>2469</v>
      </c>
      <c r="T449" s="6" t="s">
        <v>2470</v>
      </c>
      <c r="U449" s="6" t="s">
        <v>2480</v>
      </c>
      <c r="V449" s="6" t="s">
        <v>2472</v>
      </c>
      <c r="W449" s="6" t="s">
        <v>2473</v>
      </c>
      <c r="X449" s="8"/>
      <c r="Y449" s="6" t="s">
        <v>3241</v>
      </c>
      <c r="Z449" s="6"/>
      <c r="AA449" s="37" t="s">
        <v>3634</v>
      </c>
      <c r="AB449" s="38" t="s">
        <v>3627</v>
      </c>
      <c r="AC449" s="37" t="s">
        <v>3635</v>
      </c>
      <c r="AD449" s="37" t="s">
        <v>3636</v>
      </c>
      <c r="AE449" s="37" t="s">
        <v>3637</v>
      </c>
      <c r="AF449" s="37" t="s">
        <v>3636</v>
      </c>
      <c r="AG449" s="37" t="s">
        <v>3638</v>
      </c>
      <c r="AH449" s="37" t="s">
        <v>3639</v>
      </c>
    </row>
    <row r="450" spans="1:34" ht="14.45" hidden="1" customHeight="1" x14ac:dyDescent="0.3">
      <c r="A450" s="6" t="s">
        <v>398</v>
      </c>
      <c r="B450" s="7">
        <v>43866</v>
      </c>
      <c r="C450" s="6" t="s">
        <v>397</v>
      </c>
      <c r="D450" s="6" t="s">
        <v>395</v>
      </c>
      <c r="E450" s="6" t="s">
        <v>396</v>
      </c>
      <c r="F450" s="6" t="s">
        <v>3229</v>
      </c>
      <c r="G450" s="8">
        <v>0.57903499999999997</v>
      </c>
      <c r="H450" s="8">
        <v>10.849672999999999</v>
      </c>
      <c r="I450" s="6" t="s">
        <v>2477</v>
      </c>
      <c r="J450" s="6" t="s">
        <v>2459</v>
      </c>
      <c r="K450" s="6" t="s">
        <v>2468</v>
      </c>
      <c r="L450" s="6" t="s">
        <v>3417</v>
      </c>
      <c r="M450" s="6"/>
      <c r="N450" s="6" t="s">
        <v>2468</v>
      </c>
      <c r="O450" s="6" t="s">
        <v>40</v>
      </c>
      <c r="P450" s="6" t="str">
        <f>VLOOKUP(Tableau1[[#This Row],[SITES NAMES]],[1]Feuil1!$1:$1048576,8,FALSE)</f>
        <v>NOK</v>
      </c>
      <c r="Q450" s="6" t="str">
        <f>VLOOKUP(Tableau1[[#This Row],[SITES NAMES]],[1]Feuil1!$1:$1048576,9,FALSE)</f>
        <v>NO</v>
      </c>
      <c r="R450" s="6" t="str">
        <f>VLOOKUP(Tableau1[[#This Row],[SITES NAMES]],[1]Feuil1!$1:$1048576,10,FALSE)</f>
        <v>YES</v>
      </c>
      <c r="S450" s="6" t="s">
        <v>2469</v>
      </c>
      <c r="T450" s="6" t="s">
        <v>2470</v>
      </c>
      <c r="U450" s="6" t="s">
        <v>2480</v>
      </c>
      <c r="V450" s="6" t="s">
        <v>2464</v>
      </c>
      <c r="W450" s="6" t="s">
        <v>2473</v>
      </c>
      <c r="X450" s="8" t="s">
        <v>2617</v>
      </c>
      <c r="Y450" s="6" t="s">
        <v>3240</v>
      </c>
      <c r="Z450" s="6" t="s">
        <v>3255</v>
      </c>
      <c r="AA450" s="37" t="s">
        <v>3704</v>
      </c>
      <c r="AB450" s="39" t="s">
        <v>3705</v>
      </c>
      <c r="AC450" s="37" t="s">
        <v>3706</v>
      </c>
      <c r="AD450" s="37" t="s">
        <v>3707</v>
      </c>
      <c r="AE450" s="37" t="s">
        <v>3708</v>
      </c>
      <c r="AF450" s="37" t="s">
        <v>3709</v>
      </c>
      <c r="AG450" s="46" t="s">
        <v>3710</v>
      </c>
      <c r="AH450" s="37" t="s">
        <v>3711</v>
      </c>
    </row>
    <row r="451" spans="1:34" ht="14.45" hidden="1" customHeight="1" x14ac:dyDescent="0.3">
      <c r="A451" s="6" t="s">
        <v>259</v>
      </c>
      <c r="B451" s="7">
        <v>44857</v>
      </c>
      <c r="C451" s="6" t="s">
        <v>258</v>
      </c>
      <c r="D451" s="6" t="s">
        <v>132</v>
      </c>
      <c r="E451" s="6" t="s">
        <v>251</v>
      </c>
      <c r="F451" s="6" t="s">
        <v>3229</v>
      </c>
      <c r="G451" s="8">
        <v>0.66612000000000005</v>
      </c>
      <c r="H451" s="8">
        <v>7.5151000000000003</v>
      </c>
      <c r="I451" s="6" t="s">
        <v>2477</v>
      </c>
      <c r="J451" s="6" t="s">
        <v>2459</v>
      </c>
      <c r="K451" s="6" t="s">
        <v>2468</v>
      </c>
      <c r="L451" s="6" t="s">
        <v>3418</v>
      </c>
      <c r="M451" s="6"/>
      <c r="N451" s="6" t="s">
        <v>2468</v>
      </c>
      <c r="O451" s="6" t="s">
        <v>40</v>
      </c>
      <c r="P451" s="6" t="str">
        <f>VLOOKUP(Tableau1[[#This Row],[SITES NAMES]],[1]Feuil1!$1:$1048576,8,FALSE)</f>
        <v>OK</v>
      </c>
      <c r="Q451" s="6" t="str">
        <f>VLOOKUP(Tableau1[[#This Row],[SITES NAMES]],[1]Feuil1!$1:$1048576,9,FALSE)</f>
        <v>NO</v>
      </c>
      <c r="R451" s="6" t="str">
        <f>VLOOKUP(Tableau1[[#This Row],[SITES NAMES]],[1]Feuil1!$1:$1048576,10,FALSE)</f>
        <v>YES</v>
      </c>
      <c r="S451" s="6" t="s">
        <v>2461</v>
      </c>
      <c r="T451" s="6" t="s">
        <v>2462</v>
      </c>
      <c r="U451" s="6" t="s">
        <v>2463</v>
      </c>
      <c r="V451" s="6" t="s">
        <v>2472</v>
      </c>
      <c r="W451" s="6" t="s">
        <v>2473</v>
      </c>
      <c r="X451" s="8" t="s">
        <v>2570</v>
      </c>
      <c r="Y451" s="6" t="s">
        <v>3238</v>
      </c>
      <c r="Z451" s="6" t="s">
        <v>3256</v>
      </c>
      <c r="AA451" s="37" t="s">
        <v>3651</v>
      </c>
      <c r="AB451" s="39" t="s">
        <v>3644</v>
      </c>
      <c r="AC451" s="45" t="s">
        <v>3652</v>
      </c>
      <c r="AD451" s="39" t="s">
        <v>3646</v>
      </c>
      <c r="AE451" s="37" t="s">
        <v>3653</v>
      </c>
      <c r="AF451" s="37" t="s">
        <v>3654</v>
      </c>
      <c r="AG451" s="37" t="s">
        <v>3649</v>
      </c>
      <c r="AH451" s="37" t="s">
        <v>3655</v>
      </c>
    </row>
    <row r="452" spans="1:34" ht="14.45" hidden="1" customHeight="1" x14ac:dyDescent="0.3">
      <c r="A452" s="6" t="s">
        <v>297</v>
      </c>
      <c r="B452" s="7">
        <v>41609</v>
      </c>
      <c r="C452" s="6" t="s">
        <v>296</v>
      </c>
      <c r="D452" s="6" t="s">
        <v>132</v>
      </c>
      <c r="E452" s="6" t="s">
        <v>251</v>
      </c>
      <c r="F452" s="6" t="s">
        <v>3229</v>
      </c>
      <c r="G452" s="8">
        <v>0.79010000000000002</v>
      </c>
      <c r="H452" s="8">
        <v>7.7262000000000004</v>
      </c>
      <c r="I452" s="6" t="s">
        <v>2477</v>
      </c>
      <c r="J452" s="6" t="s">
        <v>2459</v>
      </c>
      <c r="K452" s="6" t="s">
        <v>2468</v>
      </c>
      <c r="L452" s="6" t="s">
        <v>3419</v>
      </c>
      <c r="M452" s="6"/>
      <c r="N452" s="6" t="s">
        <v>2468</v>
      </c>
      <c r="O452" s="6" t="s">
        <v>7</v>
      </c>
      <c r="P452" s="6" t="str">
        <f>VLOOKUP(Tableau1[[#This Row],[SITES NAMES]],[1]Feuil1!$1:$1048576,8,FALSE)</f>
        <v>NOK</v>
      </c>
      <c r="Q452" s="6" t="str">
        <f>VLOOKUP(Tableau1[[#This Row],[SITES NAMES]],[1]Feuil1!$1:$1048576,9,FALSE)</f>
        <v>NO</v>
      </c>
      <c r="R452" s="6" t="str">
        <f>VLOOKUP(Tableau1[[#This Row],[SITES NAMES]],[1]Feuil1!$1:$1048576,10,FALSE)</f>
        <v>YES</v>
      </c>
      <c r="S452" s="6" t="s">
        <v>2461</v>
      </c>
      <c r="T452" s="6" t="s">
        <v>2462</v>
      </c>
      <c r="U452" s="6" t="s">
        <v>2463</v>
      </c>
      <c r="V452" s="6" t="s">
        <v>2472</v>
      </c>
      <c r="W452" s="6" t="s">
        <v>2473</v>
      </c>
      <c r="X452" s="8" t="s">
        <v>2581</v>
      </c>
      <c r="Y452" s="6" t="s">
        <v>3238</v>
      </c>
      <c r="Z452" s="6" t="s">
        <v>3256</v>
      </c>
      <c r="AA452" s="37" t="s">
        <v>3651</v>
      </c>
      <c r="AB452" s="39" t="s">
        <v>3644</v>
      </c>
      <c r="AC452" s="45" t="s">
        <v>3652</v>
      </c>
      <c r="AD452" s="39" t="s">
        <v>3646</v>
      </c>
      <c r="AE452" s="37" t="s">
        <v>3653</v>
      </c>
      <c r="AF452" s="37" t="s">
        <v>3654</v>
      </c>
      <c r="AG452" s="37" t="s">
        <v>3649</v>
      </c>
      <c r="AH452" s="37" t="s">
        <v>3655</v>
      </c>
    </row>
    <row r="453" spans="1:34" ht="14.45" hidden="1" customHeight="1" x14ac:dyDescent="0.3">
      <c r="A453" s="6" t="s">
        <v>277</v>
      </c>
      <c r="B453" s="7">
        <v>46022</v>
      </c>
      <c r="C453" s="6" t="s">
        <v>276</v>
      </c>
      <c r="D453" s="6" t="s">
        <v>132</v>
      </c>
      <c r="E453" s="6" t="s">
        <v>251</v>
      </c>
      <c r="F453" s="6" t="s">
        <v>3229</v>
      </c>
      <c r="G453" s="8">
        <v>0.68820300000000001</v>
      </c>
      <c r="H453" s="8">
        <v>7.6964540000000001</v>
      </c>
      <c r="I453" s="16" t="s">
        <v>2477</v>
      </c>
      <c r="J453" s="6" t="s">
        <v>2459</v>
      </c>
      <c r="K453" s="6" t="s">
        <v>2468</v>
      </c>
      <c r="L453" s="6"/>
      <c r="M453" s="6"/>
      <c r="N453" s="6" t="s">
        <v>2468</v>
      </c>
      <c r="O453" s="6" t="s">
        <v>40</v>
      </c>
      <c r="P453" s="6"/>
      <c r="Q453" s="6"/>
      <c r="R453" s="6"/>
      <c r="S453" s="6"/>
      <c r="T453" s="6"/>
      <c r="U453" s="6"/>
      <c r="V453" s="6"/>
      <c r="W453" s="6"/>
      <c r="X453" s="8"/>
      <c r="Y453" s="6" t="s">
        <v>3238</v>
      </c>
      <c r="Z453" s="6" t="s">
        <v>3256</v>
      </c>
      <c r="AA453" s="37" t="s">
        <v>3651</v>
      </c>
      <c r="AB453" s="39" t="s">
        <v>3644</v>
      </c>
      <c r="AC453" s="45" t="s">
        <v>3652</v>
      </c>
      <c r="AD453" s="39" t="s">
        <v>3646</v>
      </c>
      <c r="AE453" s="37" t="s">
        <v>3653</v>
      </c>
      <c r="AF453" s="37" t="s">
        <v>3654</v>
      </c>
      <c r="AG453" s="37" t="s">
        <v>3649</v>
      </c>
      <c r="AH453" s="37" t="s">
        <v>3655</v>
      </c>
    </row>
    <row r="454" spans="1:34" ht="14.45" hidden="1" customHeight="1" x14ac:dyDescent="0.3">
      <c r="A454" s="6" t="s">
        <v>648</v>
      </c>
      <c r="B454" s="7">
        <v>44855</v>
      </c>
      <c r="C454" s="6" t="s">
        <v>647</v>
      </c>
      <c r="D454" s="6" t="s">
        <v>132</v>
      </c>
      <c r="E454" s="6" t="s">
        <v>565</v>
      </c>
      <c r="F454" s="6" t="s">
        <v>3229</v>
      </c>
      <c r="G454" s="8">
        <v>1.4541500000000001</v>
      </c>
      <c r="H454" s="8">
        <v>8.2273329999999998</v>
      </c>
      <c r="I454" s="6" t="s">
        <v>2477</v>
      </c>
      <c r="J454" s="6" t="s">
        <v>2459</v>
      </c>
      <c r="K454" s="6" t="s">
        <v>2468</v>
      </c>
      <c r="L454" s="6" t="s">
        <v>3420</v>
      </c>
      <c r="M454" s="6"/>
      <c r="N454" s="6" t="s">
        <v>2468</v>
      </c>
      <c r="O454" s="6" t="s">
        <v>40</v>
      </c>
      <c r="P454" s="6" t="str">
        <f>VLOOKUP(Tableau1[[#This Row],[SITES NAMES]],[1]Feuil1!$1:$1048576,8,FALSE)</f>
        <v>OK</v>
      </c>
      <c r="Q454" s="6" t="str">
        <f>VLOOKUP(Tableau1[[#This Row],[SITES NAMES]],[1]Feuil1!$1:$1048576,9,FALSE)</f>
        <v>NO</v>
      </c>
      <c r="R454" s="6" t="str">
        <f>VLOOKUP(Tableau1[[#This Row],[SITES NAMES]],[1]Feuil1!$1:$1048576,10,FALSE)</f>
        <v>YES</v>
      </c>
      <c r="S454" s="6" t="s">
        <v>2469</v>
      </c>
      <c r="T454" s="6" t="s">
        <v>2470</v>
      </c>
      <c r="U454" s="6" t="s">
        <v>2480</v>
      </c>
      <c r="V454" s="6" t="s">
        <v>2472</v>
      </c>
      <c r="W454" s="6" t="s">
        <v>2473</v>
      </c>
      <c r="X454" s="8" t="s">
        <v>2709</v>
      </c>
      <c r="Y454" s="6" t="s">
        <v>3238</v>
      </c>
      <c r="Z454" s="6" t="s">
        <v>3254</v>
      </c>
      <c r="AA454" s="37" t="s">
        <v>3660</v>
      </c>
      <c r="AB454" s="39" t="s">
        <v>3644</v>
      </c>
      <c r="AC454" s="37" t="s">
        <v>3661</v>
      </c>
      <c r="AD454" s="39" t="s">
        <v>3646</v>
      </c>
      <c r="AE454" s="39" t="s">
        <v>3647</v>
      </c>
      <c r="AF454" s="39" t="s">
        <v>3662</v>
      </c>
      <c r="AG454" s="37" t="s">
        <v>3649</v>
      </c>
      <c r="AH454" s="37" t="s">
        <v>3663</v>
      </c>
    </row>
    <row r="455" spans="1:34" ht="14.45" hidden="1" customHeight="1" x14ac:dyDescent="0.25">
      <c r="A455" s="6" t="s">
        <v>1892</v>
      </c>
      <c r="B455" s="7">
        <v>41697</v>
      </c>
      <c r="C455" s="6" t="s">
        <v>1891</v>
      </c>
      <c r="D455" s="6" t="s">
        <v>66</v>
      </c>
      <c r="E455" s="6" t="s">
        <v>3232</v>
      </c>
      <c r="F455" s="6" t="s">
        <v>3229</v>
      </c>
      <c r="G455" s="8">
        <v>1.211866667</v>
      </c>
      <c r="H455" s="8">
        <v>6.1545382210000001</v>
      </c>
      <c r="I455" s="6" t="s">
        <v>2497</v>
      </c>
      <c r="J455" s="6" t="s">
        <v>2459</v>
      </c>
      <c r="K455" s="6" t="s">
        <v>2460</v>
      </c>
      <c r="L455" s="6"/>
      <c r="M455" s="6"/>
      <c r="N455" s="6" t="s">
        <v>3268</v>
      </c>
      <c r="O455" s="6" t="s">
        <v>7</v>
      </c>
      <c r="P455" s="6" t="str">
        <f>VLOOKUP(Tableau1[[#This Row],[SITES NAMES]],[1]Feuil1!$1:$1048576,8,FALSE)</f>
        <v>NOK</v>
      </c>
      <c r="Q455" s="6" t="str">
        <f>VLOOKUP(Tableau1[[#This Row],[SITES NAMES]],[1]Feuil1!$1:$1048576,9,FALSE)</f>
        <v>NO</v>
      </c>
      <c r="R455" s="6" t="str">
        <f>VLOOKUP(Tableau1[[#This Row],[SITES NAMES]],[1]Feuil1!$1:$1048576,10,FALSE)</f>
        <v>NO</v>
      </c>
      <c r="S455" s="6" t="s">
        <v>2469</v>
      </c>
      <c r="T455" s="6" t="s">
        <v>2470</v>
      </c>
      <c r="U455" s="6" t="s">
        <v>2471</v>
      </c>
      <c r="V455" s="6" t="s">
        <v>2472</v>
      </c>
      <c r="W455" s="6" t="s">
        <v>2476</v>
      </c>
      <c r="X455" s="8" t="s">
        <v>3045</v>
      </c>
      <c r="Y455" s="6" t="s">
        <v>3238</v>
      </c>
      <c r="Z455" s="6" t="s">
        <v>3262</v>
      </c>
      <c r="AA455" s="35" t="s">
        <v>3621</v>
      </c>
      <c r="AB455" s="35" t="s">
        <v>3608</v>
      </c>
      <c r="AC455" s="35" t="s">
        <v>3624</v>
      </c>
      <c r="AD455" s="35" t="s">
        <v>3610</v>
      </c>
      <c r="AE455" s="35" t="s">
        <v>3610</v>
      </c>
      <c r="AF455" s="35" t="s">
        <v>3611</v>
      </c>
      <c r="AG455" s="35" t="s">
        <v>3612</v>
      </c>
      <c r="AH455" s="35" t="s">
        <v>3625</v>
      </c>
    </row>
    <row r="456" spans="1:34" ht="14.45" hidden="1" customHeight="1" x14ac:dyDescent="0.3">
      <c r="A456" s="6" t="s">
        <v>323</v>
      </c>
      <c r="B456" s="7">
        <v>40513</v>
      </c>
      <c r="C456" s="6" t="s">
        <v>322</v>
      </c>
      <c r="D456" s="6" t="s">
        <v>320</v>
      </c>
      <c r="E456" s="6" t="s">
        <v>321</v>
      </c>
      <c r="F456" s="6" t="s">
        <v>3229</v>
      </c>
      <c r="G456" s="8">
        <v>1.1694500000000001</v>
      </c>
      <c r="H456" s="8">
        <v>8.0307200000000005</v>
      </c>
      <c r="I456" s="14" t="s">
        <v>2467</v>
      </c>
      <c r="J456" s="6" t="s">
        <v>2459</v>
      </c>
      <c r="K456" s="6" t="s">
        <v>2460</v>
      </c>
      <c r="L456" s="6"/>
      <c r="M456" s="6"/>
      <c r="N456" s="6" t="s">
        <v>3268</v>
      </c>
      <c r="O456" s="6" t="s">
        <v>40</v>
      </c>
      <c r="P456" s="6" t="str">
        <f>VLOOKUP(Tableau1[[#This Row],[SITES NAMES]],[1]Feuil1!$1:$1048576,8,FALSE)</f>
        <v>OK</v>
      </c>
      <c r="Q456" s="6" t="str">
        <f>VLOOKUP(Tableau1[[#This Row],[SITES NAMES]],[1]Feuil1!$1:$1048576,9,FALSE)</f>
        <v>NO</v>
      </c>
      <c r="R456" s="6" t="str">
        <f>VLOOKUP(Tableau1[[#This Row],[SITES NAMES]],[1]Feuil1!$1:$1048576,10,FALSE)</f>
        <v>NO</v>
      </c>
      <c r="S456" s="6" t="s">
        <v>2469</v>
      </c>
      <c r="T456" s="6" t="s">
        <v>2470</v>
      </c>
      <c r="U456" s="6" t="s">
        <v>2471</v>
      </c>
      <c r="V456" s="6" t="s">
        <v>2472</v>
      </c>
      <c r="W456" s="6" t="s">
        <v>2473</v>
      </c>
      <c r="X456" s="8" t="s">
        <v>2592</v>
      </c>
      <c r="Y456" s="6" t="s">
        <v>3238</v>
      </c>
      <c r="Z456" s="6" t="s">
        <v>3266</v>
      </c>
      <c r="AA456" s="37" t="s">
        <v>3664</v>
      </c>
      <c r="AB456" s="39" t="s">
        <v>3665</v>
      </c>
      <c r="AC456" s="37" t="s">
        <v>3666</v>
      </c>
      <c r="AD456" s="37" t="s">
        <v>3667</v>
      </c>
      <c r="AE456" s="37" t="s">
        <v>3668</v>
      </c>
      <c r="AF456" s="37" t="s">
        <v>3669</v>
      </c>
      <c r="AG456" s="37" t="s">
        <v>3670</v>
      </c>
      <c r="AH456" s="37" t="s">
        <v>3671</v>
      </c>
    </row>
    <row r="457" spans="1:34" ht="14.45" hidden="1" customHeight="1" x14ac:dyDescent="0.25">
      <c r="A457" s="6" t="s">
        <v>1328</v>
      </c>
      <c r="B457" s="7">
        <v>46022</v>
      </c>
      <c r="C457" s="6" t="s">
        <v>1327</v>
      </c>
      <c r="D457" s="6" t="s">
        <v>66</v>
      </c>
      <c r="E457" s="6" t="s">
        <v>3231</v>
      </c>
      <c r="F457" s="6" t="s">
        <v>3229</v>
      </c>
      <c r="G457" s="8">
        <v>1.357307</v>
      </c>
      <c r="H457" s="8">
        <v>6.1878919999999997</v>
      </c>
      <c r="I457" s="6" t="e">
        <v>#N/A</v>
      </c>
      <c r="J457" s="6" t="s">
        <v>2459</v>
      </c>
      <c r="K457" s="6" t="s">
        <v>2468</v>
      </c>
      <c r="L457" s="6"/>
      <c r="M457" s="6"/>
      <c r="N457" s="6" t="s">
        <v>2468</v>
      </c>
      <c r="O457" s="6" t="s">
        <v>37</v>
      </c>
      <c r="P457" s="6"/>
      <c r="Q457" s="6"/>
      <c r="R457" s="6"/>
      <c r="S457" s="6"/>
      <c r="T457" s="6"/>
      <c r="U457" s="6"/>
      <c r="V457" s="6"/>
      <c r="W457" s="6"/>
      <c r="X457" s="8"/>
      <c r="Y457" s="6" t="s">
        <v>3238</v>
      </c>
      <c r="Z457" s="6"/>
      <c r="AA457" s="35" t="s">
        <v>3621</v>
      </c>
      <c r="AB457" s="35" t="s">
        <v>3608</v>
      </c>
      <c r="AC457" s="35" t="s">
        <v>3622</v>
      </c>
      <c r="AD457" s="35" t="s">
        <v>3610</v>
      </c>
      <c r="AE457" s="35" t="s">
        <v>3610</v>
      </c>
      <c r="AF457" s="35" t="s">
        <v>3611</v>
      </c>
      <c r="AG457" s="35" t="s">
        <v>3612</v>
      </c>
      <c r="AH457" s="35" t="s">
        <v>3623</v>
      </c>
    </row>
    <row r="458" spans="1:34" ht="14.45" hidden="1" customHeight="1" x14ac:dyDescent="0.3">
      <c r="A458" s="6" t="s">
        <v>436</v>
      </c>
      <c r="B458" s="7">
        <v>40148</v>
      </c>
      <c r="C458" s="6" t="s">
        <v>435</v>
      </c>
      <c r="D458" s="6" t="s">
        <v>395</v>
      </c>
      <c r="E458" s="6" t="s">
        <v>396</v>
      </c>
      <c r="F458" s="6" t="s">
        <v>3229</v>
      </c>
      <c r="G458" s="8">
        <v>0.120056</v>
      </c>
      <c r="H458" s="8">
        <v>10.948111000000001</v>
      </c>
      <c r="I458" s="14" t="s">
        <v>2486</v>
      </c>
      <c r="J458" s="6" t="s">
        <v>2459</v>
      </c>
      <c r="K458" s="6" t="s">
        <v>2460</v>
      </c>
      <c r="L458" s="6" t="s">
        <v>3421</v>
      </c>
      <c r="M458" s="6"/>
      <c r="N458" s="6" t="s">
        <v>3268</v>
      </c>
      <c r="O458" s="6" t="s">
        <v>40</v>
      </c>
      <c r="P458" s="6" t="str">
        <f>VLOOKUP(Tableau1[[#This Row],[SITES NAMES]],[1]Feuil1!$1:$1048576,8,FALSE)</f>
        <v>OK</v>
      </c>
      <c r="Q458" s="6" t="str">
        <f>VLOOKUP(Tableau1[[#This Row],[SITES NAMES]],[1]Feuil1!$1:$1048576,9,FALSE)</f>
        <v>NO</v>
      </c>
      <c r="R458" s="6" t="str">
        <f>VLOOKUP(Tableau1[[#This Row],[SITES NAMES]],[1]Feuil1!$1:$1048576,10,FALSE)</f>
        <v>YES</v>
      </c>
      <c r="S458" s="6" t="s">
        <v>2469</v>
      </c>
      <c r="T458" s="6" t="s">
        <v>2470</v>
      </c>
      <c r="U458" s="6" t="s">
        <v>2480</v>
      </c>
      <c r="V458" s="6" t="s">
        <v>2472</v>
      </c>
      <c r="W458" s="6" t="s">
        <v>2473</v>
      </c>
      <c r="X458" s="8" t="s">
        <v>2636</v>
      </c>
      <c r="Y458" s="6" t="s">
        <v>3240</v>
      </c>
      <c r="Z458" s="6" t="s">
        <v>3255</v>
      </c>
      <c r="AA458" s="37" t="s">
        <v>3704</v>
      </c>
      <c r="AB458" s="39" t="s">
        <v>3705</v>
      </c>
      <c r="AC458" s="37" t="s">
        <v>3706</v>
      </c>
      <c r="AD458" s="37" t="s">
        <v>3707</v>
      </c>
      <c r="AE458" s="37" t="s">
        <v>3708</v>
      </c>
      <c r="AF458" s="37" t="s">
        <v>3709</v>
      </c>
      <c r="AG458" s="46" t="s">
        <v>3710</v>
      </c>
      <c r="AH458" s="37" t="s">
        <v>3711</v>
      </c>
    </row>
    <row r="459" spans="1:34" ht="14.45" hidden="1" customHeight="1" x14ac:dyDescent="0.3">
      <c r="A459" s="6" t="s">
        <v>352</v>
      </c>
      <c r="B459" s="7">
        <v>43622</v>
      </c>
      <c r="C459" s="6" t="s">
        <v>351</v>
      </c>
      <c r="D459" s="6" t="s">
        <v>320</v>
      </c>
      <c r="E459" s="6" t="s">
        <v>321</v>
      </c>
      <c r="F459" s="6" t="s">
        <v>3229</v>
      </c>
      <c r="G459" s="8">
        <v>0.92776999999999998</v>
      </c>
      <c r="H459" s="8">
        <v>8.3123000000000005</v>
      </c>
      <c r="I459" s="14" t="s">
        <v>2477</v>
      </c>
      <c r="J459" s="6" t="s">
        <v>2459</v>
      </c>
      <c r="K459" s="6" t="s">
        <v>2468</v>
      </c>
      <c r="L459" s="6" t="s">
        <v>3422</v>
      </c>
      <c r="M459" s="6"/>
      <c r="N459" s="6" t="s">
        <v>2468</v>
      </c>
      <c r="O459" s="6" t="s">
        <v>40</v>
      </c>
      <c r="P459" s="6" t="str">
        <f>VLOOKUP(Tableau1[[#This Row],[SITES NAMES]],[1]Feuil1!$1:$1048576,8,FALSE)</f>
        <v>OK</v>
      </c>
      <c r="Q459" s="6" t="str">
        <f>VLOOKUP(Tableau1[[#This Row],[SITES NAMES]],[1]Feuil1!$1:$1048576,9,FALSE)</f>
        <v>NO</v>
      </c>
      <c r="R459" s="6" t="str">
        <f>VLOOKUP(Tableau1[[#This Row],[SITES NAMES]],[1]Feuil1!$1:$1048576,10,FALSE)</f>
        <v>NO</v>
      </c>
      <c r="S459" s="6" t="s">
        <v>2461</v>
      </c>
      <c r="T459" s="6" t="s">
        <v>2470</v>
      </c>
      <c r="U459" s="6" t="s">
        <v>2463</v>
      </c>
      <c r="V459" s="6" t="s">
        <v>2472</v>
      </c>
      <c r="W459" s="6" t="s">
        <v>2473</v>
      </c>
      <c r="X459" s="8" t="s">
        <v>2600</v>
      </c>
      <c r="Y459" s="6" t="s">
        <v>3238</v>
      </c>
      <c r="Z459" s="6" t="s">
        <v>3266</v>
      </c>
      <c r="AA459" s="37" t="s">
        <v>3664</v>
      </c>
      <c r="AB459" s="39" t="s">
        <v>3665</v>
      </c>
      <c r="AC459" s="37" t="s">
        <v>3666</v>
      </c>
      <c r="AD459" s="37" t="s">
        <v>3667</v>
      </c>
      <c r="AE459" s="37" t="s">
        <v>3668</v>
      </c>
      <c r="AF459" s="37" t="s">
        <v>3669</v>
      </c>
      <c r="AG459" s="37" t="s">
        <v>3670</v>
      </c>
      <c r="AH459" s="37" t="s">
        <v>3671</v>
      </c>
    </row>
    <row r="460" spans="1:34" ht="14.45" hidden="1" customHeight="1" x14ac:dyDescent="0.25">
      <c r="A460" s="6" t="s">
        <v>1894</v>
      </c>
      <c r="B460" s="7">
        <v>38200</v>
      </c>
      <c r="C460" s="6" t="s">
        <v>1893</v>
      </c>
      <c r="D460" s="6" t="s">
        <v>66</v>
      </c>
      <c r="E460" s="6" t="s">
        <v>3232</v>
      </c>
      <c r="F460" s="6" t="s">
        <v>3229</v>
      </c>
      <c r="G460" s="8">
        <v>1.230302</v>
      </c>
      <c r="H460" s="8">
        <v>6.1470247469999997</v>
      </c>
      <c r="I460" s="6" t="s">
        <v>2497</v>
      </c>
      <c r="J460" s="6" t="s">
        <v>2459</v>
      </c>
      <c r="K460" s="6" t="s">
        <v>2460</v>
      </c>
      <c r="L460" s="6"/>
      <c r="M460" s="6"/>
      <c r="N460" s="6" t="s">
        <v>3268</v>
      </c>
      <c r="O460" s="6" t="s">
        <v>7</v>
      </c>
      <c r="P460" s="6" t="str">
        <f>VLOOKUP(Tableau1[[#This Row],[SITES NAMES]],[1]Feuil1!$1:$1048576,8,FALSE)</f>
        <v>OK</v>
      </c>
      <c r="Q460" s="6" t="str">
        <f>VLOOKUP(Tableau1[[#This Row],[SITES NAMES]],[1]Feuil1!$1:$1048576,9,FALSE)</f>
        <v>NO</v>
      </c>
      <c r="R460" s="6" t="str">
        <f>VLOOKUP(Tableau1[[#This Row],[SITES NAMES]],[1]Feuil1!$1:$1048576,10,FALSE)</f>
        <v>NO</v>
      </c>
      <c r="S460" s="6" t="s">
        <v>2469</v>
      </c>
      <c r="T460" s="6" t="s">
        <v>2470</v>
      </c>
      <c r="U460" s="6" t="s">
        <v>2480</v>
      </c>
      <c r="V460" s="6" t="s">
        <v>2464</v>
      </c>
      <c r="W460" s="6" t="s">
        <v>2476</v>
      </c>
      <c r="X460" s="27" t="s">
        <v>3323</v>
      </c>
      <c r="Y460" s="6" t="s">
        <v>3238</v>
      </c>
      <c r="Z460" s="28">
        <v>92101133</v>
      </c>
      <c r="AA460" s="35" t="s">
        <v>3621</v>
      </c>
      <c r="AB460" s="35" t="s">
        <v>3608</v>
      </c>
      <c r="AC460" s="35" t="s">
        <v>3624</v>
      </c>
      <c r="AD460" s="35" t="s">
        <v>3610</v>
      </c>
      <c r="AE460" s="35" t="s">
        <v>3610</v>
      </c>
      <c r="AF460" s="35" t="s">
        <v>3611</v>
      </c>
      <c r="AG460" s="35" t="s">
        <v>3612</v>
      </c>
      <c r="AH460" s="35" t="s">
        <v>3625</v>
      </c>
    </row>
    <row r="461" spans="1:34" ht="14.45" hidden="1" customHeight="1" x14ac:dyDescent="0.25">
      <c r="A461" s="6" t="s">
        <v>1242</v>
      </c>
      <c r="B461" s="7">
        <v>44270</v>
      </c>
      <c r="C461" s="6" t="s">
        <v>1241</v>
      </c>
      <c r="D461" s="6" t="s">
        <v>66</v>
      </c>
      <c r="E461" s="6" t="s">
        <v>1924</v>
      </c>
      <c r="F461" s="6" t="s">
        <v>3229</v>
      </c>
      <c r="G461" s="8">
        <v>1.21532</v>
      </c>
      <c r="H461" s="8">
        <v>6.1610199999999997</v>
      </c>
      <c r="I461" s="6" t="s">
        <v>2475</v>
      </c>
      <c r="J461" s="6" t="s">
        <v>2459</v>
      </c>
      <c r="K461" s="6" t="s">
        <v>2460</v>
      </c>
      <c r="L461" s="6"/>
      <c r="M461" s="6"/>
      <c r="N461" s="6" t="s">
        <v>3268</v>
      </c>
      <c r="O461" s="6" t="s">
        <v>1206</v>
      </c>
      <c r="P461" s="6"/>
      <c r="Q461" s="6" t="str">
        <f>VLOOKUP(Tableau1[[#This Row],[SITES NAMES]],[1]Feuil1!$1:$1048576,9,FALSE)</f>
        <v>YES</v>
      </c>
      <c r="R461" s="6" t="str">
        <f>VLOOKUP(Tableau1[[#This Row],[SITES NAMES]],[1]Feuil1!$1:$1048576,10,FALSE)</f>
        <v>NO</v>
      </c>
      <c r="S461" s="6" t="s">
        <v>2469</v>
      </c>
      <c r="T461" s="6" t="s">
        <v>2470</v>
      </c>
      <c r="U461" s="6" t="s">
        <v>2480</v>
      </c>
      <c r="V461" s="6" t="s">
        <v>2478</v>
      </c>
      <c r="W461" s="6" t="s">
        <v>2476</v>
      </c>
      <c r="X461" s="8"/>
      <c r="Y461" s="6" t="s">
        <v>3238</v>
      </c>
      <c r="Z461" s="6" t="s">
        <v>3261</v>
      </c>
      <c r="AA461" s="35" t="s">
        <v>3607</v>
      </c>
      <c r="AB461" s="35" t="s">
        <v>3608</v>
      </c>
      <c r="AC461" s="35" t="s">
        <v>3609</v>
      </c>
      <c r="AD461" s="35" t="s">
        <v>3610</v>
      </c>
      <c r="AE461" s="35" t="s">
        <v>3610</v>
      </c>
      <c r="AF461" s="35" t="s">
        <v>3611</v>
      </c>
      <c r="AG461" s="35" t="s">
        <v>3612</v>
      </c>
      <c r="AH461" s="35" t="s">
        <v>3613</v>
      </c>
    </row>
    <row r="462" spans="1:34" ht="14.45" hidden="1" customHeight="1" x14ac:dyDescent="0.3">
      <c r="A462" s="6" t="s">
        <v>299</v>
      </c>
      <c r="B462" s="7">
        <v>44561</v>
      </c>
      <c r="C462" s="6" t="s">
        <v>298</v>
      </c>
      <c r="D462" s="6" t="s">
        <v>132</v>
      </c>
      <c r="E462" s="6" t="s">
        <v>251</v>
      </c>
      <c r="F462" s="6" t="s">
        <v>3229</v>
      </c>
      <c r="G462" s="8">
        <v>0.79596699999999998</v>
      </c>
      <c r="H462" s="8">
        <v>7.5455329999999998</v>
      </c>
      <c r="I462" s="6" t="s">
        <v>2477</v>
      </c>
      <c r="J462" s="6" t="s">
        <v>2459</v>
      </c>
      <c r="K462" s="6" t="s">
        <v>2468</v>
      </c>
      <c r="L462" s="6"/>
      <c r="M462" s="6"/>
      <c r="N462" s="6" t="s">
        <v>2468</v>
      </c>
      <c r="O462" s="6" t="s">
        <v>40</v>
      </c>
      <c r="P462" s="6" t="str">
        <f>VLOOKUP(Tableau1[[#This Row],[SITES NAMES]],[1]Feuil1!$1:$1048576,8,FALSE)</f>
        <v>OK</v>
      </c>
      <c r="Q462" s="6" t="str">
        <f>VLOOKUP(Tableau1[[#This Row],[SITES NAMES]],[1]Feuil1!$1:$1048576,9,FALSE)</f>
        <v>NO</v>
      </c>
      <c r="R462" s="6" t="str">
        <f>VLOOKUP(Tableau1[[#This Row],[SITES NAMES]],[1]Feuil1!$1:$1048576,10,FALSE)</f>
        <v>YES</v>
      </c>
      <c r="S462" s="6" t="s">
        <v>2461</v>
      </c>
      <c r="T462" s="6" t="s">
        <v>2462</v>
      </c>
      <c r="U462" s="6" t="s">
        <v>2463</v>
      </c>
      <c r="V462" s="6" t="s">
        <v>2472</v>
      </c>
      <c r="W462" s="6" t="s">
        <v>2473</v>
      </c>
      <c r="X462" s="8"/>
      <c r="Y462" s="6" t="s">
        <v>3238</v>
      </c>
      <c r="Z462" s="6" t="s">
        <v>3256</v>
      </c>
      <c r="AA462" s="37" t="s">
        <v>3651</v>
      </c>
      <c r="AB462" s="39" t="s">
        <v>3644</v>
      </c>
      <c r="AC462" s="45" t="s">
        <v>3652</v>
      </c>
      <c r="AD462" s="39" t="s">
        <v>3646</v>
      </c>
      <c r="AE462" s="37" t="s">
        <v>3653</v>
      </c>
      <c r="AF462" s="37" t="s">
        <v>3654</v>
      </c>
      <c r="AG462" s="37" t="s">
        <v>3649</v>
      </c>
      <c r="AH462" s="37" t="s">
        <v>3655</v>
      </c>
    </row>
    <row r="463" spans="1:34" ht="14.45" hidden="1" customHeight="1" x14ac:dyDescent="0.3">
      <c r="A463" s="6" t="s">
        <v>81</v>
      </c>
      <c r="B463" s="7">
        <v>41609</v>
      </c>
      <c r="C463" s="6" t="s">
        <v>80</v>
      </c>
      <c r="D463" s="6" t="s">
        <v>5</v>
      </c>
      <c r="E463" s="6" t="s">
        <v>6</v>
      </c>
      <c r="F463" s="6" t="s">
        <v>3229</v>
      </c>
      <c r="G463" s="8">
        <v>1.731984</v>
      </c>
      <c r="H463" s="8">
        <v>6.2730100000000002</v>
      </c>
      <c r="I463" s="6" t="s">
        <v>2486</v>
      </c>
      <c r="J463" s="6" t="s">
        <v>2459</v>
      </c>
      <c r="K463" s="6" t="s">
        <v>2468</v>
      </c>
      <c r="L463" s="6" t="s">
        <v>3371</v>
      </c>
      <c r="M463" s="6"/>
      <c r="N463" s="6" t="s">
        <v>2468</v>
      </c>
      <c r="O463" s="6" t="s">
        <v>7</v>
      </c>
      <c r="P463" s="6" t="str">
        <f>VLOOKUP(Tableau1[[#This Row],[SITES NAMES]],[1]Feuil1!$1:$1048576,8,FALSE)</f>
        <v>OK</v>
      </c>
      <c r="Q463" s="6" t="str">
        <f>VLOOKUP(Tableau1[[#This Row],[SITES NAMES]],[1]Feuil1!$1:$1048576,9,FALSE)</f>
        <v>NO</v>
      </c>
      <c r="R463" s="6" t="str">
        <f>VLOOKUP(Tableau1[[#This Row],[SITES NAMES]],[1]Feuil1!$1:$1048576,10,FALSE)</f>
        <v>NO</v>
      </c>
      <c r="S463" s="6" t="s">
        <v>2461</v>
      </c>
      <c r="T463" s="6" t="s">
        <v>2462</v>
      </c>
      <c r="U463" s="6" t="s">
        <v>2463</v>
      </c>
      <c r="V463" s="6" t="s">
        <v>2472</v>
      </c>
      <c r="W463" s="6" t="s">
        <v>2473</v>
      </c>
      <c r="X463" s="8" t="s">
        <v>2504</v>
      </c>
      <c r="Y463" s="6" t="s">
        <v>3241</v>
      </c>
      <c r="Z463" s="6"/>
      <c r="AA463" s="37" t="s">
        <v>3626</v>
      </c>
      <c r="AB463" s="38" t="s">
        <v>3627</v>
      </c>
      <c r="AC463" s="37" t="s">
        <v>3633</v>
      </c>
      <c r="AD463" s="37" t="s">
        <v>3628</v>
      </c>
      <c r="AE463" s="37" t="s">
        <v>3629</v>
      </c>
      <c r="AF463" s="39" t="s">
        <v>3630</v>
      </c>
      <c r="AG463" s="37" t="s">
        <v>3631</v>
      </c>
      <c r="AH463" s="37" t="s">
        <v>3632</v>
      </c>
    </row>
    <row r="464" spans="1:34" ht="14.45" hidden="1" customHeight="1" x14ac:dyDescent="0.3">
      <c r="A464" s="6" t="s">
        <v>1072</v>
      </c>
      <c r="B464" s="7">
        <v>43945</v>
      </c>
      <c r="C464" s="6" t="s">
        <v>1071</v>
      </c>
      <c r="D464" s="6" t="s">
        <v>5</v>
      </c>
      <c r="E464" s="6" t="s">
        <v>1003</v>
      </c>
      <c r="F464" s="6" t="s">
        <v>3229</v>
      </c>
      <c r="G464" s="8">
        <v>0.92871300000000001</v>
      </c>
      <c r="H464" s="8">
        <v>7.2316070000000003</v>
      </c>
      <c r="I464" s="6" t="s">
        <v>2477</v>
      </c>
      <c r="J464" s="6" t="s">
        <v>2459</v>
      </c>
      <c r="K464" s="6" t="s">
        <v>2468</v>
      </c>
      <c r="L464" s="6" t="s">
        <v>3423</v>
      </c>
      <c r="M464" s="6"/>
      <c r="N464" s="6" t="s">
        <v>2468</v>
      </c>
      <c r="O464" s="6" t="s">
        <v>40</v>
      </c>
      <c r="P464" s="6" t="str">
        <f>VLOOKUP(Tableau1[[#This Row],[SITES NAMES]],[1]Feuil1!$1:$1048576,8,FALSE)</f>
        <v>NOK</v>
      </c>
      <c r="Q464" s="6" t="str">
        <f>VLOOKUP(Tableau1[[#This Row],[SITES NAMES]],[1]Feuil1!$1:$1048576,9,FALSE)</f>
        <v>NO</v>
      </c>
      <c r="R464" s="6" t="str">
        <f>VLOOKUP(Tableau1[[#This Row],[SITES NAMES]],[1]Feuil1!$1:$1048576,10,FALSE)</f>
        <v>YES</v>
      </c>
      <c r="S464" s="6" t="s">
        <v>2461</v>
      </c>
      <c r="T464" s="6" t="s">
        <v>2462</v>
      </c>
      <c r="U464" s="6" t="s">
        <v>2463</v>
      </c>
      <c r="V464" s="6" t="s">
        <v>2472</v>
      </c>
      <c r="W464" s="6" t="s">
        <v>2473</v>
      </c>
      <c r="X464" s="8" t="s">
        <v>2858</v>
      </c>
      <c r="Y464" s="6" t="s">
        <v>3241</v>
      </c>
      <c r="Z464" s="6"/>
      <c r="AA464" s="37" t="s">
        <v>3634</v>
      </c>
      <c r="AB464" s="38" t="s">
        <v>3627</v>
      </c>
      <c r="AC464" s="37" t="s">
        <v>3635</v>
      </c>
      <c r="AD464" s="37" t="s">
        <v>3636</v>
      </c>
      <c r="AE464" s="37" t="s">
        <v>3637</v>
      </c>
      <c r="AF464" s="37" t="s">
        <v>3636</v>
      </c>
      <c r="AG464" s="37" t="s">
        <v>3638</v>
      </c>
      <c r="AH464" s="37" t="s">
        <v>3639</v>
      </c>
    </row>
    <row r="465" spans="1:34" ht="14.45" hidden="1" customHeight="1" x14ac:dyDescent="0.3">
      <c r="A465" s="6" t="s">
        <v>2385</v>
      </c>
      <c r="B465" s="7">
        <v>43886</v>
      </c>
      <c r="C465" s="6" t="s">
        <v>2384</v>
      </c>
      <c r="D465" s="6" t="s">
        <v>5</v>
      </c>
      <c r="E465" s="6" t="s">
        <v>2333</v>
      </c>
      <c r="F465" s="6" t="s">
        <v>3229</v>
      </c>
      <c r="G465" s="8">
        <v>0.97574300000000003</v>
      </c>
      <c r="H465" s="8">
        <v>6.4431500000000002</v>
      </c>
      <c r="I465" s="6" t="s">
        <v>2477</v>
      </c>
      <c r="J465" s="6" t="s">
        <v>2459</v>
      </c>
      <c r="K465" s="6" t="s">
        <v>2468</v>
      </c>
      <c r="L465" s="6" t="s">
        <v>3424</v>
      </c>
      <c r="M465" s="6"/>
      <c r="N465" s="6" t="s">
        <v>2468</v>
      </c>
      <c r="O465" s="6" t="s">
        <v>18</v>
      </c>
      <c r="P465" s="6" t="str">
        <f>VLOOKUP(Tableau1[[#This Row],[SITES NAMES]],[1]Feuil1!$1:$1048576,8,FALSE)</f>
        <v>OK</v>
      </c>
      <c r="Q465" s="6" t="str">
        <f>VLOOKUP(Tableau1[[#This Row],[SITES NAMES]],[1]Feuil1!$1:$1048576,9,FALSE)</f>
        <v>NO</v>
      </c>
      <c r="R465" s="6" t="str">
        <f>VLOOKUP(Tableau1[[#This Row],[SITES NAMES]],[1]Feuil1!$1:$1048576,10,FALSE)</f>
        <v>YES</v>
      </c>
      <c r="S465" s="6" t="s">
        <v>2461</v>
      </c>
      <c r="T465" s="6" t="s">
        <v>2462</v>
      </c>
      <c r="U465" s="6" t="s">
        <v>2463</v>
      </c>
      <c r="V465" s="6" t="s">
        <v>2472</v>
      </c>
      <c r="W465" s="6" t="s">
        <v>2473</v>
      </c>
      <c r="X465" s="8"/>
      <c r="Y465" s="6" t="s">
        <v>3241</v>
      </c>
      <c r="Z465" s="6"/>
      <c r="AA465" s="37"/>
      <c r="AB465" s="38" t="s">
        <v>3627</v>
      </c>
      <c r="AC465" s="37" t="s">
        <v>3640</v>
      </c>
      <c r="AD465" s="39" t="s">
        <v>3641</v>
      </c>
      <c r="AE465" s="37"/>
      <c r="AF465" s="39" t="s">
        <v>3641</v>
      </c>
      <c r="AG465" s="37"/>
      <c r="AH465" s="37" t="s">
        <v>3642</v>
      </c>
    </row>
    <row r="466" spans="1:34" ht="14.45" hidden="1" customHeight="1" x14ac:dyDescent="0.3">
      <c r="A466" s="6" t="s">
        <v>2387</v>
      </c>
      <c r="B466" s="7">
        <v>41609</v>
      </c>
      <c r="C466" s="6" t="s">
        <v>2386</v>
      </c>
      <c r="D466" s="6" t="s">
        <v>5</v>
      </c>
      <c r="E466" s="6" t="s">
        <v>2333</v>
      </c>
      <c r="F466" s="6" t="s">
        <v>3229</v>
      </c>
      <c r="G466" s="8">
        <v>0.88766100000000003</v>
      </c>
      <c r="H466" s="8">
        <v>6.375362</v>
      </c>
      <c r="I466" s="6" t="s">
        <v>2477</v>
      </c>
      <c r="J466" s="6" t="s">
        <v>2459</v>
      </c>
      <c r="K466" s="6" t="s">
        <v>2468</v>
      </c>
      <c r="L466" s="6" t="s">
        <v>3424</v>
      </c>
      <c r="M466" s="6"/>
      <c r="N466" s="6" t="s">
        <v>2468</v>
      </c>
      <c r="O466" s="6" t="s">
        <v>7</v>
      </c>
      <c r="P466" s="6" t="str">
        <f>VLOOKUP(Tableau1[[#This Row],[SITES NAMES]],[1]Feuil1!$1:$1048576,8,FALSE)</f>
        <v>OK</v>
      </c>
      <c r="Q466" s="6" t="str">
        <f>VLOOKUP(Tableau1[[#This Row],[SITES NAMES]],[1]Feuil1!$1:$1048576,9,FALSE)</f>
        <v>NO</v>
      </c>
      <c r="R466" s="6" t="str">
        <f>VLOOKUP(Tableau1[[#This Row],[SITES NAMES]],[1]Feuil1!$1:$1048576,10,FALSE)</f>
        <v>YES</v>
      </c>
      <c r="S466" s="6" t="s">
        <v>2461</v>
      </c>
      <c r="T466" s="6" t="s">
        <v>2470</v>
      </c>
      <c r="U466" s="6" t="s">
        <v>2463</v>
      </c>
      <c r="V466" s="6" t="s">
        <v>2472</v>
      </c>
      <c r="W466" s="6" t="s">
        <v>2473</v>
      </c>
      <c r="X466" s="8" t="s">
        <v>3213</v>
      </c>
      <c r="Y466" s="6" t="s">
        <v>3241</v>
      </c>
      <c r="Z466" t="e">
        <f>VLOOKUP(Tableau1[[#This Row],[SITES NAMES]],#REF!,3,FALSE)</f>
        <v>#REF!</v>
      </c>
      <c r="AA466" s="37"/>
      <c r="AB466" s="38" t="s">
        <v>3627</v>
      </c>
      <c r="AC466" s="37" t="s">
        <v>3640</v>
      </c>
      <c r="AD466" s="39" t="s">
        <v>3641</v>
      </c>
      <c r="AE466" s="37"/>
      <c r="AF466" s="39" t="s">
        <v>3641</v>
      </c>
      <c r="AG466" s="37"/>
      <c r="AH466" s="37" t="s">
        <v>3642</v>
      </c>
    </row>
    <row r="467" spans="1:34" ht="14.45" hidden="1" customHeight="1" x14ac:dyDescent="0.25">
      <c r="A467" s="6" t="s">
        <v>1524</v>
      </c>
      <c r="B467" s="7">
        <v>44545</v>
      </c>
      <c r="C467" s="6" t="s">
        <v>1523</v>
      </c>
      <c r="D467" s="6" t="s">
        <v>66</v>
      </c>
      <c r="E467" s="6" t="s">
        <v>3233</v>
      </c>
      <c r="F467" s="6" t="s">
        <v>3229</v>
      </c>
      <c r="G467" s="8">
        <v>1.21699</v>
      </c>
      <c r="H467" s="8">
        <v>6.36991</v>
      </c>
      <c r="I467" s="6" t="s">
        <v>2497</v>
      </c>
      <c r="J467" s="6" t="s">
        <v>2459</v>
      </c>
      <c r="K467" s="6" t="s">
        <v>2460</v>
      </c>
      <c r="L467" s="6"/>
      <c r="M467" s="6"/>
      <c r="N467" s="6" t="s">
        <v>3268</v>
      </c>
      <c r="O467" s="6" t="s">
        <v>7</v>
      </c>
      <c r="P467" s="6" t="str">
        <f>VLOOKUP(Tableau1[[#This Row],[SITES NAMES]],[1]Feuil1!$1:$1048576,8,FALSE)</f>
        <v>OK</v>
      </c>
      <c r="Q467" s="6" t="str">
        <f>VLOOKUP(Tableau1[[#This Row],[SITES NAMES]],[1]Feuil1!$1:$1048576,9,FALSE)</f>
        <v>NO</v>
      </c>
      <c r="R467" s="6" t="str">
        <f>VLOOKUP(Tableau1[[#This Row],[SITES NAMES]],[1]Feuil1!$1:$1048576,10,FALSE)</f>
        <v>YES</v>
      </c>
      <c r="S467" s="6" t="s">
        <v>2469</v>
      </c>
      <c r="T467" s="6" t="s">
        <v>2470</v>
      </c>
      <c r="U467" s="6" t="s">
        <v>2480</v>
      </c>
      <c r="V467" s="6" t="s">
        <v>2464</v>
      </c>
      <c r="W467" s="6" t="s">
        <v>2476</v>
      </c>
      <c r="X467" s="8"/>
      <c r="Y467" s="6" t="s">
        <v>3238</v>
      </c>
      <c r="Z467" s="6" t="s">
        <v>3264</v>
      </c>
      <c r="AA467" s="35" t="s">
        <v>3616</v>
      </c>
      <c r="AB467" s="35" t="s">
        <v>3608</v>
      </c>
      <c r="AC467" s="35" t="s">
        <v>3617</v>
      </c>
      <c r="AD467" s="35" t="s">
        <v>3610</v>
      </c>
      <c r="AE467" s="35" t="s">
        <v>3610</v>
      </c>
      <c r="AF467" s="35" t="s">
        <v>3611</v>
      </c>
      <c r="AG467" s="35" t="s">
        <v>3612</v>
      </c>
      <c r="AH467" s="35" t="s">
        <v>3618</v>
      </c>
    </row>
    <row r="468" spans="1:34" ht="14.45" hidden="1" customHeight="1" x14ac:dyDescent="0.3">
      <c r="A468" s="6" t="s">
        <v>1022</v>
      </c>
      <c r="B468" s="7">
        <v>44018</v>
      </c>
      <c r="C468" s="6" t="s">
        <v>1021</v>
      </c>
      <c r="D468" s="6" t="s">
        <v>5</v>
      </c>
      <c r="E468" s="6" t="s">
        <v>1003</v>
      </c>
      <c r="F468" s="6" t="s">
        <v>3229</v>
      </c>
      <c r="G468" s="8">
        <v>0.68638600000000005</v>
      </c>
      <c r="H468" s="8">
        <v>7.4157000000000002</v>
      </c>
      <c r="I468" s="6" t="s">
        <v>2477</v>
      </c>
      <c r="J468" s="6" t="s">
        <v>2459</v>
      </c>
      <c r="K468" s="6" t="s">
        <v>2468</v>
      </c>
      <c r="L468" s="6"/>
      <c r="M468" s="6"/>
      <c r="N468" s="6" t="s">
        <v>2468</v>
      </c>
      <c r="O468" s="6" t="s">
        <v>40</v>
      </c>
      <c r="P468" s="6" t="str">
        <f>VLOOKUP(Tableau1[[#This Row],[SITES NAMES]],[1]Feuil1!$1:$1048576,8,FALSE)</f>
        <v>OK</v>
      </c>
      <c r="Q468" s="6" t="str">
        <f>VLOOKUP(Tableau1[[#This Row],[SITES NAMES]],[1]Feuil1!$1:$1048576,9,FALSE)</f>
        <v>NO</v>
      </c>
      <c r="R468" s="6" t="str">
        <f>VLOOKUP(Tableau1[[#This Row],[SITES NAMES]],[1]Feuil1!$1:$1048576,10,FALSE)</f>
        <v>YES</v>
      </c>
      <c r="S468" s="6" t="s">
        <v>2461</v>
      </c>
      <c r="T468" s="6" t="s">
        <v>2462</v>
      </c>
      <c r="U468" s="6" t="s">
        <v>2463</v>
      </c>
      <c r="V468" s="6" t="s">
        <v>2472</v>
      </c>
      <c r="W468" s="6" t="s">
        <v>2473</v>
      </c>
      <c r="X468" s="8">
        <v>70996785</v>
      </c>
      <c r="Y468" s="6" t="s">
        <v>3241</v>
      </c>
      <c r="Z468" s="6"/>
      <c r="AA468" s="37" t="s">
        <v>3634</v>
      </c>
      <c r="AB468" s="38" t="s">
        <v>3627</v>
      </c>
      <c r="AC468" s="37" t="s">
        <v>3635</v>
      </c>
      <c r="AD468" s="37" t="s">
        <v>3636</v>
      </c>
      <c r="AE468" s="37" t="s">
        <v>3637</v>
      </c>
      <c r="AF468" s="37" t="s">
        <v>3636</v>
      </c>
      <c r="AG468" s="37" t="s">
        <v>3638</v>
      </c>
      <c r="AH468" s="37" t="s">
        <v>3639</v>
      </c>
    </row>
    <row r="469" spans="1:34" ht="14.45" hidden="1" customHeight="1" x14ac:dyDescent="0.3">
      <c r="A469" s="6" t="s">
        <v>596</v>
      </c>
      <c r="B469" s="7">
        <v>44560</v>
      </c>
      <c r="C469" s="6" t="s">
        <v>595</v>
      </c>
      <c r="D469" s="6" t="s">
        <v>132</v>
      </c>
      <c r="E469" s="6" t="s">
        <v>565</v>
      </c>
      <c r="F469" s="6" t="s">
        <v>3229</v>
      </c>
      <c r="G469" s="8">
        <v>1.3506579999999999</v>
      </c>
      <c r="H469" s="8">
        <v>7.9825929999999996</v>
      </c>
      <c r="I469" s="6" t="s">
        <v>2477</v>
      </c>
      <c r="J469" s="6" t="s">
        <v>2459</v>
      </c>
      <c r="K469" s="6" t="s">
        <v>2468</v>
      </c>
      <c r="L469" s="6" t="s">
        <v>3425</v>
      </c>
      <c r="M469" s="6"/>
      <c r="N469" s="6" t="s">
        <v>2468</v>
      </c>
      <c r="O469" s="6" t="s">
        <v>40</v>
      </c>
      <c r="P469" s="6" t="str">
        <f>VLOOKUP(Tableau1[[#This Row],[SITES NAMES]],[1]Feuil1!$1:$1048576,8,FALSE)</f>
        <v>OK</v>
      </c>
      <c r="Q469" s="6" t="str">
        <f>VLOOKUP(Tableau1[[#This Row],[SITES NAMES]],[1]Feuil1!$1:$1048576,9,FALSE)</f>
        <v>NO</v>
      </c>
      <c r="R469" s="6" t="str">
        <f>VLOOKUP(Tableau1[[#This Row],[SITES NAMES]],[1]Feuil1!$1:$1048576,10,FALSE)</f>
        <v>YES</v>
      </c>
      <c r="S469" s="6" t="s">
        <v>2461</v>
      </c>
      <c r="T469" s="6" t="s">
        <v>2462</v>
      </c>
      <c r="U469" s="6" t="s">
        <v>2463</v>
      </c>
      <c r="V469" s="6" t="s">
        <v>2472</v>
      </c>
      <c r="W469" s="6" t="s">
        <v>2473</v>
      </c>
      <c r="X469" s="8" t="s">
        <v>2691</v>
      </c>
      <c r="Y469" s="6" t="s">
        <v>3238</v>
      </c>
      <c r="Z469" s="6"/>
      <c r="AA469" s="37" t="s">
        <v>3660</v>
      </c>
      <c r="AB469" s="39" t="s">
        <v>3644</v>
      </c>
      <c r="AC469" s="37" t="s">
        <v>3661</v>
      </c>
      <c r="AD469" s="39" t="s">
        <v>3646</v>
      </c>
      <c r="AE469" s="39" t="s">
        <v>3647</v>
      </c>
      <c r="AF469" s="39" t="s">
        <v>3662</v>
      </c>
      <c r="AG469" s="37" t="s">
        <v>3649</v>
      </c>
      <c r="AH469" s="37" t="s">
        <v>3663</v>
      </c>
    </row>
    <row r="470" spans="1:34" ht="14.45" hidden="1" customHeight="1" x14ac:dyDescent="0.3">
      <c r="A470" s="6" t="s">
        <v>955</v>
      </c>
      <c r="B470" s="7">
        <v>45029</v>
      </c>
      <c r="C470" s="6" t="s">
        <v>954</v>
      </c>
      <c r="D470" s="6" t="s">
        <v>657</v>
      </c>
      <c r="E470" s="6" t="s">
        <v>3235</v>
      </c>
      <c r="F470" s="6" t="s">
        <v>3229</v>
      </c>
      <c r="G470" s="8">
        <v>1.0953500270000001</v>
      </c>
      <c r="H470" s="8">
        <v>9.2748298649999992</v>
      </c>
      <c r="I470" s="6" t="s">
        <v>2477</v>
      </c>
      <c r="J470" s="6" t="s">
        <v>2459</v>
      </c>
      <c r="K470" s="6" t="s">
        <v>2468</v>
      </c>
      <c r="L470" s="6" t="s">
        <v>3426</v>
      </c>
      <c r="M470" s="6"/>
      <c r="N470" s="6" t="s">
        <v>2468</v>
      </c>
      <c r="O470" s="6" t="s">
        <v>40</v>
      </c>
      <c r="P470" s="6" t="str">
        <f>VLOOKUP(Tableau1[[#This Row],[SITES NAMES]],[1]Feuil1!$1:$1048576,8,FALSE)</f>
        <v>OK</v>
      </c>
      <c r="Q470" s="6" t="str">
        <f>VLOOKUP(Tableau1[[#This Row],[SITES NAMES]],[1]Feuil1!$1:$1048576,9,FALSE)</f>
        <v>NO</v>
      </c>
      <c r="R470" s="6" t="str">
        <f>VLOOKUP(Tableau1[[#This Row],[SITES NAMES]],[1]Feuil1!$1:$1048576,10,FALSE)</f>
        <v>YES</v>
      </c>
      <c r="S470" s="6" t="s">
        <v>2461</v>
      </c>
      <c r="T470" s="6" t="s">
        <v>2462</v>
      </c>
      <c r="U470" s="6" t="s">
        <v>2463</v>
      </c>
      <c r="V470" s="6" t="s">
        <v>2472</v>
      </c>
      <c r="W470" s="6" t="s">
        <v>2473</v>
      </c>
      <c r="X470" s="8">
        <v>70997292</v>
      </c>
      <c r="Y470" s="6" t="s">
        <v>3239</v>
      </c>
      <c r="Z470" s="6" t="s">
        <v>3253</v>
      </c>
      <c r="AA470" s="37" t="s">
        <v>3698</v>
      </c>
      <c r="AB470" s="38" t="s">
        <v>3683</v>
      </c>
      <c r="AC470" s="39" t="s">
        <v>3699</v>
      </c>
      <c r="AD470" s="39" t="s">
        <v>3700</v>
      </c>
      <c r="AE470" s="37" t="s">
        <v>3701</v>
      </c>
      <c r="AF470" s="39" t="s">
        <v>3702</v>
      </c>
      <c r="AG470" s="40" t="s">
        <v>3685</v>
      </c>
      <c r="AH470" s="37" t="s">
        <v>3703</v>
      </c>
    </row>
    <row r="471" spans="1:34" ht="14.45" hidden="1" customHeight="1" x14ac:dyDescent="0.3">
      <c r="A471" s="6" t="s">
        <v>2087</v>
      </c>
      <c r="B471" s="7">
        <v>44078</v>
      </c>
      <c r="C471" s="6" t="s">
        <v>2086</v>
      </c>
      <c r="D471" s="6" t="s">
        <v>132</v>
      </c>
      <c r="E471" s="6" t="s">
        <v>2049</v>
      </c>
      <c r="F471" s="6" t="s">
        <v>3229</v>
      </c>
      <c r="G471" s="8">
        <v>0.98812199999999994</v>
      </c>
      <c r="H471" s="8">
        <v>7.1259769999999998</v>
      </c>
      <c r="I471" s="6" t="s">
        <v>2477</v>
      </c>
      <c r="J471" s="6" t="s">
        <v>2459</v>
      </c>
      <c r="K471" s="6" t="s">
        <v>2468</v>
      </c>
      <c r="L471" s="6" t="s">
        <v>3427</v>
      </c>
      <c r="M471" s="6"/>
      <c r="N471" s="6" t="s">
        <v>2468</v>
      </c>
      <c r="O471" s="6" t="s">
        <v>40</v>
      </c>
      <c r="P471" s="6" t="str">
        <f>VLOOKUP(Tableau1[[#This Row],[SITES NAMES]],[1]Feuil1!$1:$1048576,8,FALSE)</f>
        <v>OK</v>
      </c>
      <c r="Q471" s="6" t="str">
        <f>VLOOKUP(Tableau1[[#This Row],[SITES NAMES]],[1]Feuil1!$1:$1048576,9,FALSE)</f>
        <v>NO</v>
      </c>
      <c r="R471" s="6" t="str">
        <f>VLOOKUP(Tableau1[[#This Row],[SITES NAMES]],[1]Feuil1!$1:$1048576,10,FALSE)</f>
        <v>YES</v>
      </c>
      <c r="S471" s="6" t="s">
        <v>2469</v>
      </c>
      <c r="T471" s="6" t="s">
        <v>2470</v>
      </c>
      <c r="U471" s="6" t="s">
        <v>2480</v>
      </c>
      <c r="V471" s="6" t="s">
        <v>2472</v>
      </c>
      <c r="W471" s="6" t="s">
        <v>2473</v>
      </c>
      <c r="X471" s="8">
        <v>70996784</v>
      </c>
      <c r="Y471" s="6" t="s">
        <v>3238</v>
      </c>
      <c r="Z471" s="6" t="s">
        <v>3257</v>
      </c>
      <c r="AA471" s="45" t="s">
        <v>3656</v>
      </c>
      <c r="AB471" s="39" t="s">
        <v>3644</v>
      </c>
      <c r="AC471" s="45" t="s">
        <v>3657</v>
      </c>
      <c r="AD471" s="37" t="s">
        <v>3658</v>
      </c>
      <c r="AE471" s="37" t="s">
        <v>3647</v>
      </c>
      <c r="AF471" s="39" t="s">
        <v>3648</v>
      </c>
      <c r="AG471" s="37" t="s">
        <v>3649</v>
      </c>
      <c r="AH471" s="37" t="s">
        <v>3659</v>
      </c>
    </row>
    <row r="472" spans="1:34" ht="14.45" hidden="1" customHeight="1" x14ac:dyDescent="0.3">
      <c r="A472" s="6" t="s">
        <v>301</v>
      </c>
      <c r="B472" s="7">
        <v>43902</v>
      </c>
      <c r="C472" s="6" t="s">
        <v>300</v>
      </c>
      <c r="D472" s="6" t="s">
        <v>132</v>
      </c>
      <c r="E472" s="6" t="s">
        <v>251</v>
      </c>
      <c r="F472" s="6" t="s">
        <v>3229</v>
      </c>
      <c r="G472" s="8">
        <v>0.83123000000000002</v>
      </c>
      <c r="H472" s="8">
        <v>7.4430100000000001</v>
      </c>
      <c r="I472" s="6" t="s">
        <v>2467</v>
      </c>
      <c r="J472" s="6" t="s">
        <v>2459</v>
      </c>
      <c r="K472" s="6" t="s">
        <v>2468</v>
      </c>
      <c r="L472" s="6" t="s">
        <v>1127</v>
      </c>
      <c r="M472" s="6"/>
      <c r="N472" s="6" t="s">
        <v>2468</v>
      </c>
      <c r="O472" s="6" t="s">
        <v>37</v>
      </c>
      <c r="P472" s="6" t="str">
        <f>VLOOKUP(Tableau1[[#This Row],[SITES NAMES]],[1]Feuil1!$1:$1048576,8,FALSE)</f>
        <v>OK</v>
      </c>
      <c r="Q472" s="6" t="str">
        <f>VLOOKUP(Tableau1[[#This Row],[SITES NAMES]],[1]Feuil1!$1:$1048576,9,FALSE)</f>
        <v>NO</v>
      </c>
      <c r="R472" s="6" t="str">
        <f>VLOOKUP(Tableau1[[#This Row],[SITES NAMES]],[1]Feuil1!$1:$1048576,10,FALSE)</f>
        <v>NO</v>
      </c>
      <c r="S472" s="6" t="s">
        <v>2461</v>
      </c>
      <c r="T472" s="6" t="s">
        <v>2462</v>
      </c>
      <c r="U472" s="6" t="s">
        <v>2463</v>
      </c>
      <c r="V472" s="6" t="s">
        <v>2472</v>
      </c>
      <c r="W472" s="6" t="s">
        <v>2473</v>
      </c>
      <c r="X472" s="8" t="s">
        <v>2582</v>
      </c>
      <c r="Y472" s="6" t="s">
        <v>3238</v>
      </c>
      <c r="Z472" s="6" t="s">
        <v>3256</v>
      </c>
      <c r="AA472" s="37" t="s">
        <v>3651</v>
      </c>
      <c r="AB472" s="39" t="s">
        <v>3644</v>
      </c>
      <c r="AC472" s="45" t="s">
        <v>3652</v>
      </c>
      <c r="AD472" s="39" t="s">
        <v>3646</v>
      </c>
      <c r="AE472" s="37" t="s">
        <v>3653</v>
      </c>
      <c r="AF472" s="37" t="s">
        <v>3654</v>
      </c>
      <c r="AG472" s="37" t="s">
        <v>3649</v>
      </c>
      <c r="AH472" s="37" t="s">
        <v>3655</v>
      </c>
    </row>
    <row r="473" spans="1:34" ht="14.45" hidden="1" customHeight="1" x14ac:dyDescent="0.3">
      <c r="A473" s="6" t="s">
        <v>598</v>
      </c>
      <c r="B473" s="7">
        <v>45029</v>
      </c>
      <c r="C473" s="6" t="s">
        <v>597</v>
      </c>
      <c r="D473" s="6" t="s">
        <v>132</v>
      </c>
      <c r="E473" s="6" t="s">
        <v>565</v>
      </c>
      <c r="F473" s="6" t="s">
        <v>3229</v>
      </c>
      <c r="G473" s="8">
        <v>1.4561500000000001</v>
      </c>
      <c r="H473" s="8">
        <v>7.9710169999999998</v>
      </c>
      <c r="I473" s="6" t="s">
        <v>2477</v>
      </c>
      <c r="J473" s="6" t="s">
        <v>2459</v>
      </c>
      <c r="K473" s="6" t="s">
        <v>2468</v>
      </c>
      <c r="L473" s="6" t="s">
        <v>3428</v>
      </c>
      <c r="M473" s="6"/>
      <c r="N473" s="6" t="s">
        <v>2468</v>
      </c>
      <c r="O473" s="6" t="s">
        <v>40</v>
      </c>
      <c r="P473" s="6" t="str">
        <f>VLOOKUP(Tableau1[[#This Row],[SITES NAMES]],[1]Feuil1!$1:$1048576,8,FALSE)</f>
        <v>OK</v>
      </c>
      <c r="Q473" s="6" t="str">
        <f>VLOOKUP(Tableau1[[#This Row],[SITES NAMES]],[1]Feuil1!$1:$1048576,9,FALSE)</f>
        <v>NO</v>
      </c>
      <c r="R473" s="6" t="str">
        <f>VLOOKUP(Tableau1[[#This Row],[SITES NAMES]],[1]Feuil1!$1:$1048576,10,FALSE)</f>
        <v>YES</v>
      </c>
      <c r="S473" s="6" t="s">
        <v>2461</v>
      </c>
      <c r="T473" s="6" t="s">
        <v>2462</v>
      </c>
      <c r="U473" s="6" t="s">
        <v>2463</v>
      </c>
      <c r="V473" s="6" t="s">
        <v>2472</v>
      </c>
      <c r="W473" s="6" t="s">
        <v>2473</v>
      </c>
      <c r="X473" s="8" t="s">
        <v>3246</v>
      </c>
      <c r="Y473" s="6" t="s">
        <v>3238</v>
      </c>
      <c r="Z473" s="6"/>
      <c r="AA473" s="37" t="s">
        <v>3660</v>
      </c>
      <c r="AB473" s="39" t="s">
        <v>3644</v>
      </c>
      <c r="AC473" s="37" t="s">
        <v>3661</v>
      </c>
      <c r="AD473" s="39" t="s">
        <v>3646</v>
      </c>
      <c r="AE473" s="39" t="s">
        <v>3647</v>
      </c>
      <c r="AF473" s="39" t="s">
        <v>3662</v>
      </c>
      <c r="AG473" s="37" t="s">
        <v>3649</v>
      </c>
      <c r="AH473" s="37" t="s">
        <v>3663</v>
      </c>
    </row>
    <row r="474" spans="1:34" ht="14.45" hidden="1" customHeight="1" x14ac:dyDescent="0.3">
      <c r="A474" s="6" t="s">
        <v>2089</v>
      </c>
      <c r="B474" s="7">
        <v>45022</v>
      </c>
      <c r="C474" s="6" t="s">
        <v>2088</v>
      </c>
      <c r="D474" s="6" t="s">
        <v>132</v>
      </c>
      <c r="E474" s="6" t="s">
        <v>2049</v>
      </c>
      <c r="F474" s="6" t="s">
        <v>3229</v>
      </c>
      <c r="G474" s="8">
        <v>1.023917</v>
      </c>
      <c r="H474" s="8">
        <v>7.2528499999999996</v>
      </c>
      <c r="I474" s="6" t="s">
        <v>2477</v>
      </c>
      <c r="J474" s="6" t="s">
        <v>2459</v>
      </c>
      <c r="K474" s="6" t="s">
        <v>2468</v>
      </c>
      <c r="L474" s="6" t="s">
        <v>2138</v>
      </c>
      <c r="M474" s="6"/>
      <c r="N474" s="6" t="s">
        <v>2468</v>
      </c>
      <c r="O474" s="6" t="s">
        <v>40</v>
      </c>
      <c r="P474" s="6" t="str">
        <f>VLOOKUP(Tableau1[[#This Row],[SITES NAMES]],[1]Feuil1!$1:$1048576,8,FALSE)</f>
        <v>OK</v>
      </c>
      <c r="Q474" s="6" t="str">
        <f>VLOOKUP(Tableau1[[#This Row],[SITES NAMES]],[1]Feuil1!$1:$1048576,9,FALSE)</f>
        <v>NO</v>
      </c>
      <c r="R474" s="6" t="str">
        <f>VLOOKUP(Tableau1[[#This Row],[SITES NAMES]],[1]Feuil1!$1:$1048576,10,FALSE)</f>
        <v>YES</v>
      </c>
      <c r="S474" s="6" t="s">
        <v>2461</v>
      </c>
      <c r="T474" s="6" t="s">
        <v>2462</v>
      </c>
      <c r="U474" s="6" t="s">
        <v>2463</v>
      </c>
      <c r="V474" s="6" t="s">
        <v>2472</v>
      </c>
      <c r="W474" s="6" t="s">
        <v>2473</v>
      </c>
      <c r="X474" s="8"/>
      <c r="Y474" s="6" t="s">
        <v>3238</v>
      </c>
      <c r="Z474" s="6" t="s">
        <v>3257</v>
      </c>
      <c r="AA474" s="45" t="s">
        <v>3656</v>
      </c>
      <c r="AB474" s="39" t="s">
        <v>3644</v>
      </c>
      <c r="AC474" s="45" t="s">
        <v>3657</v>
      </c>
      <c r="AD474" s="37" t="s">
        <v>3658</v>
      </c>
      <c r="AE474" s="37" t="s">
        <v>3647</v>
      </c>
      <c r="AF474" s="39" t="s">
        <v>3648</v>
      </c>
      <c r="AG474" s="37" t="s">
        <v>3649</v>
      </c>
      <c r="AH474" s="37" t="s">
        <v>3659</v>
      </c>
    </row>
    <row r="475" spans="1:34" ht="14.45" hidden="1" customHeight="1" x14ac:dyDescent="0.3">
      <c r="A475" s="6" t="s">
        <v>83</v>
      </c>
      <c r="B475" s="7">
        <v>45085</v>
      </c>
      <c r="C475" s="6" t="s">
        <v>82</v>
      </c>
      <c r="D475" s="6" t="s">
        <v>5</v>
      </c>
      <c r="E475" s="6" t="s">
        <v>6</v>
      </c>
      <c r="F475" s="6" t="s">
        <v>3229</v>
      </c>
      <c r="G475" s="8">
        <v>1.4477800000000001</v>
      </c>
      <c r="H475" s="8">
        <v>6.2486100000000002</v>
      </c>
      <c r="I475" s="6" t="s">
        <v>2479</v>
      </c>
      <c r="J475" s="6" t="s">
        <v>2459</v>
      </c>
      <c r="K475" s="6" t="s">
        <v>2468</v>
      </c>
      <c r="L475" s="6"/>
      <c r="M475" s="6"/>
      <c r="N475" s="6" t="s">
        <v>2468</v>
      </c>
      <c r="O475" s="6" t="s">
        <v>7</v>
      </c>
      <c r="P475" s="6" t="str">
        <f>VLOOKUP(Tableau1[[#This Row],[SITES NAMES]],[1]Feuil1!$1:$1048576,8,FALSE)</f>
        <v>OK</v>
      </c>
      <c r="Q475" s="6" t="str">
        <f>VLOOKUP(Tableau1[[#This Row],[SITES NAMES]],[1]Feuil1!$1:$1048576,9,FALSE)</f>
        <v>NO</v>
      </c>
      <c r="R475" s="6" t="str">
        <f>VLOOKUP(Tableau1[[#This Row],[SITES NAMES]],[1]Feuil1!$1:$1048576,10,FALSE)</f>
        <v>NO</v>
      </c>
      <c r="S475" s="6" t="s">
        <v>2461</v>
      </c>
      <c r="T475" s="6" t="s">
        <v>2462</v>
      </c>
      <c r="U475" s="6" t="s">
        <v>2463</v>
      </c>
      <c r="V475" s="6" t="s">
        <v>2472</v>
      </c>
      <c r="W475" s="6" t="s">
        <v>2465</v>
      </c>
      <c r="X475" s="8">
        <v>70997342</v>
      </c>
      <c r="Y475" s="6" t="s">
        <v>3241</v>
      </c>
      <c r="Z475" t="e">
        <f>VLOOKUP(Tableau1[[#This Row],[SITES NAMES]],#REF!,3,FALSE)</f>
        <v>#REF!</v>
      </c>
      <c r="AA475" s="37" t="s">
        <v>3626</v>
      </c>
      <c r="AB475" s="38" t="s">
        <v>3627</v>
      </c>
      <c r="AC475" s="37" t="s">
        <v>3633</v>
      </c>
      <c r="AD475" s="37" t="s">
        <v>3628</v>
      </c>
      <c r="AE475" s="37" t="s">
        <v>3629</v>
      </c>
      <c r="AF475" s="39" t="s">
        <v>3630</v>
      </c>
      <c r="AG475" s="37" t="s">
        <v>3631</v>
      </c>
      <c r="AH475" s="37" t="s">
        <v>3632</v>
      </c>
    </row>
    <row r="476" spans="1:34" ht="14.45" hidden="1" customHeight="1" x14ac:dyDescent="0.3">
      <c r="A476" s="6" t="s">
        <v>565</v>
      </c>
      <c r="B476" s="7">
        <v>41609</v>
      </c>
      <c r="C476" s="6" t="s">
        <v>576</v>
      </c>
      <c r="D476" s="6" t="s">
        <v>132</v>
      </c>
      <c r="E476" s="6" t="s">
        <v>565</v>
      </c>
      <c r="F476" s="6" t="s">
        <v>3229</v>
      </c>
      <c r="G476" s="8">
        <v>1.2859400000000001</v>
      </c>
      <c r="H476" s="8">
        <v>7.9587300000000001</v>
      </c>
      <c r="I476" s="6" t="s">
        <v>2486</v>
      </c>
      <c r="J476" s="6" t="s">
        <v>2459</v>
      </c>
      <c r="K476" s="6" t="s">
        <v>2460</v>
      </c>
      <c r="L476" s="6"/>
      <c r="M476" s="6"/>
      <c r="N476" s="6" t="s">
        <v>3268</v>
      </c>
      <c r="O476" s="6" t="s">
        <v>7</v>
      </c>
      <c r="P476" s="6" t="str">
        <f>VLOOKUP(Tableau1[[#This Row],[SITES NAMES]],[1]Feuil1!$1:$1048576,8,FALSE)</f>
        <v>OK</v>
      </c>
      <c r="Q476" s="6" t="str">
        <f>VLOOKUP(Tableau1[[#This Row],[SITES NAMES]],[1]Feuil1!$1:$1048576,9,FALSE)</f>
        <v>NO</v>
      </c>
      <c r="R476" s="6" t="str">
        <f>VLOOKUP(Tableau1[[#This Row],[SITES NAMES]],[1]Feuil1!$1:$1048576,10,FALSE)</f>
        <v>NO</v>
      </c>
      <c r="S476" s="6" t="s">
        <v>2469</v>
      </c>
      <c r="T476" s="6" t="s">
        <v>2470</v>
      </c>
      <c r="U476" s="6" t="s">
        <v>2480</v>
      </c>
      <c r="V476" s="6" t="s">
        <v>2478</v>
      </c>
      <c r="W476" s="6" t="s">
        <v>2465</v>
      </c>
      <c r="X476" s="8" t="s">
        <v>2685</v>
      </c>
      <c r="Y476" s="6" t="s">
        <v>3238</v>
      </c>
      <c r="Z476" s="6"/>
      <c r="AA476" s="37" t="s">
        <v>3660</v>
      </c>
      <c r="AB476" s="39" t="s">
        <v>3644</v>
      </c>
      <c r="AC476" s="37" t="s">
        <v>3661</v>
      </c>
      <c r="AD476" s="39" t="s">
        <v>3646</v>
      </c>
      <c r="AE476" s="39" t="s">
        <v>3647</v>
      </c>
      <c r="AF476" s="39" t="s">
        <v>3662</v>
      </c>
      <c r="AG476" s="37" t="s">
        <v>3649</v>
      </c>
      <c r="AH476" s="37" t="s">
        <v>3663</v>
      </c>
    </row>
    <row r="477" spans="1:34" ht="14.45" hidden="1" customHeight="1" x14ac:dyDescent="0.3">
      <c r="A477" s="6" t="s">
        <v>569</v>
      </c>
      <c r="B477" s="7">
        <v>43812</v>
      </c>
      <c r="C477" s="6" t="s">
        <v>568</v>
      </c>
      <c r="D477" s="6" t="s">
        <v>132</v>
      </c>
      <c r="E477" s="6" t="s">
        <v>565</v>
      </c>
      <c r="F477" s="6" t="s">
        <v>3229</v>
      </c>
      <c r="G477" s="8">
        <v>1.2980830000000001</v>
      </c>
      <c r="H477" s="8">
        <v>7.9699720000000003</v>
      </c>
      <c r="I477" s="6" t="s">
        <v>2482</v>
      </c>
      <c r="J477" s="6" t="s">
        <v>2459</v>
      </c>
      <c r="K477" s="6" t="s">
        <v>2468</v>
      </c>
      <c r="L477" s="6" t="s">
        <v>3429</v>
      </c>
      <c r="M477" s="6"/>
      <c r="N477" s="6" t="s">
        <v>2468</v>
      </c>
      <c r="O477" s="6" t="s">
        <v>40</v>
      </c>
      <c r="P477" s="6" t="str">
        <f>VLOOKUP(Tableau1[[#This Row],[SITES NAMES]],[1]Feuil1!$1:$1048576,8,FALSE)</f>
        <v>OK</v>
      </c>
      <c r="Q477" s="6" t="str">
        <f>VLOOKUP(Tableau1[[#This Row],[SITES NAMES]],[1]Feuil1!$1:$1048576,9,FALSE)</f>
        <v>NO</v>
      </c>
      <c r="R477" s="6" t="str">
        <f>VLOOKUP(Tableau1[[#This Row],[SITES NAMES]],[1]Feuil1!$1:$1048576,10,FALSE)</f>
        <v>NO</v>
      </c>
      <c r="S477" s="6" t="s">
        <v>2469</v>
      </c>
      <c r="T477" s="6" t="s">
        <v>2470</v>
      </c>
      <c r="U477" s="6" t="s">
        <v>2480</v>
      </c>
      <c r="V477" s="6" t="s">
        <v>2472</v>
      </c>
      <c r="W477" s="6" t="s">
        <v>2465</v>
      </c>
      <c r="X477" s="8" t="s">
        <v>2681</v>
      </c>
      <c r="Y477" s="6" t="s">
        <v>3238</v>
      </c>
      <c r="Z477" s="6"/>
      <c r="AA477" s="37" t="s">
        <v>3660</v>
      </c>
      <c r="AB477" s="39" t="s">
        <v>3644</v>
      </c>
      <c r="AC477" s="37" t="s">
        <v>3661</v>
      </c>
      <c r="AD477" s="39" t="s">
        <v>3646</v>
      </c>
      <c r="AE477" s="39" t="s">
        <v>3647</v>
      </c>
      <c r="AF477" s="39" t="s">
        <v>3662</v>
      </c>
      <c r="AG477" s="37" t="s">
        <v>3649</v>
      </c>
      <c r="AH477" s="37" t="s">
        <v>3663</v>
      </c>
    </row>
    <row r="478" spans="1:34" ht="14.45" hidden="1" customHeight="1" x14ac:dyDescent="0.3">
      <c r="A478" s="6" t="s">
        <v>354</v>
      </c>
      <c r="B478" s="7">
        <v>46022</v>
      </c>
      <c r="C478" s="6" t="s">
        <v>353</v>
      </c>
      <c r="D478" s="6" t="s">
        <v>320</v>
      </c>
      <c r="E478" s="6" t="s">
        <v>321</v>
      </c>
      <c r="F478" s="6" t="s">
        <v>3229</v>
      </c>
      <c r="G478" s="8">
        <v>0.76532999999999995</v>
      </c>
      <c r="H478" s="8">
        <v>8.2753800000000002</v>
      </c>
      <c r="I478" s="6" t="e">
        <v>#N/A</v>
      </c>
      <c r="J478" s="6" t="s">
        <v>2459</v>
      </c>
      <c r="K478" s="6" t="s">
        <v>2468</v>
      </c>
      <c r="L478" s="6" t="s">
        <v>3430</v>
      </c>
      <c r="M478" s="6"/>
      <c r="N478" s="6" t="s">
        <v>2468</v>
      </c>
      <c r="O478" s="6" t="s">
        <v>7</v>
      </c>
      <c r="P478" s="6"/>
      <c r="Q478" s="6"/>
      <c r="R478" s="6"/>
      <c r="S478" s="6"/>
      <c r="T478" s="6"/>
      <c r="U478" s="6"/>
      <c r="V478" s="6"/>
      <c r="W478" s="6"/>
      <c r="X478" s="8"/>
      <c r="Y478" s="6" t="s">
        <v>3238</v>
      </c>
      <c r="Z478" s="6" t="s">
        <v>3266</v>
      </c>
      <c r="AA478" s="37" t="s">
        <v>3664</v>
      </c>
      <c r="AB478" s="39" t="s">
        <v>3665</v>
      </c>
      <c r="AC478" s="37" t="s">
        <v>3666</v>
      </c>
      <c r="AD478" s="37" t="s">
        <v>3667</v>
      </c>
      <c r="AE478" s="37" t="s">
        <v>3668</v>
      </c>
      <c r="AF478" s="37" t="s">
        <v>3669</v>
      </c>
      <c r="AG478" s="37" t="s">
        <v>3670</v>
      </c>
      <c r="AH478" s="37" t="s">
        <v>3671</v>
      </c>
    </row>
    <row r="479" spans="1:34" ht="14.45" hidden="1" customHeight="1" x14ac:dyDescent="0.25">
      <c r="A479" s="6" t="s">
        <v>1606</v>
      </c>
      <c r="B479" s="7">
        <v>46022</v>
      </c>
      <c r="C479" s="6" t="s">
        <v>1605</v>
      </c>
      <c r="D479" s="6" t="s">
        <v>66</v>
      </c>
      <c r="E479" s="6" t="s">
        <v>3236</v>
      </c>
      <c r="F479" s="6" t="s">
        <v>3229</v>
      </c>
      <c r="G479" s="8">
        <v>1.126595</v>
      </c>
      <c r="H479" s="8">
        <v>6.3078859999999999</v>
      </c>
      <c r="I479" s="6" t="e">
        <v>#N/A</v>
      </c>
      <c r="J479" s="6" t="s">
        <v>2459</v>
      </c>
      <c r="K479" s="6" t="s">
        <v>2468</v>
      </c>
      <c r="L479" s="6"/>
      <c r="M479" s="6"/>
      <c r="N479" s="6" t="s">
        <v>2468</v>
      </c>
      <c r="O479" s="6" t="s">
        <v>47</v>
      </c>
      <c r="P479" s="6"/>
      <c r="Q479" s="6"/>
      <c r="R479" s="6"/>
      <c r="S479" s="6"/>
      <c r="T479" s="6"/>
      <c r="U479" s="6"/>
      <c r="V479" s="6"/>
      <c r="W479" s="6"/>
      <c r="X479" s="8"/>
      <c r="Y479" s="6" t="s">
        <v>3238</v>
      </c>
      <c r="Z479" s="6" t="s">
        <v>3263</v>
      </c>
      <c r="AA479" s="35" t="s">
        <v>3616</v>
      </c>
      <c r="AB479" s="35" t="s">
        <v>3608</v>
      </c>
      <c r="AC479" s="35" t="s">
        <v>3619</v>
      </c>
      <c r="AD479" s="35" t="s">
        <v>3610</v>
      </c>
      <c r="AE479" s="35" t="s">
        <v>3610</v>
      </c>
      <c r="AF479" s="35" t="s">
        <v>3611</v>
      </c>
      <c r="AG479" s="35" t="s">
        <v>3612</v>
      </c>
      <c r="AH479" s="35" t="s">
        <v>3620</v>
      </c>
    </row>
    <row r="480" spans="1:34" ht="14.45" hidden="1" customHeight="1" x14ac:dyDescent="0.3">
      <c r="A480" s="6" t="s">
        <v>2353</v>
      </c>
      <c r="B480" s="7">
        <v>46022</v>
      </c>
      <c r="C480" s="6" t="s">
        <v>2352</v>
      </c>
      <c r="D480" s="6" t="s">
        <v>5</v>
      </c>
      <c r="E480" s="6" t="s">
        <v>2333</v>
      </c>
      <c r="F480" s="6" t="s">
        <v>3229</v>
      </c>
      <c r="G480" s="8">
        <v>1.33023</v>
      </c>
      <c r="H480" s="8">
        <v>6.5823039999999997</v>
      </c>
      <c r="I480" s="16" t="s">
        <v>2477</v>
      </c>
      <c r="J480" s="6" t="s">
        <v>2459</v>
      </c>
      <c r="K480" s="6" t="s">
        <v>2468</v>
      </c>
      <c r="L480" s="6"/>
      <c r="M480" s="6"/>
      <c r="N480" s="6" t="s">
        <v>2468</v>
      </c>
      <c r="O480" s="6" t="s">
        <v>7</v>
      </c>
      <c r="P480" s="6"/>
      <c r="Q480" s="6"/>
      <c r="R480" s="6"/>
      <c r="S480" s="6"/>
      <c r="T480" s="6"/>
      <c r="U480" s="6"/>
      <c r="V480" s="6"/>
      <c r="W480" s="6"/>
      <c r="X480" s="8"/>
      <c r="Y480" s="6" t="s">
        <v>3241</v>
      </c>
      <c r="Z480" s="6"/>
      <c r="AA480" s="37"/>
      <c r="AB480" s="38" t="s">
        <v>3627</v>
      </c>
      <c r="AC480" s="37" t="s">
        <v>3640</v>
      </c>
      <c r="AD480" s="39" t="s">
        <v>3641</v>
      </c>
      <c r="AE480" s="37"/>
      <c r="AF480" s="39" t="s">
        <v>3641</v>
      </c>
      <c r="AG480" s="37"/>
      <c r="AH480" s="37" t="s">
        <v>3642</v>
      </c>
    </row>
    <row r="481" spans="1:34" ht="14.45" hidden="1" customHeight="1" x14ac:dyDescent="0.25">
      <c r="A481" s="6" t="s">
        <v>1526</v>
      </c>
      <c r="B481" s="7">
        <v>40385</v>
      </c>
      <c r="C481" s="6" t="s">
        <v>1525</v>
      </c>
      <c r="D481" s="6" t="s">
        <v>66</v>
      </c>
      <c r="E481" s="6" t="s">
        <v>3233</v>
      </c>
      <c r="F481" s="6" t="s">
        <v>3229</v>
      </c>
      <c r="G481" s="8">
        <v>1.212928</v>
      </c>
      <c r="H481" s="8">
        <v>6.2103085440000001</v>
      </c>
      <c r="I481" s="6" t="s">
        <v>2475</v>
      </c>
      <c r="J481" s="6" t="s">
        <v>2459</v>
      </c>
      <c r="K481" s="6" t="s">
        <v>2460</v>
      </c>
      <c r="L481" s="6"/>
      <c r="M481" s="6"/>
      <c r="N481" s="6" t="s">
        <v>3268</v>
      </c>
      <c r="O481" s="6" t="s">
        <v>7</v>
      </c>
      <c r="P481" s="6" t="str">
        <f>VLOOKUP(Tableau1[[#This Row],[SITES NAMES]],[1]Feuil1!$1:$1048576,8,FALSE)</f>
        <v>OK</v>
      </c>
      <c r="Q481" s="6" t="str">
        <f>VLOOKUP(Tableau1[[#This Row],[SITES NAMES]],[1]Feuil1!$1:$1048576,9,FALSE)</f>
        <v>NO</v>
      </c>
      <c r="R481" s="6" t="str">
        <f>VLOOKUP(Tableau1[[#This Row],[SITES NAMES]],[1]Feuil1!$1:$1048576,10,FALSE)</f>
        <v>NO</v>
      </c>
      <c r="S481" s="6" t="s">
        <v>2469</v>
      </c>
      <c r="T481" s="6" t="s">
        <v>2470</v>
      </c>
      <c r="U481" s="6" t="s">
        <v>2480</v>
      </c>
      <c r="V481" s="6" t="s">
        <v>2498</v>
      </c>
      <c r="W481" s="6" t="s">
        <v>2476</v>
      </c>
      <c r="X481" s="8"/>
      <c r="Y481" s="6" t="s">
        <v>3238</v>
      </c>
      <c r="Z481" s="6" t="s">
        <v>3264</v>
      </c>
      <c r="AA481" s="35" t="s">
        <v>3616</v>
      </c>
      <c r="AB481" s="35" t="s">
        <v>3608</v>
      </c>
      <c r="AC481" s="35" t="s">
        <v>3617</v>
      </c>
      <c r="AD481" s="35" t="s">
        <v>3610</v>
      </c>
      <c r="AE481" s="35" t="s">
        <v>3610</v>
      </c>
      <c r="AF481" s="35" t="s">
        <v>3611</v>
      </c>
      <c r="AG481" s="35" t="s">
        <v>3612</v>
      </c>
      <c r="AH481" s="35" t="s">
        <v>3618</v>
      </c>
    </row>
    <row r="482" spans="1:34" ht="14.45" hidden="1" customHeight="1" x14ac:dyDescent="0.3">
      <c r="A482" s="6" t="s">
        <v>1999</v>
      </c>
      <c r="B482" s="7">
        <v>45231</v>
      </c>
      <c r="C482" s="6" t="s">
        <v>1998</v>
      </c>
      <c r="D482" s="6" t="s">
        <v>395</v>
      </c>
      <c r="E482" s="6" t="s">
        <v>1965</v>
      </c>
      <c r="F482" s="6" t="s">
        <v>3229</v>
      </c>
      <c r="G482" s="8">
        <v>0.39329999999999998</v>
      </c>
      <c r="H482" s="8">
        <v>10.177899999999999</v>
      </c>
      <c r="I482" s="6" t="s">
        <v>2477</v>
      </c>
      <c r="J482" s="6" t="s">
        <v>2459</v>
      </c>
      <c r="K482" s="6" t="s">
        <v>2468</v>
      </c>
      <c r="L482" s="6" t="s">
        <v>3431</v>
      </c>
      <c r="M482" s="6"/>
      <c r="N482" s="6" t="s">
        <v>2468</v>
      </c>
      <c r="O482" s="6" t="s">
        <v>7</v>
      </c>
      <c r="P482" s="6" t="str">
        <f>VLOOKUP(Tableau1[[#This Row],[SITES NAMES]],[1]Feuil1!$1:$1048576,8,FALSE)</f>
        <v>OK</v>
      </c>
      <c r="Q482" s="6" t="str">
        <f>VLOOKUP(Tableau1[[#This Row],[SITES NAMES]],[1]Feuil1!$1:$1048576,9,FALSE)</f>
        <v>NO</v>
      </c>
      <c r="R482" s="6" t="str">
        <f>VLOOKUP(Tableau1[[#This Row],[SITES NAMES]],[1]Feuil1!$1:$1048576,10,FALSE)</f>
        <v>NO</v>
      </c>
      <c r="S482" s="6" t="s">
        <v>2461</v>
      </c>
      <c r="T482" s="6" t="s">
        <v>2462</v>
      </c>
      <c r="U482" s="6" t="s">
        <v>2463</v>
      </c>
      <c r="V482" s="6" t="s">
        <v>2472</v>
      </c>
      <c r="W482" s="6" t="s">
        <v>2493</v>
      </c>
      <c r="X482" s="8"/>
      <c r="Y482" s="6" t="s">
        <v>3240</v>
      </c>
      <c r="Z482" s="6" t="s">
        <v>3255</v>
      </c>
      <c r="AA482" s="37" t="s">
        <v>3712</v>
      </c>
      <c r="AB482" s="39" t="s">
        <v>3705</v>
      </c>
      <c r="AC482" s="37" t="s">
        <v>3713</v>
      </c>
      <c r="AD482" s="37" t="s">
        <v>3712</v>
      </c>
      <c r="AE482" s="37" t="s">
        <v>3712</v>
      </c>
      <c r="AF482" s="37" t="s">
        <v>3712</v>
      </c>
      <c r="AG482" s="40" t="s">
        <v>3714</v>
      </c>
      <c r="AH482" s="37" t="s">
        <v>3715</v>
      </c>
    </row>
    <row r="483" spans="1:34" ht="14.45" hidden="1" customHeight="1" x14ac:dyDescent="0.3">
      <c r="A483" s="6" t="s">
        <v>839</v>
      </c>
      <c r="B483" s="7">
        <v>38687</v>
      </c>
      <c r="C483" s="6" t="s">
        <v>838</v>
      </c>
      <c r="D483" s="6" t="s">
        <v>657</v>
      </c>
      <c r="E483" s="6" t="s">
        <v>3237</v>
      </c>
      <c r="F483" s="6" t="s">
        <v>3229</v>
      </c>
      <c r="G483" s="8">
        <v>1.24048</v>
      </c>
      <c r="H483" s="8">
        <v>9.7298500000000008</v>
      </c>
      <c r="I483" s="6" t="s">
        <v>2477</v>
      </c>
      <c r="J483" s="6" t="s">
        <v>2459</v>
      </c>
      <c r="K483" s="6" t="s">
        <v>2468</v>
      </c>
      <c r="L483" s="6" t="s">
        <v>3432</v>
      </c>
      <c r="M483" s="6"/>
      <c r="N483" s="6" t="s">
        <v>2468</v>
      </c>
      <c r="O483" s="6" t="s">
        <v>40</v>
      </c>
      <c r="P483" s="6" t="str">
        <f>VLOOKUP(Tableau1[[#This Row],[SITES NAMES]],[1]Feuil1!$1:$1048576,8,FALSE)</f>
        <v>OK</v>
      </c>
      <c r="Q483" s="6" t="str">
        <f>VLOOKUP(Tableau1[[#This Row],[SITES NAMES]],[1]Feuil1!$1:$1048576,9,FALSE)</f>
        <v>NO</v>
      </c>
      <c r="R483" s="6" t="str">
        <f>VLOOKUP(Tableau1[[#This Row],[SITES NAMES]],[1]Feuil1!$1:$1048576,10,FALSE)</f>
        <v>NO</v>
      </c>
      <c r="S483" s="6" t="s">
        <v>2469</v>
      </c>
      <c r="T483" s="6" t="s">
        <v>2470</v>
      </c>
      <c r="U483" s="6" t="s">
        <v>2471</v>
      </c>
      <c r="V483" s="6" t="s">
        <v>2472</v>
      </c>
      <c r="W483" s="6" t="s">
        <v>2473</v>
      </c>
      <c r="X483" s="8" t="s">
        <v>2783</v>
      </c>
      <c r="Y483" s="6" t="s">
        <v>3239</v>
      </c>
      <c r="Z483" s="6" t="s">
        <v>3253</v>
      </c>
      <c r="AA483" s="37" t="s">
        <v>3692</v>
      </c>
      <c r="AB483" s="38" t="s">
        <v>3683</v>
      </c>
      <c r="AC483" s="39" t="s">
        <v>3693</v>
      </c>
      <c r="AD483" s="39" t="s">
        <v>3694</v>
      </c>
      <c r="AE483" s="37" t="s">
        <v>3695</v>
      </c>
      <c r="AF483" s="39" t="s">
        <v>3696</v>
      </c>
      <c r="AG483" s="40" t="s">
        <v>3685</v>
      </c>
      <c r="AH483" s="37" t="s">
        <v>3697</v>
      </c>
    </row>
    <row r="484" spans="1:34" ht="14.45" hidden="1" customHeight="1" x14ac:dyDescent="0.3">
      <c r="A484" s="6" t="s">
        <v>2201</v>
      </c>
      <c r="B484" s="7">
        <v>38687</v>
      </c>
      <c r="C484" s="6" t="s">
        <v>2200</v>
      </c>
      <c r="D484" s="6" t="s">
        <v>320</v>
      </c>
      <c r="E484" s="6" t="s">
        <v>2141</v>
      </c>
      <c r="F484" s="6" t="s">
        <v>3229</v>
      </c>
      <c r="G484" s="8">
        <v>0.77565600000000001</v>
      </c>
      <c r="H484" s="8">
        <v>8.6955790000000004</v>
      </c>
      <c r="I484" s="6" t="s">
        <v>2477</v>
      </c>
      <c r="J484" s="6" t="s">
        <v>2459</v>
      </c>
      <c r="K484" s="6" t="s">
        <v>2468</v>
      </c>
      <c r="L484" s="6" t="s">
        <v>2171</v>
      </c>
      <c r="M484" s="6"/>
      <c r="N484" s="6" t="s">
        <v>2468</v>
      </c>
      <c r="O484" s="6" t="s">
        <v>40</v>
      </c>
      <c r="P484" s="6" t="str">
        <f>VLOOKUP(Tableau1[[#This Row],[SITES NAMES]],[1]Feuil1!$1:$1048576,8,FALSE)</f>
        <v>OK</v>
      </c>
      <c r="Q484" s="6" t="str">
        <f>VLOOKUP(Tableau1[[#This Row],[SITES NAMES]],[1]Feuil1!$1:$1048576,9,FALSE)</f>
        <v>NO</v>
      </c>
      <c r="R484" s="6" t="str">
        <f>VLOOKUP(Tableau1[[#This Row],[SITES NAMES]],[1]Feuil1!$1:$1048576,10,FALSE)</f>
        <v>NO</v>
      </c>
      <c r="S484" s="6" t="s">
        <v>2461</v>
      </c>
      <c r="T484" s="6" t="s">
        <v>2462</v>
      </c>
      <c r="U484" s="6" t="s">
        <v>2463</v>
      </c>
      <c r="V484" s="6" t="s">
        <v>2472</v>
      </c>
      <c r="W484" s="6" t="s">
        <v>2473</v>
      </c>
      <c r="X484" s="8" t="s">
        <v>3155</v>
      </c>
      <c r="Y484" s="6" t="s">
        <v>3238</v>
      </c>
      <c r="Z484" s="6" t="s">
        <v>3254</v>
      </c>
      <c r="AA484" s="37" t="s">
        <v>3672</v>
      </c>
      <c r="AB484" s="39" t="s">
        <v>3665</v>
      </c>
      <c r="AC484" s="37" t="s">
        <v>3673</v>
      </c>
      <c r="AD484" s="37" t="s">
        <v>3674</v>
      </c>
      <c r="AE484" s="37" t="s">
        <v>3675</v>
      </c>
      <c r="AF484" s="39" t="s">
        <v>3676</v>
      </c>
      <c r="AG484" s="37" t="s">
        <v>3670</v>
      </c>
      <c r="AH484" s="37" t="s">
        <v>3677</v>
      </c>
    </row>
    <row r="485" spans="1:34" ht="14.45" hidden="1" customHeight="1" x14ac:dyDescent="0.25">
      <c r="A485" s="6" t="s">
        <v>1528</v>
      </c>
      <c r="B485" s="7">
        <v>42782</v>
      </c>
      <c r="C485" s="6" t="s">
        <v>1527</v>
      </c>
      <c r="D485" s="6" t="s">
        <v>66</v>
      </c>
      <c r="E485" s="6" t="s">
        <v>3233</v>
      </c>
      <c r="F485" s="6" t="s">
        <v>3229</v>
      </c>
      <c r="G485" s="8">
        <v>1.2212229999999999</v>
      </c>
      <c r="H485" s="8">
        <v>6.2643040000000001</v>
      </c>
      <c r="I485" s="6" t="s">
        <v>2475</v>
      </c>
      <c r="J485" s="6" t="s">
        <v>2459</v>
      </c>
      <c r="K485" s="6" t="s">
        <v>2460</v>
      </c>
      <c r="L485" s="6"/>
      <c r="M485" s="6"/>
      <c r="N485" s="6" t="s">
        <v>3268</v>
      </c>
      <c r="O485" s="6" t="s">
        <v>7</v>
      </c>
      <c r="P485" s="6" t="str">
        <f>VLOOKUP(Tableau1[[#This Row],[SITES NAMES]],[1]Feuil1!$1:$1048576,8,FALSE)</f>
        <v>OK</v>
      </c>
      <c r="Q485" s="6" t="str">
        <f>VLOOKUP(Tableau1[[#This Row],[SITES NAMES]],[1]Feuil1!$1:$1048576,9,FALSE)</f>
        <v>NO</v>
      </c>
      <c r="R485" s="6" t="str">
        <f>VLOOKUP(Tableau1[[#This Row],[SITES NAMES]],[1]Feuil1!$1:$1048576,10,FALSE)</f>
        <v>YES</v>
      </c>
      <c r="S485" s="6" t="s">
        <v>2461</v>
      </c>
      <c r="T485" s="6" t="s">
        <v>2470</v>
      </c>
      <c r="U485" s="6" t="s">
        <v>2463</v>
      </c>
      <c r="V485" s="6" t="s">
        <v>2498</v>
      </c>
      <c r="W485" s="6" t="s">
        <v>2476</v>
      </c>
      <c r="X485" s="8" t="s">
        <v>2962</v>
      </c>
      <c r="Y485" s="6" t="s">
        <v>3238</v>
      </c>
      <c r="Z485" s="6" t="s">
        <v>3264</v>
      </c>
      <c r="AA485" s="35" t="s">
        <v>3616</v>
      </c>
      <c r="AB485" s="35" t="s">
        <v>3608</v>
      </c>
      <c r="AC485" s="35" t="s">
        <v>3617</v>
      </c>
      <c r="AD485" s="35" t="s">
        <v>3610</v>
      </c>
      <c r="AE485" s="35" t="s">
        <v>3610</v>
      </c>
      <c r="AF485" s="35" t="s">
        <v>3611</v>
      </c>
      <c r="AG485" s="35" t="s">
        <v>3612</v>
      </c>
      <c r="AH485" s="35" t="s">
        <v>3618</v>
      </c>
    </row>
    <row r="486" spans="1:34" ht="14.45" hidden="1" customHeight="1" x14ac:dyDescent="0.25">
      <c r="A486" s="6" t="s">
        <v>1460</v>
      </c>
      <c r="B486" s="7">
        <v>46022</v>
      </c>
      <c r="C486" s="6" t="s">
        <v>1459</v>
      </c>
      <c r="D486" s="6" t="s">
        <v>66</v>
      </c>
      <c r="E486" s="6" t="s">
        <v>3233</v>
      </c>
      <c r="F486" s="6" t="s">
        <v>3229</v>
      </c>
      <c r="G486" s="8">
        <v>1.23054</v>
      </c>
      <c r="H486" s="8">
        <v>6.2503599999999997</v>
      </c>
      <c r="I486" s="6" t="e">
        <v>#N/A</v>
      </c>
      <c r="J486" s="6" t="s">
        <v>2459</v>
      </c>
      <c r="K486" s="6" t="s">
        <v>2468</v>
      </c>
      <c r="L486" s="6"/>
      <c r="M486" s="6"/>
      <c r="N486" s="6" t="s">
        <v>2468</v>
      </c>
      <c r="O486" s="6" t="s">
        <v>47</v>
      </c>
      <c r="P486" s="6"/>
      <c r="Q486" s="6"/>
      <c r="R486" s="6"/>
      <c r="S486" s="6"/>
      <c r="T486" s="6"/>
      <c r="U486" s="6"/>
      <c r="V486" s="6"/>
      <c r="W486" s="6"/>
      <c r="X486" s="8"/>
      <c r="Y486" s="6" t="s">
        <v>3238</v>
      </c>
      <c r="Z486" s="6" t="s">
        <v>3264</v>
      </c>
      <c r="AA486" s="35" t="s">
        <v>3616</v>
      </c>
      <c r="AB486" s="35" t="s">
        <v>3608</v>
      </c>
      <c r="AC486" s="35" t="s">
        <v>3617</v>
      </c>
      <c r="AD486" s="35" t="s">
        <v>3610</v>
      </c>
      <c r="AE486" s="35" t="s">
        <v>3610</v>
      </c>
      <c r="AF486" s="35" t="s">
        <v>3611</v>
      </c>
      <c r="AG486" s="35" t="s">
        <v>3612</v>
      </c>
      <c r="AH486" s="35" t="s">
        <v>3618</v>
      </c>
    </row>
    <row r="487" spans="1:34" ht="14.45" hidden="1" customHeight="1" x14ac:dyDescent="0.25">
      <c r="A487" s="6" t="s">
        <v>1530</v>
      </c>
      <c r="B487" s="7">
        <v>44537</v>
      </c>
      <c r="C487" s="6" t="s">
        <v>1529</v>
      </c>
      <c r="D487" s="6" t="s">
        <v>66</v>
      </c>
      <c r="E487" s="6" t="s">
        <v>3233</v>
      </c>
      <c r="F487" s="6" t="s">
        <v>3229</v>
      </c>
      <c r="G487" s="8">
        <v>1.2245900000000001</v>
      </c>
      <c r="H487" s="8">
        <v>6.2533099999999999</v>
      </c>
      <c r="I487" s="6" t="s">
        <v>2475</v>
      </c>
      <c r="J487" s="6" t="s">
        <v>2459</v>
      </c>
      <c r="K487" s="6" t="s">
        <v>2460</v>
      </c>
      <c r="L487" s="6"/>
      <c r="M487" s="6"/>
      <c r="N487" s="6" t="s">
        <v>3268</v>
      </c>
      <c r="O487" s="6" t="s">
        <v>7</v>
      </c>
      <c r="P487" s="6" t="str">
        <f>VLOOKUP(Tableau1[[#This Row],[SITES NAMES]],[1]Feuil1!$1:$1048576,8,FALSE)</f>
        <v>OK</v>
      </c>
      <c r="Q487" s="6" t="str">
        <f>VLOOKUP(Tableau1[[#This Row],[SITES NAMES]],[1]Feuil1!$1:$1048576,9,FALSE)</f>
        <v>NO</v>
      </c>
      <c r="R487" s="6" t="str">
        <f>VLOOKUP(Tableau1[[#This Row],[SITES NAMES]],[1]Feuil1!$1:$1048576,10,FALSE)</f>
        <v>YES</v>
      </c>
      <c r="S487" s="6" t="s">
        <v>2469</v>
      </c>
      <c r="T487" s="6" t="s">
        <v>2470</v>
      </c>
      <c r="U487" s="6" t="s">
        <v>2471</v>
      </c>
      <c r="V487" s="6" t="s">
        <v>2478</v>
      </c>
      <c r="W487" s="6" t="s">
        <v>2476</v>
      </c>
      <c r="X487" s="8" t="s">
        <v>2963</v>
      </c>
      <c r="Y487" s="6" t="s">
        <v>3238</v>
      </c>
      <c r="Z487" s="6" t="s">
        <v>3264</v>
      </c>
      <c r="AA487" s="35" t="s">
        <v>3616</v>
      </c>
      <c r="AB487" s="35" t="s">
        <v>3608</v>
      </c>
      <c r="AC487" s="35" t="s">
        <v>3617</v>
      </c>
      <c r="AD487" s="35" t="s">
        <v>3610</v>
      </c>
      <c r="AE487" s="35" t="s">
        <v>3610</v>
      </c>
      <c r="AF487" s="35" t="s">
        <v>3611</v>
      </c>
      <c r="AG487" s="35" t="s">
        <v>3612</v>
      </c>
      <c r="AH487" s="35" t="s">
        <v>3618</v>
      </c>
    </row>
    <row r="488" spans="1:34" ht="14.45" hidden="1" customHeight="1" x14ac:dyDescent="0.25">
      <c r="A488" s="6" t="s">
        <v>1532</v>
      </c>
      <c r="B488" s="7">
        <v>44630</v>
      </c>
      <c r="C488" s="6" t="s">
        <v>1531</v>
      </c>
      <c r="D488" s="6" t="s">
        <v>66</v>
      </c>
      <c r="E488" s="6" t="s">
        <v>3233</v>
      </c>
      <c r="F488" s="6" t="s">
        <v>3229</v>
      </c>
      <c r="G488" s="8">
        <v>1.213768</v>
      </c>
      <c r="H488" s="8">
        <v>6.2587060000000001</v>
      </c>
      <c r="I488" s="6" t="s">
        <v>2475</v>
      </c>
      <c r="J488" s="6" t="s">
        <v>2459</v>
      </c>
      <c r="K488" s="6" t="s">
        <v>2460</v>
      </c>
      <c r="L488" s="6"/>
      <c r="M488" s="6"/>
      <c r="N488" s="6" t="s">
        <v>3268</v>
      </c>
      <c r="O488" s="6" t="s">
        <v>7</v>
      </c>
      <c r="P488" s="6" t="str">
        <f>VLOOKUP(Tableau1[[#This Row],[SITES NAMES]],[1]Feuil1!$1:$1048576,8,FALSE)</f>
        <v>OK</v>
      </c>
      <c r="Q488" s="6" t="str">
        <f>VLOOKUP(Tableau1[[#This Row],[SITES NAMES]],[1]Feuil1!$1:$1048576,9,FALSE)</f>
        <v>NO</v>
      </c>
      <c r="R488" s="6" t="str">
        <f>VLOOKUP(Tableau1[[#This Row],[SITES NAMES]],[1]Feuil1!$1:$1048576,10,FALSE)</f>
        <v>YES</v>
      </c>
      <c r="S488" s="6" t="s">
        <v>2469</v>
      </c>
      <c r="T488" s="6" t="s">
        <v>2470</v>
      </c>
      <c r="U488" s="6" t="s">
        <v>2480</v>
      </c>
      <c r="V488" s="6" t="s">
        <v>2478</v>
      </c>
      <c r="W488" s="6" t="s">
        <v>2465</v>
      </c>
      <c r="X488" s="8" t="s">
        <v>2964</v>
      </c>
      <c r="Y488" s="6" t="s">
        <v>3238</v>
      </c>
      <c r="Z488" s="6" t="s">
        <v>3264</v>
      </c>
      <c r="AA488" s="35" t="s">
        <v>3616</v>
      </c>
      <c r="AB488" s="35" t="s">
        <v>3608</v>
      </c>
      <c r="AC488" s="35" t="s">
        <v>3617</v>
      </c>
      <c r="AD488" s="35" t="s">
        <v>3610</v>
      </c>
      <c r="AE488" s="35" t="s">
        <v>3610</v>
      </c>
      <c r="AF488" s="35" t="s">
        <v>3611</v>
      </c>
      <c r="AG488" s="35" t="s">
        <v>3612</v>
      </c>
      <c r="AH488" s="35" t="s">
        <v>3618</v>
      </c>
    </row>
    <row r="489" spans="1:34" ht="14.45" hidden="1" customHeight="1" x14ac:dyDescent="0.25">
      <c r="A489" s="6" t="s">
        <v>1534</v>
      </c>
      <c r="B489" s="7">
        <v>45136</v>
      </c>
      <c r="C489" s="6" t="s">
        <v>1533</v>
      </c>
      <c r="D489" s="6" t="s">
        <v>66</v>
      </c>
      <c r="E489" s="6" t="s">
        <v>3233</v>
      </c>
      <c r="F489" s="6" t="s">
        <v>3229</v>
      </c>
      <c r="G489" s="8">
        <v>1.219983</v>
      </c>
      <c r="H489" s="8">
        <v>6.2716700000000003</v>
      </c>
      <c r="I489" s="6" t="s">
        <v>2475</v>
      </c>
      <c r="J489" s="6" t="s">
        <v>2459</v>
      </c>
      <c r="K489" s="6" t="s">
        <v>2460</v>
      </c>
      <c r="L489" s="6" t="s">
        <v>3433</v>
      </c>
      <c r="M489" s="6"/>
      <c r="N489" s="6" t="s">
        <v>3268</v>
      </c>
      <c r="O489" s="6" t="s">
        <v>7</v>
      </c>
      <c r="P489" s="6" t="str">
        <f>VLOOKUP(Tableau1[[#This Row],[SITES NAMES]],[1]Feuil1!$1:$1048576,8,FALSE)</f>
        <v>OK</v>
      </c>
      <c r="Q489" s="6" t="str">
        <f>VLOOKUP(Tableau1[[#This Row],[SITES NAMES]],[1]Feuil1!$1:$1048576,9,FALSE)</f>
        <v>NO</v>
      </c>
      <c r="R489" s="6" t="str">
        <f>VLOOKUP(Tableau1[[#This Row],[SITES NAMES]],[1]Feuil1!$1:$1048576,10,FALSE)</f>
        <v>NO</v>
      </c>
      <c r="S489" s="6" t="s">
        <v>2469</v>
      </c>
      <c r="T489" s="6" t="s">
        <v>2470</v>
      </c>
      <c r="U489" s="6" t="s">
        <v>2480</v>
      </c>
      <c r="V489" s="6" t="s">
        <v>2464</v>
      </c>
      <c r="W489" s="6" t="s">
        <v>2476</v>
      </c>
      <c r="X489" s="8"/>
      <c r="Y489" s="6" t="s">
        <v>3238</v>
      </c>
      <c r="Z489" s="6" t="s">
        <v>3264</v>
      </c>
      <c r="AA489" s="35" t="s">
        <v>3616</v>
      </c>
      <c r="AB489" s="35" t="s">
        <v>3608</v>
      </c>
      <c r="AC489" s="35" t="s">
        <v>3617</v>
      </c>
      <c r="AD489" s="35" t="s">
        <v>3610</v>
      </c>
      <c r="AE489" s="35" t="s">
        <v>3610</v>
      </c>
      <c r="AF489" s="35" t="s">
        <v>3611</v>
      </c>
      <c r="AG489" s="35" t="s">
        <v>3612</v>
      </c>
      <c r="AH489" s="35" t="s">
        <v>3618</v>
      </c>
    </row>
    <row r="490" spans="1:34" ht="14.45" hidden="1" customHeight="1" x14ac:dyDescent="0.25">
      <c r="A490" s="6" t="s">
        <v>1536</v>
      </c>
      <c r="B490" s="7">
        <v>44543</v>
      </c>
      <c r="C490" s="6" t="s">
        <v>1535</v>
      </c>
      <c r="D490" s="6" t="s">
        <v>66</v>
      </c>
      <c r="E490" s="6" t="s">
        <v>3233</v>
      </c>
      <c r="F490" s="6" t="s">
        <v>3229</v>
      </c>
      <c r="G490" s="8">
        <v>1.2099500000000001</v>
      </c>
      <c r="H490" s="8">
        <v>6.23536</v>
      </c>
      <c r="I490" s="6" t="s">
        <v>2475</v>
      </c>
      <c r="J490" s="6" t="s">
        <v>2459</v>
      </c>
      <c r="K490" s="6" t="s">
        <v>2460</v>
      </c>
      <c r="L490" s="6"/>
      <c r="M490" s="6"/>
      <c r="N490" s="6" t="s">
        <v>3268</v>
      </c>
      <c r="O490" s="6" t="s">
        <v>7</v>
      </c>
      <c r="P490" s="6" t="str">
        <f>VLOOKUP(Tableau1[[#This Row],[SITES NAMES]],[1]Feuil1!$1:$1048576,8,FALSE)</f>
        <v>OK</v>
      </c>
      <c r="Q490" s="6" t="str">
        <f>VLOOKUP(Tableau1[[#This Row],[SITES NAMES]],[1]Feuil1!$1:$1048576,9,FALSE)</f>
        <v>NO</v>
      </c>
      <c r="R490" s="6" t="str">
        <f>VLOOKUP(Tableau1[[#This Row],[SITES NAMES]],[1]Feuil1!$1:$1048576,10,FALSE)</f>
        <v>YES</v>
      </c>
      <c r="S490" s="6" t="s">
        <v>2469</v>
      </c>
      <c r="T490" s="6" t="s">
        <v>2470</v>
      </c>
      <c r="U490" s="6" t="s">
        <v>2480</v>
      </c>
      <c r="V490" s="6" t="s">
        <v>2464</v>
      </c>
      <c r="W490" s="6" t="s">
        <v>2476</v>
      </c>
      <c r="X490" s="8"/>
      <c r="Y490" s="6" t="s">
        <v>3238</v>
      </c>
      <c r="Z490" s="6" t="s">
        <v>3264</v>
      </c>
      <c r="AA490" s="35" t="s">
        <v>3616</v>
      </c>
      <c r="AB490" s="35" t="s">
        <v>3608</v>
      </c>
      <c r="AC490" s="35" t="s">
        <v>3617</v>
      </c>
      <c r="AD490" s="35" t="s">
        <v>3610</v>
      </c>
      <c r="AE490" s="35" t="s">
        <v>3610</v>
      </c>
      <c r="AF490" s="35" t="s">
        <v>3611</v>
      </c>
      <c r="AG490" s="35" t="s">
        <v>3612</v>
      </c>
      <c r="AH490" s="35" t="s">
        <v>3618</v>
      </c>
    </row>
    <row r="491" spans="1:34" ht="14.45" hidden="1" customHeight="1" x14ac:dyDescent="0.25">
      <c r="A491" s="6" t="s">
        <v>1660</v>
      </c>
      <c r="B491" s="7">
        <v>43265</v>
      </c>
      <c r="C491" s="6" t="s">
        <v>1659</v>
      </c>
      <c r="D491" s="6" t="s">
        <v>66</v>
      </c>
      <c r="E491" s="6" t="s">
        <v>3236</v>
      </c>
      <c r="F491" s="6" t="s">
        <v>3229</v>
      </c>
      <c r="G491" s="8">
        <v>1.1872799999999999</v>
      </c>
      <c r="H491" s="8">
        <v>6.2353300000000003</v>
      </c>
      <c r="I491" s="6" t="s">
        <v>2475</v>
      </c>
      <c r="J491" s="6" t="s">
        <v>2459</v>
      </c>
      <c r="K491" s="6" t="s">
        <v>2468</v>
      </c>
      <c r="L491" s="6" t="s">
        <v>3434</v>
      </c>
      <c r="M491" s="6"/>
      <c r="N491" s="6" t="s">
        <v>2468</v>
      </c>
      <c r="O491" s="6" t="s">
        <v>1206</v>
      </c>
      <c r="P491" s="6"/>
      <c r="Q491" s="6" t="str">
        <f>VLOOKUP(Tableau1[[#This Row],[SITES NAMES]],[1]Feuil1!$1:$1048576,9,FALSE)</f>
        <v>YES</v>
      </c>
      <c r="R491" s="6" t="str">
        <f>VLOOKUP(Tableau1[[#This Row],[SITES NAMES]],[1]Feuil1!$1:$1048576,10,FALSE)</f>
        <v>NO</v>
      </c>
      <c r="S491" s="6" t="s">
        <v>2469</v>
      </c>
      <c r="T491" s="6" t="s">
        <v>2470</v>
      </c>
      <c r="U491" s="6" t="s">
        <v>2471</v>
      </c>
      <c r="V491" s="6" t="s">
        <v>2472</v>
      </c>
      <c r="W491" s="6" t="s">
        <v>2476</v>
      </c>
      <c r="X491" s="8"/>
      <c r="Y491" s="6" t="s">
        <v>3238</v>
      </c>
      <c r="Z491" s="6" t="s">
        <v>3263</v>
      </c>
      <c r="AA491" s="35" t="s">
        <v>3616</v>
      </c>
      <c r="AB491" s="35" t="s">
        <v>3608</v>
      </c>
      <c r="AC491" s="35" t="s">
        <v>3619</v>
      </c>
      <c r="AD491" s="35" t="s">
        <v>3610</v>
      </c>
      <c r="AE491" s="35" t="s">
        <v>3610</v>
      </c>
      <c r="AF491" s="35" t="s">
        <v>3611</v>
      </c>
      <c r="AG491" s="35" t="s">
        <v>3612</v>
      </c>
      <c r="AH491" s="35" t="s">
        <v>3620</v>
      </c>
    </row>
    <row r="492" spans="1:34" ht="14.45" hidden="1" customHeight="1" x14ac:dyDescent="0.3">
      <c r="A492" s="6" t="s">
        <v>530</v>
      </c>
      <c r="B492" s="7">
        <v>45164</v>
      </c>
      <c r="C492" s="6" t="s">
        <v>529</v>
      </c>
      <c r="D492" s="6" t="s">
        <v>395</v>
      </c>
      <c r="E492" s="6" t="s">
        <v>396</v>
      </c>
      <c r="F492" s="6" t="s">
        <v>3229</v>
      </c>
      <c r="G492" s="8">
        <v>0.36373</v>
      </c>
      <c r="H492" s="8">
        <v>10.777430000000001</v>
      </c>
      <c r="I492" s="6" t="s">
        <v>2477</v>
      </c>
      <c r="J492" s="6" t="s">
        <v>2459</v>
      </c>
      <c r="K492" s="6" t="s">
        <v>2468</v>
      </c>
      <c r="L492" s="6" t="s">
        <v>548</v>
      </c>
      <c r="M492" s="6"/>
      <c r="N492" s="6" t="s">
        <v>2468</v>
      </c>
      <c r="O492" s="6" t="s">
        <v>40</v>
      </c>
      <c r="P492" s="6" t="str">
        <f>VLOOKUP(Tableau1[[#This Row],[SITES NAMES]],[1]Feuil1!$1:$1048576,8,FALSE)</f>
        <v>OK</v>
      </c>
      <c r="Q492" s="6" t="str">
        <f>VLOOKUP(Tableau1[[#This Row],[SITES NAMES]],[1]Feuil1!$1:$1048576,9,FALSE)</f>
        <v>NO</v>
      </c>
      <c r="R492" s="6" t="str">
        <f>VLOOKUP(Tableau1[[#This Row],[SITES NAMES]],[1]Feuil1!$1:$1048576,10,FALSE)</f>
        <v>NO</v>
      </c>
      <c r="S492" s="6" t="s">
        <v>2469</v>
      </c>
      <c r="T492" s="6" t="s">
        <v>2470</v>
      </c>
      <c r="U492" s="6" t="s">
        <v>2480</v>
      </c>
      <c r="V492" s="6" t="s">
        <v>2472</v>
      </c>
      <c r="W492" s="6" t="s">
        <v>2473</v>
      </c>
      <c r="X492" s="8"/>
      <c r="Y492" s="6" t="s">
        <v>3240</v>
      </c>
      <c r="Z492" s="6" t="s">
        <v>3255</v>
      </c>
      <c r="AA492" s="37" t="s">
        <v>3704</v>
      </c>
      <c r="AB492" s="39" t="s">
        <v>3705</v>
      </c>
      <c r="AC492" s="37" t="s">
        <v>3706</v>
      </c>
      <c r="AD492" s="37" t="s">
        <v>3707</v>
      </c>
      <c r="AE492" s="37" t="s">
        <v>3708</v>
      </c>
      <c r="AF492" s="37" t="s">
        <v>3709</v>
      </c>
      <c r="AG492" s="46" t="s">
        <v>3710</v>
      </c>
      <c r="AH492" s="37" t="s">
        <v>3711</v>
      </c>
    </row>
    <row r="493" spans="1:34" ht="14.45" hidden="1" customHeight="1" x14ac:dyDescent="0.3">
      <c r="A493" s="6" t="s">
        <v>2389</v>
      </c>
      <c r="B493" s="7">
        <v>44855</v>
      </c>
      <c r="C493" s="6" t="s">
        <v>2388</v>
      </c>
      <c r="D493" s="6" t="s">
        <v>5</v>
      </c>
      <c r="E493" s="6" t="s">
        <v>2333</v>
      </c>
      <c r="F493" s="6" t="s">
        <v>3229</v>
      </c>
      <c r="G493" s="8">
        <v>1.3380300000000001</v>
      </c>
      <c r="H493" s="8">
        <v>6.4451799999999997</v>
      </c>
      <c r="I493" s="6" t="s">
        <v>2477</v>
      </c>
      <c r="J493" s="6" t="s">
        <v>2459</v>
      </c>
      <c r="K493" s="6" t="s">
        <v>2468</v>
      </c>
      <c r="L493" s="6" t="s">
        <v>3435</v>
      </c>
      <c r="M493" s="6"/>
      <c r="N493" s="6" t="s">
        <v>2468</v>
      </c>
      <c r="O493" s="6" t="s">
        <v>37</v>
      </c>
      <c r="P493" s="6" t="str">
        <f>VLOOKUP(Tableau1[[#This Row],[SITES NAMES]],[1]Feuil1!$1:$1048576,8,FALSE)</f>
        <v>OK</v>
      </c>
      <c r="Q493" s="6" t="str">
        <f>VLOOKUP(Tableau1[[#This Row],[SITES NAMES]],[1]Feuil1!$1:$1048576,9,FALSE)</f>
        <v>NO</v>
      </c>
      <c r="R493" s="6" t="str">
        <f>VLOOKUP(Tableau1[[#This Row],[SITES NAMES]],[1]Feuil1!$1:$1048576,10,FALSE)</f>
        <v>YES</v>
      </c>
      <c r="S493" s="6" t="s">
        <v>2469</v>
      </c>
      <c r="T493" s="6" t="s">
        <v>2470</v>
      </c>
      <c r="U493" s="6" t="s">
        <v>2471</v>
      </c>
      <c r="V493" s="6" t="s">
        <v>2472</v>
      </c>
      <c r="W493" s="6" t="s">
        <v>2473</v>
      </c>
      <c r="X493" s="8"/>
      <c r="Y493" s="6" t="s">
        <v>3241</v>
      </c>
      <c r="Z493" s="6"/>
      <c r="AA493" s="37"/>
      <c r="AB493" s="38" t="s">
        <v>3627</v>
      </c>
      <c r="AC493" s="37" t="s">
        <v>3640</v>
      </c>
      <c r="AD493" s="39" t="s">
        <v>3641</v>
      </c>
      <c r="AE493" s="37"/>
      <c r="AF493" s="39" t="s">
        <v>3641</v>
      </c>
      <c r="AG493" s="37"/>
      <c r="AH493" s="37" t="s">
        <v>3642</v>
      </c>
    </row>
    <row r="494" spans="1:34" ht="14.45" hidden="1" customHeight="1" x14ac:dyDescent="0.25">
      <c r="A494" s="6" t="s">
        <v>1244</v>
      </c>
      <c r="B494" s="7">
        <v>41744</v>
      </c>
      <c r="C494" s="6" t="s">
        <v>1243</v>
      </c>
      <c r="D494" s="6" t="s">
        <v>66</v>
      </c>
      <c r="E494" s="6" t="s">
        <v>1924</v>
      </c>
      <c r="F494" s="6" t="s">
        <v>3229</v>
      </c>
      <c r="G494" s="8">
        <v>1.258014</v>
      </c>
      <c r="H494" s="8">
        <v>6.1889589999999997</v>
      </c>
      <c r="I494" s="6" t="s">
        <v>2475</v>
      </c>
      <c r="J494" s="6" t="s">
        <v>2459</v>
      </c>
      <c r="K494" s="6" t="s">
        <v>2460</v>
      </c>
      <c r="L494" s="6"/>
      <c r="M494" s="6"/>
      <c r="N494" s="6" t="s">
        <v>3268</v>
      </c>
      <c r="O494" s="6" t="s">
        <v>7</v>
      </c>
      <c r="P494" s="6" t="str">
        <f>VLOOKUP(Tableau1[[#This Row],[SITES NAMES]],[1]Feuil1!$1:$1048576,8,FALSE)</f>
        <v>OK</v>
      </c>
      <c r="Q494" s="6" t="str">
        <f>VLOOKUP(Tableau1[[#This Row],[SITES NAMES]],[1]Feuil1!$1:$1048576,9,FALSE)</f>
        <v>NO</v>
      </c>
      <c r="R494" s="6" t="str">
        <f>VLOOKUP(Tableau1[[#This Row],[SITES NAMES]],[1]Feuil1!$1:$1048576,10,FALSE)</f>
        <v>NO</v>
      </c>
      <c r="S494" s="6" t="s">
        <v>2469</v>
      </c>
      <c r="T494" s="6" t="s">
        <v>2470</v>
      </c>
      <c r="U494" s="6" t="s">
        <v>2480</v>
      </c>
      <c r="V494" s="6" t="s">
        <v>2478</v>
      </c>
      <c r="W494" s="6" t="s">
        <v>2476</v>
      </c>
      <c r="X494" s="8" t="s">
        <v>2908</v>
      </c>
      <c r="Y494" s="6" t="s">
        <v>3238</v>
      </c>
      <c r="Z494" s="6" t="s">
        <v>3261</v>
      </c>
      <c r="AA494" s="35" t="s">
        <v>3607</v>
      </c>
      <c r="AB494" s="35" t="s">
        <v>3608</v>
      </c>
      <c r="AC494" s="35" t="s">
        <v>3609</v>
      </c>
      <c r="AD494" s="35" t="s">
        <v>3610</v>
      </c>
      <c r="AE494" s="35" t="s">
        <v>3610</v>
      </c>
      <c r="AF494" s="35" t="s">
        <v>3611</v>
      </c>
      <c r="AG494" s="35" t="s">
        <v>3612</v>
      </c>
      <c r="AH494" s="35" t="s">
        <v>3613</v>
      </c>
    </row>
    <row r="495" spans="1:34" ht="14.45" hidden="1" customHeight="1" x14ac:dyDescent="0.3">
      <c r="A495" s="6" t="s">
        <v>702</v>
      </c>
      <c r="B495" s="7">
        <v>44638</v>
      </c>
      <c r="C495" s="6" t="s">
        <v>701</v>
      </c>
      <c r="D495" s="6" t="s">
        <v>657</v>
      </c>
      <c r="E495" s="6" t="s">
        <v>658</v>
      </c>
      <c r="F495" s="6" t="s">
        <v>3229</v>
      </c>
      <c r="G495" s="8">
        <v>0.67945</v>
      </c>
      <c r="H495" s="8">
        <v>8.9713200000000004</v>
      </c>
      <c r="I495" s="6" t="s">
        <v>2477</v>
      </c>
      <c r="J495" s="6" t="s">
        <v>2459</v>
      </c>
      <c r="K495" s="6" t="s">
        <v>2460</v>
      </c>
      <c r="L495" s="6" t="s">
        <v>3436</v>
      </c>
      <c r="M495" s="6"/>
      <c r="N495" s="6" t="s">
        <v>3268</v>
      </c>
      <c r="O495" s="6" t="s">
        <v>40</v>
      </c>
      <c r="P495" s="6" t="str">
        <f>VLOOKUP(Tableau1[[#This Row],[SITES NAMES]],[1]Feuil1!$1:$1048576,8,FALSE)</f>
        <v>OK</v>
      </c>
      <c r="Q495" s="6" t="str">
        <f>VLOOKUP(Tableau1[[#This Row],[SITES NAMES]],[1]Feuil1!$1:$1048576,9,FALSE)</f>
        <v>NO</v>
      </c>
      <c r="R495" s="6" t="str">
        <f>VLOOKUP(Tableau1[[#This Row],[SITES NAMES]],[1]Feuil1!$1:$1048576,10,FALSE)</f>
        <v>YES</v>
      </c>
      <c r="S495" s="6" t="s">
        <v>2469</v>
      </c>
      <c r="T495" s="6" t="s">
        <v>2470</v>
      </c>
      <c r="U495" s="6" t="s">
        <v>2480</v>
      </c>
      <c r="V495" s="6" t="s">
        <v>2472</v>
      </c>
      <c r="W495" s="6" t="s">
        <v>2473</v>
      </c>
      <c r="X495" s="8"/>
      <c r="Y495" s="6" t="s">
        <v>3239</v>
      </c>
      <c r="Z495" s="6" t="s">
        <v>3253</v>
      </c>
      <c r="AA495" s="38" t="s">
        <v>3682</v>
      </c>
      <c r="AB495" s="38" t="s">
        <v>3683</v>
      </c>
      <c r="AC495" s="38" t="s">
        <v>3684</v>
      </c>
      <c r="AD495" s="38" t="s">
        <v>3682</v>
      </c>
      <c r="AE495" s="38" t="s">
        <v>3682</v>
      </c>
      <c r="AF495" s="38" t="s">
        <v>3682</v>
      </c>
      <c r="AG495" s="40" t="s">
        <v>3685</v>
      </c>
      <c r="AH495" s="37" t="s">
        <v>3686</v>
      </c>
    </row>
    <row r="496" spans="1:34" ht="14.45" hidden="1" customHeight="1" x14ac:dyDescent="0.25">
      <c r="A496" s="6" t="s">
        <v>1246</v>
      </c>
      <c r="B496" s="7">
        <v>43190</v>
      </c>
      <c r="C496" s="6" t="s">
        <v>1245</v>
      </c>
      <c r="D496" s="6" t="s">
        <v>66</v>
      </c>
      <c r="E496" s="6" t="s">
        <v>1924</v>
      </c>
      <c r="F496" s="6" t="s">
        <v>3229</v>
      </c>
      <c r="G496" s="8">
        <v>1.20296</v>
      </c>
      <c r="H496" s="8">
        <v>6.1672099999999999</v>
      </c>
      <c r="I496" s="6" t="s">
        <v>2497</v>
      </c>
      <c r="J496" s="6" t="s">
        <v>2459</v>
      </c>
      <c r="K496" s="6" t="s">
        <v>2460</v>
      </c>
      <c r="L496" s="6"/>
      <c r="M496" s="6"/>
      <c r="N496" s="6" t="s">
        <v>3268</v>
      </c>
      <c r="O496" s="6" t="s">
        <v>1206</v>
      </c>
      <c r="P496" s="6"/>
      <c r="Q496" s="6" t="str">
        <f>VLOOKUP(Tableau1[[#This Row],[SITES NAMES]],[1]Feuil1!$1:$1048576,9,FALSE)</f>
        <v>YES</v>
      </c>
      <c r="R496" s="6" t="str">
        <f>VLOOKUP(Tableau1[[#This Row],[SITES NAMES]],[1]Feuil1!$1:$1048576,10,FALSE)</f>
        <v>NO</v>
      </c>
      <c r="S496" s="6" t="s">
        <v>2469</v>
      </c>
      <c r="T496" s="6" t="s">
        <v>2470</v>
      </c>
      <c r="U496" s="6" t="s">
        <v>2471</v>
      </c>
      <c r="V496" s="6" t="s">
        <v>2478</v>
      </c>
      <c r="W496" s="6" t="s">
        <v>2476</v>
      </c>
      <c r="X496" s="8"/>
      <c r="Y496" s="6" t="s">
        <v>3238</v>
      </c>
      <c r="Z496" s="6" t="s">
        <v>3261</v>
      </c>
      <c r="AA496" s="35" t="s">
        <v>3607</v>
      </c>
      <c r="AB496" s="35" t="s">
        <v>3608</v>
      </c>
      <c r="AC496" s="35" t="s">
        <v>3609</v>
      </c>
      <c r="AD496" s="35" t="s">
        <v>3610</v>
      </c>
      <c r="AE496" s="35" t="s">
        <v>3610</v>
      </c>
      <c r="AF496" s="35" t="s">
        <v>3611</v>
      </c>
      <c r="AG496" s="35" t="s">
        <v>3612</v>
      </c>
      <c r="AH496" s="35" t="s">
        <v>3613</v>
      </c>
    </row>
    <row r="497" spans="1:34" ht="14.45" hidden="1" customHeight="1" x14ac:dyDescent="0.25">
      <c r="A497" s="6" t="s">
        <v>1777</v>
      </c>
      <c r="B497" s="7">
        <v>39052</v>
      </c>
      <c r="C497" s="6" t="s">
        <v>1776</v>
      </c>
      <c r="D497" s="6" t="s">
        <v>66</v>
      </c>
      <c r="E497" s="6" t="s">
        <v>3234</v>
      </c>
      <c r="F497" s="6" t="s">
        <v>3229</v>
      </c>
      <c r="G497" s="8">
        <v>1.194933</v>
      </c>
      <c r="H497" s="8">
        <v>6.1713773630000004</v>
      </c>
      <c r="I497" s="6" t="s">
        <v>2497</v>
      </c>
      <c r="J497" s="6" t="s">
        <v>2459</v>
      </c>
      <c r="K497" s="6" t="s">
        <v>2460</v>
      </c>
      <c r="L497" s="6"/>
      <c r="M497" s="6"/>
      <c r="N497" s="6" t="s">
        <v>3268</v>
      </c>
      <c r="O497" s="6" t="s">
        <v>7</v>
      </c>
      <c r="P497" s="6" t="str">
        <f>VLOOKUP(Tableau1[[#This Row],[SITES NAMES]],[1]Feuil1!$1:$1048576,8,FALSE)</f>
        <v>OK</v>
      </c>
      <c r="Q497" s="6" t="str">
        <f>VLOOKUP(Tableau1[[#This Row],[SITES NAMES]],[1]Feuil1!$1:$1048576,9,FALSE)</f>
        <v>NO</v>
      </c>
      <c r="R497" s="6" t="str">
        <f>VLOOKUP(Tableau1[[#This Row],[SITES NAMES]],[1]Feuil1!$1:$1048576,10,FALSE)</f>
        <v>NO</v>
      </c>
      <c r="S497" s="6" t="s">
        <v>2469</v>
      </c>
      <c r="T497" s="6" t="s">
        <v>2470</v>
      </c>
      <c r="U497" s="6" t="s">
        <v>2480</v>
      </c>
      <c r="V497" s="6" t="s">
        <v>2478</v>
      </c>
      <c r="W497" s="6" t="s">
        <v>2476</v>
      </c>
      <c r="X497" s="8" t="s">
        <v>3021</v>
      </c>
      <c r="Y497" s="6" t="s">
        <v>3238</v>
      </c>
      <c r="Z497" s="6" t="s">
        <v>3265</v>
      </c>
      <c r="AA497" s="35" t="s">
        <v>3607</v>
      </c>
      <c r="AB497" s="35" t="s">
        <v>3608</v>
      </c>
      <c r="AC497" s="35" t="s">
        <v>3614</v>
      </c>
      <c r="AD497" s="35" t="s">
        <v>3610</v>
      </c>
      <c r="AE497" s="35" t="s">
        <v>3610</v>
      </c>
      <c r="AF497" s="35" t="s">
        <v>3611</v>
      </c>
      <c r="AG497" s="35" t="s">
        <v>3612</v>
      </c>
      <c r="AH497" s="35" t="s">
        <v>3615</v>
      </c>
    </row>
    <row r="498" spans="1:34" ht="14.45" hidden="1" customHeight="1" x14ac:dyDescent="0.25">
      <c r="A498" s="6" t="s">
        <v>1779</v>
      </c>
      <c r="B498" s="7">
        <v>41974</v>
      </c>
      <c r="C498" s="6" t="s">
        <v>1778</v>
      </c>
      <c r="D498" s="6" t="s">
        <v>66</v>
      </c>
      <c r="E498" s="6" t="s">
        <v>3234</v>
      </c>
      <c r="F498" s="6" t="s">
        <v>3229</v>
      </c>
      <c r="G498" s="8">
        <v>1.199722</v>
      </c>
      <c r="H498" s="8">
        <v>6.1841467349999997</v>
      </c>
      <c r="I498" s="6" t="s">
        <v>2497</v>
      </c>
      <c r="J498" s="6" t="s">
        <v>2459</v>
      </c>
      <c r="K498" s="6" t="s">
        <v>2460</v>
      </c>
      <c r="L498" s="6"/>
      <c r="M498" s="6"/>
      <c r="N498" s="6" t="s">
        <v>3268</v>
      </c>
      <c r="O498" s="6" t="s">
        <v>7</v>
      </c>
      <c r="P498" s="6" t="str">
        <f>VLOOKUP(Tableau1[[#This Row],[SITES NAMES]],[1]Feuil1!$1:$1048576,8,FALSE)</f>
        <v>OK</v>
      </c>
      <c r="Q498" s="6" t="str">
        <f>VLOOKUP(Tableau1[[#This Row],[SITES NAMES]],[1]Feuil1!$1:$1048576,9,FALSE)</f>
        <v>NO</v>
      </c>
      <c r="R498" s="6" t="str">
        <f>VLOOKUP(Tableau1[[#This Row],[SITES NAMES]],[1]Feuil1!$1:$1048576,10,FALSE)</f>
        <v>NO</v>
      </c>
      <c r="S498" s="6" t="s">
        <v>2469</v>
      </c>
      <c r="T498" s="6" t="s">
        <v>2470</v>
      </c>
      <c r="U498" s="6" t="s">
        <v>2471</v>
      </c>
      <c r="V498" s="6" t="s">
        <v>2464</v>
      </c>
      <c r="W498" s="6" t="s">
        <v>2476</v>
      </c>
      <c r="X498" s="8" t="s">
        <v>3022</v>
      </c>
      <c r="Y498" s="6" t="s">
        <v>3238</v>
      </c>
      <c r="Z498" s="6" t="s">
        <v>3265</v>
      </c>
      <c r="AA498" s="35" t="s">
        <v>3607</v>
      </c>
      <c r="AB498" s="35" t="s">
        <v>3608</v>
      </c>
      <c r="AC498" s="35" t="s">
        <v>3614</v>
      </c>
      <c r="AD498" s="35" t="s">
        <v>3610</v>
      </c>
      <c r="AE498" s="35" t="s">
        <v>3610</v>
      </c>
      <c r="AF498" s="35" t="s">
        <v>3611</v>
      </c>
      <c r="AG498" s="35" t="s">
        <v>3612</v>
      </c>
      <c r="AH498" s="35" t="s">
        <v>3615</v>
      </c>
    </row>
    <row r="499" spans="1:34" ht="14.45" hidden="1" customHeight="1" x14ac:dyDescent="0.3">
      <c r="A499" s="6" t="s">
        <v>2001</v>
      </c>
      <c r="B499" s="7">
        <v>39458</v>
      </c>
      <c r="C499" s="6" t="s">
        <v>2000</v>
      </c>
      <c r="D499" s="6" t="s">
        <v>395</v>
      </c>
      <c r="E499" s="6" t="s">
        <v>1965</v>
      </c>
      <c r="F499" s="6" t="s">
        <v>3229</v>
      </c>
      <c r="G499" s="8">
        <v>0.37511100000000003</v>
      </c>
      <c r="H499" s="8">
        <v>10.4833</v>
      </c>
      <c r="I499" s="6" t="s">
        <v>2477</v>
      </c>
      <c r="J499" s="6" t="s">
        <v>2459</v>
      </c>
      <c r="K499" s="6" t="s">
        <v>2460</v>
      </c>
      <c r="L499" s="6" t="s">
        <v>3437</v>
      </c>
      <c r="M499" s="6"/>
      <c r="N499" s="6" t="s">
        <v>3268</v>
      </c>
      <c r="O499" s="6" t="s">
        <v>40</v>
      </c>
      <c r="P499" s="6" t="str">
        <f>VLOOKUP(Tableau1[[#This Row],[SITES NAMES]],[1]Feuil1!$1:$1048576,8,FALSE)</f>
        <v>OK</v>
      </c>
      <c r="Q499" s="6" t="str">
        <f>VLOOKUP(Tableau1[[#This Row],[SITES NAMES]],[1]Feuil1!$1:$1048576,9,FALSE)</f>
        <v>NO</v>
      </c>
      <c r="R499" s="6" t="str">
        <f>VLOOKUP(Tableau1[[#This Row],[SITES NAMES]],[1]Feuil1!$1:$1048576,10,FALSE)</f>
        <v>YES</v>
      </c>
      <c r="S499" s="6" t="s">
        <v>2469</v>
      </c>
      <c r="T499" s="6" t="s">
        <v>2470</v>
      </c>
      <c r="U499" s="6" t="s">
        <v>2480</v>
      </c>
      <c r="V499" s="6" t="s">
        <v>2472</v>
      </c>
      <c r="W499" s="6" t="s">
        <v>2473</v>
      </c>
      <c r="X499" s="8" t="s">
        <v>3078</v>
      </c>
      <c r="Y499" s="6" t="s">
        <v>3240</v>
      </c>
      <c r="Z499" s="6" t="s">
        <v>3255</v>
      </c>
      <c r="AA499" s="37" t="s">
        <v>3712</v>
      </c>
      <c r="AB499" s="39" t="s">
        <v>3705</v>
      </c>
      <c r="AC499" s="37" t="s">
        <v>3713</v>
      </c>
      <c r="AD499" s="37" t="s">
        <v>3712</v>
      </c>
      <c r="AE499" s="37" t="s">
        <v>3712</v>
      </c>
      <c r="AF499" s="37" t="s">
        <v>3712</v>
      </c>
      <c r="AG499" s="40" t="s">
        <v>3714</v>
      </c>
      <c r="AH499" s="37" t="s">
        <v>3715</v>
      </c>
    </row>
    <row r="500" spans="1:34" ht="14.45" hidden="1" customHeight="1" x14ac:dyDescent="0.3">
      <c r="A500" s="6" t="s">
        <v>2051</v>
      </c>
      <c r="B500" s="7">
        <v>40148</v>
      </c>
      <c r="C500" s="6" t="s">
        <v>2050</v>
      </c>
      <c r="D500" s="6" t="s">
        <v>5</v>
      </c>
      <c r="E500" s="6" t="s">
        <v>2333</v>
      </c>
      <c r="F500" s="6" t="s">
        <v>3229</v>
      </c>
      <c r="G500" s="8">
        <v>1.1750499999999999</v>
      </c>
      <c r="H500" s="8">
        <v>6.7503299999999999</v>
      </c>
      <c r="I500" s="6" t="s">
        <v>2525</v>
      </c>
      <c r="J500" s="6" t="s">
        <v>2459</v>
      </c>
      <c r="K500" s="6" t="s">
        <v>2460</v>
      </c>
      <c r="L500" s="6"/>
      <c r="M500" s="6"/>
      <c r="N500" s="6" t="s">
        <v>3268</v>
      </c>
      <c r="O500" s="6" t="s">
        <v>18</v>
      </c>
      <c r="P500" s="6" t="str">
        <f>VLOOKUP(Tableau1[[#This Row],[SITES NAMES]],[1]Feuil1!$1:$1048576,8,FALSE)</f>
        <v>OK</v>
      </c>
      <c r="Q500" s="6" t="str">
        <f>VLOOKUP(Tableau1[[#This Row],[SITES NAMES]],[1]Feuil1!$1:$1048576,9,FALSE)</f>
        <v>NO</v>
      </c>
      <c r="R500" s="6" t="str">
        <f>VLOOKUP(Tableau1[[#This Row],[SITES NAMES]],[1]Feuil1!$1:$1048576,10,FALSE)</f>
        <v>NO</v>
      </c>
      <c r="S500" s="6" t="s">
        <v>2469</v>
      </c>
      <c r="T500" s="6" t="s">
        <v>2470</v>
      </c>
      <c r="U500" s="6" t="s">
        <v>2480</v>
      </c>
      <c r="V500" s="6" t="s">
        <v>2464</v>
      </c>
      <c r="W500" s="6" t="s">
        <v>2473</v>
      </c>
      <c r="X500" s="8" t="s">
        <v>3095</v>
      </c>
      <c r="Y500" s="6" t="s">
        <v>3241</v>
      </c>
      <c r="Z500" t="e">
        <f>VLOOKUP(Tableau1[[#This Row],[SITES NAMES]],#REF!,3,FALSE)</f>
        <v>#REF!</v>
      </c>
      <c r="AA500" s="37"/>
      <c r="AB500" s="38" t="s">
        <v>3627</v>
      </c>
      <c r="AC500" s="37" t="s">
        <v>3640</v>
      </c>
      <c r="AD500" s="39" t="s">
        <v>3641</v>
      </c>
      <c r="AE500" s="37"/>
      <c r="AF500" s="39" t="s">
        <v>3641</v>
      </c>
      <c r="AG500" s="37"/>
      <c r="AH500" s="37" t="s">
        <v>3642</v>
      </c>
    </row>
    <row r="501" spans="1:34" ht="14.45" hidden="1" customHeight="1" x14ac:dyDescent="0.3">
      <c r="A501" s="6" t="s">
        <v>208</v>
      </c>
      <c r="B501" s="7">
        <v>42156</v>
      </c>
      <c r="C501" s="6" t="s">
        <v>207</v>
      </c>
      <c r="D501" s="6" t="s">
        <v>132</v>
      </c>
      <c r="E501" s="6" t="s">
        <v>133</v>
      </c>
      <c r="F501" s="6" t="s">
        <v>3229</v>
      </c>
      <c r="G501" s="8">
        <v>1.0619689999999999</v>
      </c>
      <c r="H501" s="8">
        <v>7.7433439999999996</v>
      </c>
      <c r="I501" s="6" t="s">
        <v>2477</v>
      </c>
      <c r="J501" s="6" t="s">
        <v>2459</v>
      </c>
      <c r="K501" s="6" t="s">
        <v>2468</v>
      </c>
      <c r="L501" s="6" t="s">
        <v>3438</v>
      </c>
      <c r="M501" s="6"/>
      <c r="N501" s="6" t="s">
        <v>2468</v>
      </c>
      <c r="O501" s="6" t="s">
        <v>40</v>
      </c>
      <c r="P501" s="6" t="str">
        <f>VLOOKUP(Tableau1[[#This Row],[SITES NAMES]],[1]Feuil1!$1:$1048576,8,FALSE)</f>
        <v>NOK</v>
      </c>
      <c r="Q501" s="6" t="str">
        <f>VLOOKUP(Tableau1[[#This Row],[SITES NAMES]],[1]Feuil1!$1:$1048576,9,FALSE)</f>
        <v>NO</v>
      </c>
      <c r="R501" s="6" t="str">
        <f>VLOOKUP(Tableau1[[#This Row],[SITES NAMES]],[1]Feuil1!$1:$1048576,10,FALSE)</f>
        <v>NO</v>
      </c>
      <c r="S501" s="6" t="s">
        <v>2469</v>
      </c>
      <c r="T501" s="6" t="s">
        <v>2470</v>
      </c>
      <c r="U501" s="6" t="s">
        <v>2480</v>
      </c>
      <c r="V501" s="6" t="s">
        <v>2472</v>
      </c>
      <c r="W501" s="6" t="s">
        <v>2473</v>
      </c>
      <c r="X501" s="8" t="s">
        <v>2547</v>
      </c>
      <c r="Y501" s="6" t="s">
        <v>3238</v>
      </c>
      <c r="Z501" s="6" t="s">
        <v>3258</v>
      </c>
      <c r="AA501" s="37" t="s">
        <v>3643</v>
      </c>
      <c r="AB501" s="39" t="s">
        <v>3644</v>
      </c>
      <c r="AC501" s="37" t="s">
        <v>3645</v>
      </c>
      <c r="AD501" s="39" t="s">
        <v>3646</v>
      </c>
      <c r="AE501" s="39" t="s">
        <v>3647</v>
      </c>
      <c r="AF501" s="39" t="s">
        <v>3648</v>
      </c>
      <c r="AG501" s="37" t="s">
        <v>3649</v>
      </c>
      <c r="AH501" s="37" t="s">
        <v>3650</v>
      </c>
    </row>
    <row r="502" spans="1:34" ht="14.45" hidden="1" customHeight="1" x14ac:dyDescent="0.3">
      <c r="A502" s="6" t="s">
        <v>2391</v>
      </c>
      <c r="B502" s="7">
        <v>44640</v>
      </c>
      <c r="C502" s="6" t="s">
        <v>2390</v>
      </c>
      <c r="D502" s="6" t="s">
        <v>5</v>
      </c>
      <c r="E502" s="6" t="s">
        <v>2333</v>
      </c>
      <c r="F502" s="6" t="s">
        <v>3229</v>
      </c>
      <c r="G502" s="8">
        <v>1.0863669899999999</v>
      </c>
      <c r="H502" s="8">
        <v>6.6923829899999996</v>
      </c>
      <c r="I502" s="6" t="s">
        <v>2477</v>
      </c>
      <c r="J502" s="6" t="s">
        <v>2459</v>
      </c>
      <c r="K502" s="6" t="s">
        <v>2468</v>
      </c>
      <c r="L502" s="6" t="s">
        <v>3439</v>
      </c>
      <c r="M502" s="6"/>
      <c r="N502" s="6" t="s">
        <v>2468</v>
      </c>
      <c r="O502" s="6" t="s">
        <v>37</v>
      </c>
      <c r="P502" s="6" t="str">
        <f>VLOOKUP(Tableau1[[#This Row],[SITES NAMES]],[1]Feuil1!$1:$1048576,8,FALSE)</f>
        <v>NOK</v>
      </c>
      <c r="Q502" s="6" t="str">
        <f>VLOOKUP(Tableau1[[#This Row],[SITES NAMES]],[1]Feuil1!$1:$1048576,9,FALSE)</f>
        <v>NO</v>
      </c>
      <c r="R502" s="6" t="str">
        <f>VLOOKUP(Tableau1[[#This Row],[SITES NAMES]],[1]Feuil1!$1:$1048576,10,FALSE)</f>
        <v>YES</v>
      </c>
      <c r="S502" s="6" t="s">
        <v>2461</v>
      </c>
      <c r="T502" s="6" t="s">
        <v>2462</v>
      </c>
      <c r="U502" s="6" t="s">
        <v>2463</v>
      </c>
      <c r="V502" s="6" t="s">
        <v>2472</v>
      </c>
      <c r="W502" s="6" t="s">
        <v>2473</v>
      </c>
      <c r="X502" s="8" t="s">
        <v>3214</v>
      </c>
      <c r="Y502" s="6" t="s">
        <v>3241</v>
      </c>
      <c r="Z502" s="6"/>
      <c r="AA502" s="37"/>
      <c r="AB502" s="38" t="s">
        <v>3627</v>
      </c>
      <c r="AC502" s="37" t="s">
        <v>3640</v>
      </c>
      <c r="AD502" s="39" t="s">
        <v>3641</v>
      </c>
      <c r="AE502" s="37"/>
      <c r="AF502" s="39" t="s">
        <v>3641</v>
      </c>
      <c r="AG502" s="37"/>
      <c r="AH502" s="37" t="s">
        <v>3642</v>
      </c>
    </row>
    <row r="503" spans="1:34" ht="14.45" hidden="1" customHeight="1" x14ac:dyDescent="0.3">
      <c r="A503" s="6" t="s">
        <v>2003</v>
      </c>
      <c r="B503" s="7">
        <v>41609</v>
      </c>
      <c r="C503" s="6" t="s">
        <v>2002</v>
      </c>
      <c r="D503" s="6" t="s">
        <v>395</v>
      </c>
      <c r="E503" s="6" t="s">
        <v>1965</v>
      </c>
      <c r="F503" s="6" t="s">
        <v>3229</v>
      </c>
      <c r="G503" s="8">
        <v>0.74246999999999996</v>
      </c>
      <c r="H503" s="8">
        <v>10.3278</v>
      </c>
      <c r="I503" s="6" t="s">
        <v>2497</v>
      </c>
      <c r="J503" s="6" t="s">
        <v>2459</v>
      </c>
      <c r="K503" s="6" t="s">
        <v>2468</v>
      </c>
      <c r="L503" s="6" t="s">
        <v>3440</v>
      </c>
      <c r="M503" s="6"/>
      <c r="N503" s="6" t="s">
        <v>2468</v>
      </c>
      <c r="O503" s="6" t="s">
        <v>18</v>
      </c>
      <c r="P503" s="6" t="str">
        <f>VLOOKUP(Tableau1[[#This Row],[SITES NAMES]],[1]Feuil1!$1:$1048576,8,FALSE)</f>
        <v>OK</v>
      </c>
      <c r="Q503" s="6" t="str">
        <f>VLOOKUP(Tableau1[[#This Row],[SITES NAMES]],[1]Feuil1!$1:$1048576,9,FALSE)</f>
        <v>NO</v>
      </c>
      <c r="R503" s="6" t="str">
        <f>VLOOKUP(Tableau1[[#This Row],[SITES NAMES]],[1]Feuil1!$1:$1048576,10,FALSE)</f>
        <v>YES</v>
      </c>
      <c r="S503" s="6" t="s">
        <v>2461</v>
      </c>
      <c r="T503" s="6" t="s">
        <v>2462</v>
      </c>
      <c r="U503" s="6" t="s">
        <v>2463</v>
      </c>
      <c r="V503" s="6" t="s">
        <v>2478</v>
      </c>
      <c r="W503" s="6" t="s">
        <v>2473</v>
      </c>
      <c r="X503" s="8" t="s">
        <v>3079</v>
      </c>
      <c r="Y503" s="6" t="s">
        <v>3240</v>
      </c>
      <c r="Z503" s="6" t="s">
        <v>3255</v>
      </c>
      <c r="AA503" s="37" t="s">
        <v>3712</v>
      </c>
      <c r="AB503" s="39" t="s">
        <v>3705</v>
      </c>
      <c r="AC503" s="37" t="s">
        <v>3713</v>
      </c>
      <c r="AD503" s="37" t="s">
        <v>3712</v>
      </c>
      <c r="AE503" s="37" t="s">
        <v>3712</v>
      </c>
      <c r="AF503" s="37" t="s">
        <v>3712</v>
      </c>
      <c r="AG503" s="40" t="s">
        <v>3714</v>
      </c>
      <c r="AH503" s="37" t="s">
        <v>3715</v>
      </c>
    </row>
    <row r="504" spans="1:34" ht="14.45" hidden="1" customHeight="1" x14ac:dyDescent="0.3">
      <c r="A504" s="6" t="s">
        <v>600</v>
      </c>
      <c r="B504" s="7">
        <v>43876</v>
      </c>
      <c r="C504" s="6" t="s">
        <v>599</v>
      </c>
      <c r="D504" s="6" t="s">
        <v>132</v>
      </c>
      <c r="E504" s="6" t="s">
        <v>565</v>
      </c>
      <c r="F504" s="6" t="s">
        <v>3229</v>
      </c>
      <c r="G504" s="8">
        <v>1.1936329999999999</v>
      </c>
      <c r="H504" s="8">
        <v>7.9217760000000004</v>
      </c>
      <c r="I504" s="6" t="s">
        <v>2467</v>
      </c>
      <c r="J504" s="6" t="s">
        <v>2459</v>
      </c>
      <c r="K504" s="6" t="s">
        <v>2460</v>
      </c>
      <c r="L504" s="6"/>
      <c r="M504" s="6"/>
      <c r="N504" s="6" t="s">
        <v>3268</v>
      </c>
      <c r="O504" s="6" t="s">
        <v>40</v>
      </c>
      <c r="P504" s="6" t="str">
        <f>VLOOKUP(Tableau1[[#This Row],[SITES NAMES]],[1]Feuil1!$1:$1048576,8,FALSE)</f>
        <v>OK</v>
      </c>
      <c r="Q504" s="6" t="str">
        <f>VLOOKUP(Tableau1[[#This Row],[SITES NAMES]],[1]Feuil1!$1:$1048576,9,FALSE)</f>
        <v>NO</v>
      </c>
      <c r="R504" s="6" t="str">
        <f>VLOOKUP(Tableau1[[#This Row],[SITES NAMES]],[1]Feuil1!$1:$1048576,10,FALSE)</f>
        <v>YES</v>
      </c>
      <c r="S504" s="6" t="s">
        <v>2461</v>
      </c>
      <c r="T504" s="6" t="s">
        <v>2462</v>
      </c>
      <c r="U504" s="6" t="s">
        <v>2463</v>
      </c>
      <c r="V504" s="6" t="s">
        <v>2472</v>
      </c>
      <c r="W504" s="6" t="s">
        <v>2473</v>
      </c>
      <c r="X504" s="8" t="s">
        <v>2692</v>
      </c>
      <c r="Y504" s="6" t="s">
        <v>3238</v>
      </c>
      <c r="Z504" s="6"/>
      <c r="AA504" s="37" t="s">
        <v>3660</v>
      </c>
      <c r="AB504" s="39" t="s">
        <v>3644</v>
      </c>
      <c r="AC504" s="37" t="s">
        <v>3661</v>
      </c>
      <c r="AD504" s="39" t="s">
        <v>3646</v>
      </c>
      <c r="AE504" s="39" t="s">
        <v>3647</v>
      </c>
      <c r="AF504" s="39" t="s">
        <v>3662</v>
      </c>
      <c r="AG504" s="37" t="s">
        <v>3649</v>
      </c>
      <c r="AH504" s="37" t="s">
        <v>3663</v>
      </c>
    </row>
    <row r="505" spans="1:34" ht="14.45" hidden="1" customHeight="1" x14ac:dyDescent="0.3">
      <c r="A505" s="6" t="s">
        <v>2341</v>
      </c>
      <c r="B505" s="7">
        <v>40148</v>
      </c>
      <c r="C505" s="6" t="s">
        <v>2340</v>
      </c>
      <c r="D505" s="6" t="s">
        <v>5</v>
      </c>
      <c r="E505" s="6" t="s">
        <v>2333</v>
      </c>
      <c r="F505" s="6" t="s">
        <v>3229</v>
      </c>
      <c r="G505" s="8">
        <v>1.0976429999999999</v>
      </c>
      <c r="H505" s="8">
        <v>6.5872669999999998</v>
      </c>
      <c r="I505" s="6" t="s">
        <v>2525</v>
      </c>
      <c r="J505" s="6" t="s">
        <v>2459</v>
      </c>
      <c r="K505" s="6" t="s">
        <v>2468</v>
      </c>
      <c r="L505" s="6" t="s">
        <v>3332</v>
      </c>
      <c r="M505" s="6"/>
      <c r="N505" s="6" t="s">
        <v>2468</v>
      </c>
      <c r="O505" s="6" t="s">
        <v>40</v>
      </c>
      <c r="P505" s="6" t="str">
        <f>VLOOKUP(Tableau1[[#This Row],[SITES NAMES]],[1]Feuil1!$1:$1048576,8,FALSE)</f>
        <v>OK</v>
      </c>
      <c r="Q505" s="6" t="str">
        <f>VLOOKUP(Tableau1[[#This Row],[SITES NAMES]],[1]Feuil1!$1:$1048576,9,FALSE)</f>
        <v>NO</v>
      </c>
      <c r="R505" s="6" t="str">
        <f>VLOOKUP(Tableau1[[#This Row],[SITES NAMES]],[1]Feuil1!$1:$1048576,10,FALSE)</f>
        <v>NO</v>
      </c>
      <c r="S505" s="6" t="s">
        <v>2469</v>
      </c>
      <c r="T505" s="6" t="s">
        <v>2470</v>
      </c>
      <c r="U505" s="6" t="s">
        <v>2480</v>
      </c>
      <c r="V505" s="6" t="s">
        <v>2472</v>
      </c>
      <c r="W505" s="6" t="s">
        <v>2473</v>
      </c>
      <c r="X505" s="8" t="s">
        <v>3202</v>
      </c>
      <c r="Y505" s="6" t="s">
        <v>3241</v>
      </c>
      <c r="Z505" s="6"/>
      <c r="AA505" s="37"/>
      <c r="AB505" s="38" t="s">
        <v>3627</v>
      </c>
      <c r="AC505" s="37" t="s">
        <v>3640</v>
      </c>
      <c r="AD505" s="39" t="s">
        <v>3641</v>
      </c>
      <c r="AE505" s="37"/>
      <c r="AF505" s="39" t="s">
        <v>3641</v>
      </c>
      <c r="AG505" s="37"/>
      <c r="AH505" s="37" t="s">
        <v>3642</v>
      </c>
    </row>
    <row r="506" spans="1:34" ht="14.45" hidden="1" customHeight="1" x14ac:dyDescent="0.3">
      <c r="A506" s="6" t="s">
        <v>2393</v>
      </c>
      <c r="B506" s="7">
        <v>41609</v>
      </c>
      <c r="C506" s="6" t="s">
        <v>2392</v>
      </c>
      <c r="D506" s="6" t="s">
        <v>5</v>
      </c>
      <c r="E506" s="6" t="s">
        <v>2333</v>
      </c>
      <c r="F506" s="6" t="s">
        <v>3229</v>
      </c>
      <c r="G506" s="8">
        <v>1.00038</v>
      </c>
      <c r="H506" s="8">
        <v>6.6503899999999998</v>
      </c>
      <c r="I506" s="6" t="s">
        <v>2477</v>
      </c>
      <c r="J506" s="6" t="s">
        <v>2459</v>
      </c>
      <c r="K506" s="6" t="s">
        <v>2468</v>
      </c>
      <c r="L506" s="6" t="s">
        <v>3441</v>
      </c>
      <c r="M506" s="6"/>
      <c r="N506" s="6" t="s">
        <v>2468</v>
      </c>
      <c r="O506" s="6" t="s">
        <v>40</v>
      </c>
      <c r="P506" s="6" t="str">
        <f>VLOOKUP(Tableau1[[#This Row],[SITES NAMES]],[1]Feuil1!$1:$1048576,8,FALSE)</f>
        <v>OK</v>
      </c>
      <c r="Q506" s="6" t="str">
        <f>VLOOKUP(Tableau1[[#This Row],[SITES NAMES]],[1]Feuil1!$1:$1048576,9,FALSE)</f>
        <v>NO</v>
      </c>
      <c r="R506" s="6" t="str">
        <f>VLOOKUP(Tableau1[[#This Row],[SITES NAMES]],[1]Feuil1!$1:$1048576,10,FALSE)</f>
        <v>NO</v>
      </c>
      <c r="S506" s="6" t="s">
        <v>2469</v>
      </c>
      <c r="T506" s="6" t="s">
        <v>2470</v>
      </c>
      <c r="U506" s="6" t="s">
        <v>2480</v>
      </c>
      <c r="V506" s="6" t="s">
        <v>2472</v>
      </c>
      <c r="W506" s="6" t="s">
        <v>2473</v>
      </c>
      <c r="X506" s="8" t="s">
        <v>3215</v>
      </c>
      <c r="Y506" s="6" t="s">
        <v>3241</v>
      </c>
      <c r="Z506" s="6"/>
      <c r="AA506" s="37"/>
      <c r="AB506" s="38" t="s">
        <v>3627</v>
      </c>
      <c r="AC506" s="37" t="s">
        <v>3640</v>
      </c>
      <c r="AD506" s="39" t="s">
        <v>3641</v>
      </c>
      <c r="AE506" s="37"/>
      <c r="AF506" s="39" t="s">
        <v>3641</v>
      </c>
      <c r="AG506" s="37"/>
      <c r="AH506" s="37" t="s">
        <v>3642</v>
      </c>
    </row>
    <row r="507" spans="1:34" ht="14.45" hidden="1" customHeight="1" x14ac:dyDescent="0.3">
      <c r="A507" s="6" t="s">
        <v>2395</v>
      </c>
      <c r="B507" s="7">
        <v>43910</v>
      </c>
      <c r="C507" s="6" t="s">
        <v>2394</v>
      </c>
      <c r="D507" s="6" t="s">
        <v>5</v>
      </c>
      <c r="E507" s="6" t="s">
        <v>2333</v>
      </c>
      <c r="F507" s="6" t="s">
        <v>3229</v>
      </c>
      <c r="G507" s="8">
        <v>0.99680999999999997</v>
      </c>
      <c r="H507" s="8">
        <v>6.5833599999999999</v>
      </c>
      <c r="I507" s="6" t="s">
        <v>2477</v>
      </c>
      <c r="J507" s="6" t="s">
        <v>2459</v>
      </c>
      <c r="K507" s="6" t="s">
        <v>2468</v>
      </c>
      <c r="L507" s="6"/>
      <c r="M507" s="6"/>
      <c r="N507" s="6" t="s">
        <v>2468</v>
      </c>
      <c r="O507" s="6" t="s">
        <v>40</v>
      </c>
      <c r="P507" s="6" t="str">
        <f>VLOOKUP(Tableau1[[#This Row],[SITES NAMES]],[1]Feuil1!$1:$1048576,8,FALSE)</f>
        <v>OK</v>
      </c>
      <c r="Q507" s="6" t="str">
        <f>VLOOKUP(Tableau1[[#This Row],[SITES NAMES]],[1]Feuil1!$1:$1048576,9,FALSE)</f>
        <v>NO</v>
      </c>
      <c r="R507" s="6" t="str">
        <f>VLOOKUP(Tableau1[[#This Row],[SITES NAMES]],[1]Feuil1!$1:$1048576,10,FALSE)</f>
        <v>YES</v>
      </c>
      <c r="S507" s="6" t="s">
        <v>2469</v>
      </c>
      <c r="T507" s="6" t="s">
        <v>2470</v>
      </c>
      <c r="U507" s="6" t="s">
        <v>2480</v>
      </c>
      <c r="V507" s="6" t="s">
        <v>2472</v>
      </c>
      <c r="W507" s="6" t="s">
        <v>2473</v>
      </c>
      <c r="X507" s="8" t="s">
        <v>3216</v>
      </c>
      <c r="Y507" s="6" t="s">
        <v>3241</v>
      </c>
      <c r="Z507" s="6"/>
      <c r="AA507" s="37"/>
      <c r="AB507" s="38" t="s">
        <v>3627</v>
      </c>
      <c r="AC507" s="37" t="s">
        <v>3640</v>
      </c>
      <c r="AD507" s="39" t="s">
        <v>3641</v>
      </c>
      <c r="AE507" s="37"/>
      <c r="AF507" s="39" t="s">
        <v>3641</v>
      </c>
      <c r="AG507" s="37"/>
      <c r="AH507" s="37" t="s">
        <v>3642</v>
      </c>
    </row>
    <row r="508" spans="1:34" ht="14.45" hidden="1" customHeight="1" x14ac:dyDescent="0.3">
      <c r="A508" s="6" t="s">
        <v>2397</v>
      </c>
      <c r="B508" s="7">
        <v>40410</v>
      </c>
      <c r="C508" s="6" t="s">
        <v>2396</v>
      </c>
      <c r="D508" s="6" t="s">
        <v>5</v>
      </c>
      <c r="E508" s="6" t="s">
        <v>2333</v>
      </c>
      <c r="F508" s="6" t="s">
        <v>3229</v>
      </c>
      <c r="G508" s="8">
        <v>1.0154099999999999</v>
      </c>
      <c r="H508" s="8">
        <v>6.5360800000000001</v>
      </c>
      <c r="I508" s="6" t="s">
        <v>2477</v>
      </c>
      <c r="J508" s="6" t="s">
        <v>2459</v>
      </c>
      <c r="K508" s="6" t="s">
        <v>2468</v>
      </c>
      <c r="L508" s="6" t="s">
        <v>3424</v>
      </c>
      <c r="M508" s="6"/>
      <c r="N508" s="6" t="s">
        <v>2468</v>
      </c>
      <c r="O508" s="6" t="s">
        <v>40</v>
      </c>
      <c r="P508" s="6" t="str">
        <f>VLOOKUP(Tableau1[[#This Row],[SITES NAMES]],[1]Feuil1!$1:$1048576,8,FALSE)</f>
        <v>OK</v>
      </c>
      <c r="Q508" s="6" t="str">
        <f>VLOOKUP(Tableau1[[#This Row],[SITES NAMES]],[1]Feuil1!$1:$1048576,9,FALSE)</f>
        <v>NO</v>
      </c>
      <c r="R508" s="6" t="str">
        <f>VLOOKUP(Tableau1[[#This Row],[SITES NAMES]],[1]Feuil1!$1:$1048576,10,FALSE)</f>
        <v>NO</v>
      </c>
      <c r="S508" s="6" t="s">
        <v>2469</v>
      </c>
      <c r="T508" s="6" t="s">
        <v>2470</v>
      </c>
      <c r="U508" s="6" t="s">
        <v>2480</v>
      </c>
      <c r="V508" s="6" t="s">
        <v>2472</v>
      </c>
      <c r="W508" s="6" t="s">
        <v>2473</v>
      </c>
      <c r="X508" s="8" t="s">
        <v>3247</v>
      </c>
      <c r="Y508" s="6" t="s">
        <v>3241</v>
      </c>
      <c r="Z508" s="6"/>
      <c r="AA508" s="37"/>
      <c r="AB508" s="38" t="s">
        <v>3627</v>
      </c>
      <c r="AC508" s="37" t="s">
        <v>3640</v>
      </c>
      <c r="AD508" s="39" t="s">
        <v>3641</v>
      </c>
      <c r="AE508" s="37"/>
      <c r="AF508" s="39" t="s">
        <v>3641</v>
      </c>
      <c r="AG508" s="37"/>
      <c r="AH508" s="37" t="s">
        <v>3642</v>
      </c>
    </row>
    <row r="509" spans="1:34" ht="14.45" hidden="1" customHeight="1" x14ac:dyDescent="0.3">
      <c r="A509" s="6" t="s">
        <v>2399</v>
      </c>
      <c r="B509" s="7">
        <v>43895</v>
      </c>
      <c r="C509" s="6" t="s">
        <v>2398</v>
      </c>
      <c r="D509" s="6" t="s">
        <v>5</v>
      </c>
      <c r="E509" s="6" t="s">
        <v>2333</v>
      </c>
      <c r="F509" s="6" t="s">
        <v>3229</v>
      </c>
      <c r="G509" s="8">
        <v>1.3164800000000001</v>
      </c>
      <c r="H509" s="8">
        <v>6.5016100000000003</v>
      </c>
      <c r="I509" s="6" t="s">
        <v>2477</v>
      </c>
      <c r="J509" s="6" t="s">
        <v>2459</v>
      </c>
      <c r="K509" s="6" t="s">
        <v>2460</v>
      </c>
      <c r="L509" s="6" t="s">
        <v>3442</v>
      </c>
      <c r="M509" s="6"/>
      <c r="N509" s="6" t="s">
        <v>3268</v>
      </c>
      <c r="O509" s="6" t="s">
        <v>40</v>
      </c>
      <c r="P509" s="6" t="str">
        <f>VLOOKUP(Tableau1[[#This Row],[SITES NAMES]],[1]Feuil1!$1:$1048576,8,FALSE)</f>
        <v>NOK</v>
      </c>
      <c r="Q509" s="6" t="str">
        <f>VLOOKUP(Tableau1[[#This Row],[SITES NAMES]],[1]Feuil1!$1:$1048576,9,FALSE)</f>
        <v>NO</v>
      </c>
      <c r="R509" s="6" t="str">
        <f>VLOOKUP(Tableau1[[#This Row],[SITES NAMES]],[1]Feuil1!$1:$1048576,10,FALSE)</f>
        <v>YES</v>
      </c>
      <c r="S509" s="6" t="s">
        <v>2469</v>
      </c>
      <c r="T509" s="6" t="s">
        <v>2470</v>
      </c>
      <c r="U509" s="6" t="s">
        <v>2471</v>
      </c>
      <c r="V509" s="6" t="s">
        <v>2472</v>
      </c>
      <c r="W509" s="6" t="s">
        <v>2473</v>
      </c>
      <c r="X509" s="8" t="s">
        <v>3217</v>
      </c>
      <c r="Y509" s="6" t="s">
        <v>3241</v>
      </c>
      <c r="Z509" s="6"/>
      <c r="AA509" s="37"/>
      <c r="AB509" s="38" t="s">
        <v>3627</v>
      </c>
      <c r="AC509" s="37" t="s">
        <v>3640</v>
      </c>
      <c r="AD509" s="39" t="s">
        <v>3641</v>
      </c>
      <c r="AE509" s="37"/>
      <c r="AF509" s="39" t="s">
        <v>3641</v>
      </c>
      <c r="AG509" s="37"/>
      <c r="AH509" s="37" t="s">
        <v>3642</v>
      </c>
    </row>
    <row r="510" spans="1:34" ht="14.45" hidden="1" customHeight="1" x14ac:dyDescent="0.25">
      <c r="A510" s="6" t="s">
        <v>1843</v>
      </c>
      <c r="B510" s="7">
        <v>0</v>
      </c>
      <c r="C510" s="6" t="s">
        <v>1842</v>
      </c>
      <c r="D510" s="6" t="s">
        <v>66</v>
      </c>
      <c r="E510" s="6" t="s">
        <v>3232</v>
      </c>
      <c r="F510" s="18" t="s">
        <v>3230</v>
      </c>
      <c r="G510" s="8">
        <v>1.215892</v>
      </c>
      <c r="H510" s="8">
        <v>6.1486019169999997</v>
      </c>
      <c r="I510" s="6" t="s">
        <v>2497</v>
      </c>
      <c r="J510" s="6" t="s">
        <v>2459</v>
      </c>
      <c r="K510" s="6" t="s">
        <v>2460</v>
      </c>
      <c r="L510" s="6"/>
      <c r="M510" s="6"/>
      <c r="N510" s="6" t="s">
        <v>3268</v>
      </c>
      <c r="O510" s="6" t="s">
        <v>7</v>
      </c>
      <c r="P510" s="6" t="str">
        <f>VLOOKUP(Tableau1[[#This Row],[SITES NAMES]],[1]Feuil1!$1:$1048576,8,FALSE)</f>
        <v>OK</v>
      </c>
      <c r="Q510" s="6" t="str">
        <f>VLOOKUP(Tableau1[[#This Row],[SITES NAMES]],[1]Feuil1!$1:$1048576,9,FALSE)</f>
        <v>NO</v>
      </c>
      <c r="R510" s="6" t="str">
        <f>VLOOKUP(Tableau1[[#This Row],[SITES NAMES]],[1]Feuil1!$1:$1048576,10,FALSE)</f>
        <v>NO</v>
      </c>
      <c r="S510" s="6" t="s">
        <v>2469</v>
      </c>
      <c r="T510" s="6" t="s">
        <v>2470</v>
      </c>
      <c r="U510" s="6" t="s">
        <v>2480</v>
      </c>
      <c r="V510" s="6" t="s">
        <v>2478</v>
      </c>
      <c r="W510" s="6" t="s">
        <v>2476</v>
      </c>
      <c r="X510" s="8" t="s">
        <v>3041</v>
      </c>
      <c r="Y510" s="6" t="s">
        <v>3238</v>
      </c>
      <c r="Z510" s="6" t="s">
        <v>3262</v>
      </c>
      <c r="AA510" s="35" t="s">
        <v>3621</v>
      </c>
      <c r="AB510" s="35" t="s">
        <v>3608</v>
      </c>
      <c r="AC510" s="35" t="s">
        <v>3624</v>
      </c>
      <c r="AD510" s="35" t="s">
        <v>3610</v>
      </c>
      <c r="AE510" s="35" t="s">
        <v>3610</v>
      </c>
      <c r="AF510" s="35" t="s">
        <v>3611</v>
      </c>
      <c r="AG510" s="35" t="s">
        <v>3612</v>
      </c>
      <c r="AH510" s="35" t="s">
        <v>3625</v>
      </c>
    </row>
    <row r="511" spans="1:34" ht="14.45" hidden="1" customHeight="1" x14ac:dyDescent="0.25">
      <c r="A511" s="6" t="s">
        <v>1847</v>
      </c>
      <c r="B511" s="7">
        <v>46022</v>
      </c>
      <c r="C511" s="6" t="s">
        <v>1846</v>
      </c>
      <c r="D511" s="6" t="s">
        <v>66</v>
      </c>
      <c r="E511" s="6" t="s">
        <v>3232</v>
      </c>
      <c r="F511" s="6" t="s">
        <v>3229</v>
      </c>
      <c r="G511" s="8">
        <v>1.2092499999999999</v>
      </c>
      <c r="H511" s="8">
        <v>6.1448330000000002</v>
      </c>
      <c r="I511" s="16" t="s">
        <v>2475</v>
      </c>
      <c r="J511" s="6" t="s">
        <v>2459</v>
      </c>
      <c r="K511" s="6" t="s">
        <v>2468</v>
      </c>
      <c r="L511" s="6"/>
      <c r="M511" s="6"/>
      <c r="N511" s="6" t="s">
        <v>2468</v>
      </c>
      <c r="O511" s="6" t="s">
        <v>7</v>
      </c>
      <c r="P511" s="6"/>
      <c r="Q511" s="6"/>
      <c r="R511" s="6"/>
      <c r="S511" s="6"/>
      <c r="T511" s="6"/>
      <c r="U511" s="6"/>
      <c r="V511" s="6"/>
      <c r="W511" s="6"/>
      <c r="X511" s="8"/>
      <c r="Y511" s="6" t="s">
        <v>3238</v>
      </c>
      <c r="Z511" s="6" t="s">
        <v>3262</v>
      </c>
      <c r="AA511" s="35" t="s">
        <v>3621</v>
      </c>
      <c r="AB511" s="35" t="s">
        <v>3608</v>
      </c>
      <c r="AC511" s="35" t="s">
        <v>3624</v>
      </c>
      <c r="AD511" s="35" t="s">
        <v>3610</v>
      </c>
      <c r="AE511" s="35" t="s">
        <v>3610</v>
      </c>
      <c r="AF511" s="35" t="s">
        <v>3611</v>
      </c>
      <c r="AG511" s="35" t="s">
        <v>3612</v>
      </c>
      <c r="AH511" s="35" t="s">
        <v>3625</v>
      </c>
    </row>
    <row r="512" spans="1:34" ht="14.45" hidden="1" customHeight="1" x14ac:dyDescent="0.3">
      <c r="A512" s="6" t="s">
        <v>303</v>
      </c>
      <c r="B512" s="7">
        <v>0</v>
      </c>
      <c r="C512" s="6" t="s">
        <v>302</v>
      </c>
      <c r="D512" s="6" t="s">
        <v>132</v>
      </c>
      <c r="E512" s="6" t="s">
        <v>251</v>
      </c>
      <c r="F512" s="6" t="s">
        <v>3229</v>
      </c>
      <c r="G512" s="8">
        <v>0.713808</v>
      </c>
      <c r="H512" s="8">
        <v>7.4696129999999998</v>
      </c>
      <c r="I512" s="6" t="s">
        <v>2477</v>
      </c>
      <c r="J512" s="6" t="s">
        <v>2459</v>
      </c>
      <c r="K512" s="6" t="s">
        <v>2468</v>
      </c>
      <c r="L512" s="6" t="s">
        <v>275</v>
      </c>
      <c r="M512" s="6"/>
      <c r="N512" s="6" t="s">
        <v>2468</v>
      </c>
      <c r="O512" s="6" t="s">
        <v>40</v>
      </c>
      <c r="P512" s="6" t="str">
        <f>VLOOKUP(Tableau1[[#This Row],[SITES NAMES]],[1]Feuil1!$1:$1048576,8,FALSE)</f>
        <v>OK</v>
      </c>
      <c r="Q512" s="6" t="str">
        <f>VLOOKUP(Tableau1[[#This Row],[SITES NAMES]],[1]Feuil1!$1:$1048576,9,FALSE)</f>
        <v>NO</v>
      </c>
      <c r="R512" s="6" t="str">
        <f>VLOOKUP(Tableau1[[#This Row],[SITES NAMES]],[1]Feuil1!$1:$1048576,10,FALSE)</f>
        <v>NO</v>
      </c>
      <c r="S512" s="6" t="s">
        <v>2469</v>
      </c>
      <c r="T512" s="6" t="s">
        <v>2470</v>
      </c>
      <c r="U512" s="6" t="s">
        <v>2480</v>
      </c>
      <c r="V512" s="6" t="s">
        <v>2472</v>
      </c>
      <c r="W512" s="6" t="s">
        <v>2473</v>
      </c>
      <c r="X512" s="8" t="s">
        <v>2583</v>
      </c>
      <c r="Y512" s="6" t="s">
        <v>3238</v>
      </c>
      <c r="Z512" s="6" t="s">
        <v>3256</v>
      </c>
      <c r="AA512" s="37" t="s">
        <v>3651</v>
      </c>
      <c r="AB512" s="39" t="s">
        <v>3644</v>
      </c>
      <c r="AC512" s="45" t="s">
        <v>3652</v>
      </c>
      <c r="AD512" s="39" t="s">
        <v>3646</v>
      </c>
      <c r="AE512" s="37" t="s">
        <v>3653</v>
      </c>
      <c r="AF512" s="37" t="s">
        <v>3654</v>
      </c>
      <c r="AG512" s="37" t="s">
        <v>3649</v>
      </c>
      <c r="AH512" s="37" t="s">
        <v>3655</v>
      </c>
    </row>
    <row r="513" spans="1:34" ht="14.45" hidden="1" customHeight="1" x14ac:dyDescent="0.3">
      <c r="A513" s="6" t="s">
        <v>602</v>
      </c>
      <c r="B513" s="7">
        <v>0</v>
      </c>
      <c r="C513" s="6" t="s">
        <v>601</v>
      </c>
      <c r="D513" s="6" t="s">
        <v>132</v>
      </c>
      <c r="E513" s="6" t="s">
        <v>565</v>
      </c>
      <c r="F513" s="6" t="s">
        <v>3229</v>
      </c>
      <c r="G513" s="8">
        <v>1.3034399999999999</v>
      </c>
      <c r="H513" s="8">
        <v>7.8536000000000001</v>
      </c>
      <c r="I513" s="19" t="s">
        <v>2477</v>
      </c>
      <c r="J513" s="6" t="s">
        <v>2459</v>
      </c>
      <c r="K513" s="6" t="s">
        <v>2460</v>
      </c>
      <c r="L513" s="6"/>
      <c r="M513" s="6"/>
      <c r="N513" s="6" t="s">
        <v>3268</v>
      </c>
      <c r="O513" s="6" t="s">
        <v>7</v>
      </c>
      <c r="P513" s="6" t="str">
        <f>VLOOKUP(Tableau1[[#This Row],[SITES NAMES]],[1]Feuil1!$1:$1048576,8,FALSE)</f>
        <v>OK</v>
      </c>
      <c r="Q513" s="6" t="str">
        <f>VLOOKUP(Tableau1[[#This Row],[SITES NAMES]],[1]Feuil1!$1:$1048576,9,FALSE)</f>
        <v>NO</v>
      </c>
      <c r="R513" s="6" t="str">
        <f>VLOOKUP(Tableau1[[#This Row],[SITES NAMES]],[1]Feuil1!$1:$1048576,10,FALSE)</f>
        <v>NO</v>
      </c>
      <c r="S513" s="6" t="s">
        <v>2469</v>
      </c>
      <c r="T513" s="6" t="s">
        <v>2470</v>
      </c>
      <c r="U513" s="6" t="s">
        <v>2480</v>
      </c>
      <c r="V513" s="6" t="s">
        <v>2472</v>
      </c>
      <c r="W513" s="6" t="s">
        <v>2473</v>
      </c>
      <c r="X513" s="8" t="s">
        <v>2693</v>
      </c>
      <c r="Y513" s="6" t="s">
        <v>3238</v>
      </c>
      <c r="Z513" s="6"/>
      <c r="AA513" s="37" t="s">
        <v>3660</v>
      </c>
      <c r="AB513" s="39" t="s">
        <v>3644</v>
      </c>
      <c r="AC513" s="37" t="s">
        <v>3661</v>
      </c>
      <c r="AD513" s="39" t="s">
        <v>3646</v>
      </c>
      <c r="AE513" s="39" t="s">
        <v>3647</v>
      </c>
      <c r="AF513" s="39" t="s">
        <v>3662</v>
      </c>
      <c r="AG513" s="37" t="s">
        <v>3649</v>
      </c>
      <c r="AH513" s="37" t="s">
        <v>3663</v>
      </c>
    </row>
    <row r="514" spans="1:34" ht="14.45" hidden="1" customHeight="1" x14ac:dyDescent="0.3">
      <c r="A514" s="6" t="s">
        <v>604</v>
      </c>
      <c r="B514" s="7">
        <v>0</v>
      </c>
      <c r="C514" s="6" t="s">
        <v>603</v>
      </c>
      <c r="D514" s="6" t="s">
        <v>132</v>
      </c>
      <c r="E514" s="6" t="s">
        <v>565</v>
      </c>
      <c r="F514" s="6" t="s">
        <v>3229</v>
      </c>
      <c r="G514" s="8">
        <v>1.49231</v>
      </c>
      <c r="H514" s="8">
        <v>7.9266300000000003</v>
      </c>
      <c r="I514" s="6" t="s">
        <v>2486</v>
      </c>
      <c r="J514" s="6" t="s">
        <v>2459</v>
      </c>
      <c r="K514" s="6" t="s">
        <v>2468</v>
      </c>
      <c r="L514" s="6" t="s">
        <v>3331</v>
      </c>
      <c r="M514" s="6"/>
      <c r="N514" s="6" t="s">
        <v>2468</v>
      </c>
      <c r="O514" s="6" t="s">
        <v>40</v>
      </c>
      <c r="P514" s="6" t="str">
        <f>VLOOKUP(Tableau1[[#This Row],[SITES NAMES]],[1]Feuil1!$1:$1048576,8,FALSE)</f>
        <v>OK</v>
      </c>
      <c r="Q514" s="6" t="str">
        <f>VLOOKUP(Tableau1[[#This Row],[SITES NAMES]],[1]Feuil1!$1:$1048576,9,FALSE)</f>
        <v>NO</v>
      </c>
      <c r="R514" s="6" t="str">
        <f>VLOOKUP(Tableau1[[#This Row],[SITES NAMES]],[1]Feuil1!$1:$1048576,10,FALSE)</f>
        <v>NO</v>
      </c>
      <c r="S514" s="6" t="s">
        <v>2461</v>
      </c>
      <c r="T514" s="6" t="s">
        <v>2462</v>
      </c>
      <c r="U514" s="6" t="s">
        <v>2463</v>
      </c>
      <c r="V514" s="6" t="s">
        <v>2472</v>
      </c>
      <c r="W514" s="6" t="s">
        <v>2473</v>
      </c>
      <c r="X514" s="8" t="s">
        <v>2694</v>
      </c>
      <c r="Y514" s="6" t="s">
        <v>3238</v>
      </c>
      <c r="Z514" s="6"/>
      <c r="AA514" s="37" t="s">
        <v>3660</v>
      </c>
      <c r="AB514" s="39" t="s">
        <v>3644</v>
      </c>
      <c r="AC514" s="37" t="s">
        <v>3661</v>
      </c>
      <c r="AD514" s="39" t="s">
        <v>3646</v>
      </c>
      <c r="AE514" s="39" t="s">
        <v>3647</v>
      </c>
      <c r="AF514" s="39" t="s">
        <v>3662</v>
      </c>
      <c r="AG514" s="37" t="s">
        <v>3649</v>
      </c>
      <c r="AH514" s="37" t="s">
        <v>3663</v>
      </c>
    </row>
    <row r="515" spans="1:34" ht="14.45" hidden="1" customHeight="1" x14ac:dyDescent="0.3">
      <c r="A515" s="6" t="s">
        <v>532</v>
      </c>
      <c r="B515" s="7">
        <v>45152</v>
      </c>
      <c r="C515" s="6" t="s">
        <v>531</v>
      </c>
      <c r="D515" s="6" t="s">
        <v>395</v>
      </c>
      <c r="E515" s="6" t="s">
        <v>396</v>
      </c>
      <c r="F515" s="6" t="s">
        <v>3229</v>
      </c>
      <c r="G515" s="8">
        <v>4.3549999999999998E-2</v>
      </c>
      <c r="H515" s="8">
        <v>10.60308</v>
      </c>
      <c r="I515" s="14" t="s">
        <v>2477</v>
      </c>
      <c r="J515" s="6" t="s">
        <v>2459</v>
      </c>
      <c r="K515" s="6" t="s">
        <v>2468</v>
      </c>
      <c r="L515" s="6" t="s">
        <v>3443</v>
      </c>
      <c r="M515" s="6"/>
      <c r="N515" s="6" t="s">
        <v>2468</v>
      </c>
      <c r="O515" s="6" t="s">
        <v>40</v>
      </c>
      <c r="P515" s="6" t="str">
        <f>VLOOKUP(Tableau1[[#This Row],[SITES NAMES]],[1]Feuil1!$1:$1048576,8,FALSE)</f>
        <v>OK</v>
      </c>
      <c r="Q515" s="6" t="str">
        <f>VLOOKUP(Tableau1[[#This Row],[SITES NAMES]],[1]Feuil1!$1:$1048576,9,FALSE)</f>
        <v>NO</v>
      </c>
      <c r="R515" s="6" t="str">
        <f>VLOOKUP(Tableau1[[#This Row],[SITES NAMES]],[1]Feuil1!$1:$1048576,10,FALSE)</f>
        <v>NO</v>
      </c>
      <c r="S515" s="6" t="s">
        <v>2469</v>
      </c>
      <c r="T515" s="6" t="s">
        <v>2470</v>
      </c>
      <c r="U515" s="6" t="s">
        <v>2471</v>
      </c>
      <c r="V515" s="6" t="s">
        <v>2472</v>
      </c>
      <c r="W515" s="6" t="s">
        <v>2473</v>
      </c>
      <c r="X515" s="8">
        <v>70997370</v>
      </c>
      <c r="Y515" s="6" t="s">
        <v>3240</v>
      </c>
      <c r="Z515" s="6" t="s">
        <v>3255</v>
      </c>
      <c r="AA515" s="37" t="s">
        <v>3704</v>
      </c>
      <c r="AB515" s="39" t="s">
        <v>3705</v>
      </c>
      <c r="AC515" s="37" t="s">
        <v>3706</v>
      </c>
      <c r="AD515" s="37" t="s">
        <v>3707</v>
      </c>
      <c r="AE515" s="37" t="s">
        <v>3708</v>
      </c>
      <c r="AF515" s="37" t="s">
        <v>3709</v>
      </c>
      <c r="AG515" s="46" t="s">
        <v>3710</v>
      </c>
      <c r="AH515" s="37" t="s">
        <v>3711</v>
      </c>
    </row>
    <row r="516" spans="1:34" ht="14.45" hidden="1" customHeight="1" x14ac:dyDescent="0.3">
      <c r="A516" s="6" t="s">
        <v>400</v>
      </c>
      <c r="B516" s="7">
        <v>43911</v>
      </c>
      <c r="C516" s="6" t="s">
        <v>399</v>
      </c>
      <c r="D516" s="6" t="s">
        <v>395</v>
      </c>
      <c r="E516" s="6" t="s">
        <v>396</v>
      </c>
      <c r="F516" s="6" t="s">
        <v>3229</v>
      </c>
      <c r="G516" s="8">
        <v>0.57259000000000004</v>
      </c>
      <c r="H516" s="8">
        <v>10.671004</v>
      </c>
      <c r="I516" s="6" t="s">
        <v>2482</v>
      </c>
      <c r="J516" s="6" t="s">
        <v>2459</v>
      </c>
      <c r="K516" s="6" t="s">
        <v>2468</v>
      </c>
      <c r="L516" s="6" t="s">
        <v>3444</v>
      </c>
      <c r="M516" s="6"/>
      <c r="N516" s="6" t="s">
        <v>2468</v>
      </c>
      <c r="O516" s="6" t="s">
        <v>40</v>
      </c>
      <c r="P516" s="6" t="str">
        <f>VLOOKUP(Tableau1[[#This Row],[SITES NAMES]],[1]Feuil1!$1:$1048576,8,FALSE)</f>
        <v>OK</v>
      </c>
      <c r="Q516" s="6" t="str">
        <f>VLOOKUP(Tableau1[[#This Row],[SITES NAMES]],[1]Feuil1!$1:$1048576,9,FALSE)</f>
        <v>NO</v>
      </c>
      <c r="R516" s="6" t="str">
        <f>VLOOKUP(Tableau1[[#This Row],[SITES NAMES]],[1]Feuil1!$1:$1048576,10,FALSE)</f>
        <v>YES</v>
      </c>
      <c r="S516" s="6" t="s">
        <v>2469</v>
      </c>
      <c r="T516" s="6" t="s">
        <v>2470</v>
      </c>
      <c r="U516" s="6" t="s">
        <v>2471</v>
      </c>
      <c r="V516" s="6" t="s">
        <v>2472</v>
      </c>
      <c r="W516" s="6" t="s">
        <v>2473</v>
      </c>
      <c r="X516" s="8" t="s">
        <v>2618</v>
      </c>
      <c r="Y516" s="6" t="s">
        <v>3240</v>
      </c>
      <c r="Z516" s="6" t="s">
        <v>3255</v>
      </c>
      <c r="AA516" s="37" t="s">
        <v>3704</v>
      </c>
      <c r="AB516" s="39" t="s">
        <v>3705</v>
      </c>
      <c r="AC516" s="37" t="s">
        <v>3706</v>
      </c>
      <c r="AD516" s="37" t="s">
        <v>3707</v>
      </c>
      <c r="AE516" s="37" t="s">
        <v>3708</v>
      </c>
      <c r="AF516" s="37" t="s">
        <v>3709</v>
      </c>
      <c r="AG516" s="46" t="s">
        <v>3710</v>
      </c>
      <c r="AH516" s="37" t="s">
        <v>3711</v>
      </c>
    </row>
    <row r="517" spans="1:34" ht="14.45" hidden="1" customHeight="1" x14ac:dyDescent="0.3">
      <c r="A517" s="6" t="s">
        <v>2401</v>
      </c>
      <c r="B517" s="7">
        <v>0</v>
      </c>
      <c r="C517" s="6" t="s">
        <v>2400</v>
      </c>
      <c r="D517" s="6" t="s">
        <v>5</v>
      </c>
      <c r="E517" s="6" t="s">
        <v>2333</v>
      </c>
      <c r="F517" s="6" t="s">
        <v>3229</v>
      </c>
      <c r="G517" s="8">
        <v>1.26942</v>
      </c>
      <c r="H517" s="8">
        <v>6.4530000000000003</v>
      </c>
      <c r="I517" s="6" t="s">
        <v>2486</v>
      </c>
      <c r="J517" s="6" t="s">
        <v>2459</v>
      </c>
      <c r="K517" s="6" t="s">
        <v>2460</v>
      </c>
      <c r="L517" s="6"/>
      <c r="M517" s="6"/>
      <c r="N517" s="6" t="s">
        <v>3268</v>
      </c>
      <c r="O517" s="6" t="s">
        <v>7</v>
      </c>
      <c r="P517" s="6" t="str">
        <f>VLOOKUP(Tableau1[[#This Row],[SITES NAMES]],[1]Feuil1!$1:$1048576,8,FALSE)</f>
        <v>OK</v>
      </c>
      <c r="Q517" s="6" t="str">
        <f>VLOOKUP(Tableau1[[#This Row],[SITES NAMES]],[1]Feuil1!$1:$1048576,9,FALSE)</f>
        <v>YES</v>
      </c>
      <c r="R517" s="6" t="str">
        <f>VLOOKUP(Tableau1[[#This Row],[SITES NAMES]],[1]Feuil1!$1:$1048576,10,FALSE)</f>
        <v>NO</v>
      </c>
      <c r="S517" s="6" t="s">
        <v>2461</v>
      </c>
      <c r="T517" s="6" t="s">
        <v>2462</v>
      </c>
      <c r="U517" s="6" t="s">
        <v>2463</v>
      </c>
      <c r="V517" s="6" t="s">
        <v>2464</v>
      </c>
      <c r="W517" s="6" t="s">
        <v>2465</v>
      </c>
      <c r="X517" s="8" t="s">
        <v>3218</v>
      </c>
      <c r="Y517" s="6" t="s">
        <v>3241</v>
      </c>
      <c r="Z517" t="e">
        <f>VLOOKUP(Tableau1[[#This Row],[SITES NAMES]],#REF!,3,FALSE)</f>
        <v>#REF!</v>
      </c>
      <c r="AA517" s="37"/>
      <c r="AB517" s="38" t="s">
        <v>3627</v>
      </c>
      <c r="AC517" s="37" t="s">
        <v>3640</v>
      </c>
      <c r="AD517" s="39" t="s">
        <v>3641</v>
      </c>
      <c r="AE517" s="37"/>
      <c r="AF517" s="39" t="s">
        <v>3641</v>
      </c>
      <c r="AG517" s="37"/>
      <c r="AH517" s="37" t="s">
        <v>3642</v>
      </c>
    </row>
    <row r="518" spans="1:34" ht="14.45" hidden="1" customHeight="1" x14ac:dyDescent="0.25">
      <c r="A518" s="6" t="s">
        <v>1896</v>
      </c>
      <c r="B518" s="7">
        <v>0</v>
      </c>
      <c r="C518" s="6" t="s">
        <v>1895</v>
      </c>
      <c r="D518" s="6" t="s">
        <v>66</v>
      </c>
      <c r="E518" s="6" t="s">
        <v>3232</v>
      </c>
      <c r="F518" s="6" t="s">
        <v>3229</v>
      </c>
      <c r="G518" s="8">
        <v>1.256942</v>
      </c>
      <c r="H518" s="8">
        <v>6.1470747530000001</v>
      </c>
      <c r="I518" s="6" t="s">
        <v>2497</v>
      </c>
      <c r="J518" s="6" t="s">
        <v>2459</v>
      </c>
      <c r="K518" s="6" t="s">
        <v>2460</v>
      </c>
      <c r="L518" s="6"/>
      <c r="M518" s="6"/>
      <c r="N518" s="6" t="s">
        <v>3268</v>
      </c>
      <c r="O518" s="6" t="s">
        <v>7</v>
      </c>
      <c r="P518" s="6" t="str">
        <f>VLOOKUP(Tableau1[[#This Row],[SITES NAMES]],[1]Feuil1!$1:$1048576,8,FALSE)</f>
        <v>OK</v>
      </c>
      <c r="Q518" s="6" t="str">
        <f>VLOOKUP(Tableau1[[#This Row],[SITES NAMES]],[1]Feuil1!$1:$1048576,9,FALSE)</f>
        <v>YES</v>
      </c>
      <c r="R518" s="6" t="str">
        <f>VLOOKUP(Tableau1[[#This Row],[SITES NAMES]],[1]Feuil1!$1:$1048576,10,FALSE)</f>
        <v>NO</v>
      </c>
      <c r="S518" s="6" t="s">
        <v>2469</v>
      </c>
      <c r="T518" s="6" t="s">
        <v>2470</v>
      </c>
      <c r="U518" s="6" t="s">
        <v>2471</v>
      </c>
      <c r="V518" s="6" t="s">
        <v>2464</v>
      </c>
      <c r="W518" s="6" t="s">
        <v>2476</v>
      </c>
      <c r="X518" s="8" t="s">
        <v>3046</v>
      </c>
      <c r="Y518" s="6" t="s">
        <v>3238</v>
      </c>
      <c r="Z518" s="6" t="s">
        <v>3262</v>
      </c>
      <c r="AA518" s="35" t="s">
        <v>3621</v>
      </c>
      <c r="AB518" s="35" t="s">
        <v>3608</v>
      </c>
      <c r="AC518" s="35" t="s">
        <v>3624</v>
      </c>
      <c r="AD518" s="35" t="s">
        <v>3610</v>
      </c>
      <c r="AE518" s="35" t="s">
        <v>3610</v>
      </c>
      <c r="AF518" s="35" t="s">
        <v>3611</v>
      </c>
      <c r="AG518" s="35" t="s">
        <v>3612</v>
      </c>
      <c r="AH518" s="35" t="s">
        <v>3625</v>
      </c>
    </row>
    <row r="519" spans="1:34" ht="14.45" hidden="1" customHeight="1" x14ac:dyDescent="0.25">
      <c r="A519" s="6" t="s">
        <v>1898</v>
      </c>
      <c r="B519" s="7">
        <v>0</v>
      </c>
      <c r="C519" s="6" t="s">
        <v>1897</v>
      </c>
      <c r="D519" s="6" t="s">
        <v>66</v>
      </c>
      <c r="E519" s="6" t="s">
        <v>3232</v>
      </c>
      <c r="F519" s="18" t="s">
        <v>3230</v>
      </c>
      <c r="G519" s="8">
        <v>1.2522777780000001</v>
      </c>
      <c r="H519" s="8">
        <v>6.1485000000000003</v>
      </c>
      <c r="I519" s="6" t="s">
        <v>2497</v>
      </c>
      <c r="J519" s="6" t="s">
        <v>2459</v>
      </c>
      <c r="K519" s="6" t="s">
        <v>2460</v>
      </c>
      <c r="L519" s="6"/>
      <c r="M519" s="6"/>
      <c r="N519" s="6" t="s">
        <v>3268</v>
      </c>
      <c r="O519" s="6" t="s">
        <v>7</v>
      </c>
      <c r="P519" s="6" t="str">
        <f>VLOOKUP(Tableau1[[#This Row],[SITES NAMES]],[1]Feuil1!$1:$1048576,8,FALSE)</f>
        <v>OK</v>
      </c>
      <c r="Q519" s="6" t="str">
        <f>VLOOKUP(Tableau1[[#This Row],[SITES NAMES]],[1]Feuil1!$1:$1048576,9,FALSE)</f>
        <v>NO</v>
      </c>
      <c r="R519" s="6" t="str">
        <f>VLOOKUP(Tableau1[[#This Row],[SITES NAMES]],[1]Feuil1!$1:$1048576,10,FALSE)</f>
        <v>NO</v>
      </c>
      <c r="S519" s="6" t="s">
        <v>2469</v>
      </c>
      <c r="T519" s="6" t="s">
        <v>2470</v>
      </c>
      <c r="U519" s="6" t="s">
        <v>2480</v>
      </c>
      <c r="V519" s="6" t="s">
        <v>2464</v>
      </c>
      <c r="W519" s="6" t="s">
        <v>2476</v>
      </c>
      <c r="X519" s="8" t="s">
        <v>3047</v>
      </c>
      <c r="Y519" s="6" t="s">
        <v>3238</v>
      </c>
      <c r="Z519" s="6" t="s">
        <v>3262</v>
      </c>
      <c r="AA519" s="35" t="s">
        <v>3621</v>
      </c>
      <c r="AB519" s="35" t="s">
        <v>3608</v>
      </c>
      <c r="AC519" s="35" t="s">
        <v>3624</v>
      </c>
      <c r="AD519" s="35" t="s">
        <v>3610</v>
      </c>
      <c r="AE519" s="35" t="s">
        <v>3610</v>
      </c>
      <c r="AF519" s="35" t="s">
        <v>3611</v>
      </c>
      <c r="AG519" s="35" t="s">
        <v>3612</v>
      </c>
      <c r="AH519" s="35" t="s">
        <v>3625</v>
      </c>
    </row>
    <row r="520" spans="1:34" ht="14.45" hidden="1" customHeight="1" x14ac:dyDescent="0.25">
      <c r="A520" s="6" t="s">
        <v>1900</v>
      </c>
      <c r="B520" s="7">
        <v>0</v>
      </c>
      <c r="C520" s="6" t="s">
        <v>1899</v>
      </c>
      <c r="D520" s="6" t="s">
        <v>66</v>
      </c>
      <c r="E520" s="6" t="s">
        <v>3232</v>
      </c>
      <c r="F520" s="6" t="s">
        <v>3229</v>
      </c>
      <c r="G520" s="8">
        <v>1.2500800000000001</v>
      </c>
      <c r="H520" s="8">
        <v>6.144463</v>
      </c>
      <c r="I520" s="6" t="s">
        <v>2497</v>
      </c>
      <c r="J520" s="6" t="s">
        <v>2459</v>
      </c>
      <c r="K520" s="6" t="s">
        <v>2460</v>
      </c>
      <c r="L520" s="6"/>
      <c r="M520" s="6"/>
      <c r="N520" s="6" t="s">
        <v>3268</v>
      </c>
      <c r="O520" s="6" t="s">
        <v>7</v>
      </c>
      <c r="P520" s="6" t="str">
        <f>VLOOKUP(Tableau1[[#This Row],[SITES NAMES]],[1]Feuil1!$1:$1048576,8,FALSE)</f>
        <v>OK</v>
      </c>
      <c r="Q520" s="6" t="str">
        <f>VLOOKUP(Tableau1[[#This Row],[SITES NAMES]],[1]Feuil1!$1:$1048576,9,FALSE)</f>
        <v>NO</v>
      </c>
      <c r="R520" s="6" t="str">
        <f>VLOOKUP(Tableau1[[#This Row],[SITES NAMES]],[1]Feuil1!$1:$1048576,10,FALSE)</f>
        <v>NO</v>
      </c>
      <c r="S520" s="6" t="s">
        <v>2469</v>
      </c>
      <c r="T520" s="6" t="s">
        <v>2470</v>
      </c>
      <c r="U520" s="6" t="s">
        <v>2463</v>
      </c>
      <c r="V520" s="6" t="s">
        <v>2472</v>
      </c>
      <c r="W520" s="6" t="s">
        <v>2476</v>
      </c>
      <c r="X520" s="8"/>
      <c r="Y520" s="6" t="s">
        <v>3238</v>
      </c>
      <c r="Z520" s="6" t="s">
        <v>3262</v>
      </c>
      <c r="AA520" s="35" t="s">
        <v>3621</v>
      </c>
      <c r="AB520" s="35" t="s">
        <v>3608</v>
      </c>
      <c r="AC520" s="35" t="s">
        <v>3624</v>
      </c>
      <c r="AD520" s="35" t="s">
        <v>3610</v>
      </c>
      <c r="AE520" s="35" t="s">
        <v>3610</v>
      </c>
      <c r="AF520" s="35" t="s">
        <v>3611</v>
      </c>
      <c r="AG520" s="35" t="s">
        <v>3612</v>
      </c>
      <c r="AH520" s="35" t="s">
        <v>3625</v>
      </c>
    </row>
    <row r="521" spans="1:34" ht="14.45" hidden="1" customHeight="1" x14ac:dyDescent="0.25">
      <c r="A521" s="6" t="s">
        <v>1849</v>
      </c>
      <c r="B521" s="7">
        <v>46022</v>
      </c>
      <c r="C521" s="6" t="s">
        <v>1848</v>
      </c>
      <c r="D521" s="6" t="s">
        <v>66</v>
      </c>
      <c r="E521" s="6" t="s">
        <v>3232</v>
      </c>
      <c r="F521" s="6" t="s">
        <v>3229</v>
      </c>
      <c r="G521" s="8">
        <v>1.2618959999999999</v>
      </c>
      <c r="H521" s="8">
        <v>6.1441929999999996</v>
      </c>
      <c r="I521" s="15" t="s">
        <v>2497</v>
      </c>
      <c r="J521" s="6" t="s">
        <v>2459</v>
      </c>
      <c r="K521" s="6" t="s">
        <v>2468</v>
      </c>
      <c r="L521" s="6" t="s">
        <v>3445</v>
      </c>
      <c r="M521" s="6"/>
      <c r="N521" s="6" t="s">
        <v>2468</v>
      </c>
      <c r="O521" s="6" t="s">
        <v>7</v>
      </c>
      <c r="P521" s="6"/>
      <c r="Q521" s="6"/>
      <c r="R521" s="6"/>
      <c r="S521" s="6"/>
      <c r="T521" s="6"/>
      <c r="U521" s="6"/>
      <c r="V521" s="6"/>
      <c r="W521" s="6"/>
      <c r="X521" s="8"/>
      <c r="Y521" s="6" t="s">
        <v>3238</v>
      </c>
      <c r="Z521" s="6" t="s">
        <v>3262</v>
      </c>
      <c r="AA521" s="35" t="s">
        <v>3621</v>
      </c>
      <c r="AB521" s="35" t="s">
        <v>3608</v>
      </c>
      <c r="AC521" s="35" t="s">
        <v>3624</v>
      </c>
      <c r="AD521" s="35" t="s">
        <v>3610</v>
      </c>
      <c r="AE521" s="35" t="s">
        <v>3610</v>
      </c>
      <c r="AF521" s="35" t="s">
        <v>3611</v>
      </c>
      <c r="AG521" s="35" t="s">
        <v>3612</v>
      </c>
      <c r="AH521" s="35" t="s">
        <v>3625</v>
      </c>
    </row>
    <row r="522" spans="1:34" ht="14.45" hidden="1" customHeight="1" x14ac:dyDescent="0.25">
      <c r="A522" s="6" t="s">
        <v>1308</v>
      </c>
      <c r="B522" s="7">
        <v>45247</v>
      </c>
      <c r="C522" s="6" t="s">
        <v>1307</v>
      </c>
      <c r="D522" s="6" t="s">
        <v>66</v>
      </c>
      <c r="E522" s="6" t="s">
        <v>3231</v>
      </c>
      <c r="F522" s="6" t="s">
        <v>3229</v>
      </c>
      <c r="G522" s="8">
        <v>1.2238100000000001</v>
      </c>
      <c r="H522" s="8">
        <v>6.1255839999999999</v>
      </c>
      <c r="I522" s="6" t="s">
        <v>2479</v>
      </c>
      <c r="J522" s="6" t="s">
        <v>2459</v>
      </c>
      <c r="K522" s="6" t="s">
        <v>2529</v>
      </c>
      <c r="L522" s="6" t="s">
        <v>3481</v>
      </c>
      <c r="M522" s="6"/>
      <c r="N522" s="6" t="s">
        <v>2468</v>
      </c>
      <c r="O522" s="6" t="s">
        <v>7</v>
      </c>
      <c r="P522" s="6" t="str">
        <f>VLOOKUP(Tableau1[[#This Row],[SITES NAMES]],[1]Feuil1!$1:$1048576,8,FALSE)</f>
        <v>OK</v>
      </c>
      <c r="Q522" s="6" t="str">
        <f>VLOOKUP(Tableau1[[#This Row],[SITES NAMES]],[1]Feuil1!$1:$1048576,9,FALSE)</f>
        <v>NO</v>
      </c>
      <c r="R522" s="6" t="str">
        <f>VLOOKUP(Tableau1[[#This Row],[SITES NAMES]],[1]Feuil1!$1:$1048576,10,FALSE)</f>
        <v>NO</v>
      </c>
      <c r="S522" s="6" t="s">
        <v>2461</v>
      </c>
      <c r="T522" s="6" t="s">
        <v>2462</v>
      </c>
      <c r="U522" s="6" t="s">
        <v>2463</v>
      </c>
      <c r="V522" s="6" t="s">
        <v>2464</v>
      </c>
      <c r="W522" s="6" t="s">
        <v>2531</v>
      </c>
      <c r="X522" s="8">
        <v>70997344</v>
      </c>
      <c r="Y522" s="6" t="s">
        <v>3238</v>
      </c>
      <c r="Z522" s="6"/>
      <c r="AA522" s="35" t="s">
        <v>3621</v>
      </c>
      <c r="AB522" s="35" t="s">
        <v>3608</v>
      </c>
      <c r="AC522" s="35" t="s">
        <v>3622</v>
      </c>
      <c r="AD522" s="35" t="s">
        <v>3610</v>
      </c>
      <c r="AE522" s="35" t="s">
        <v>3610</v>
      </c>
      <c r="AF522" s="35" t="s">
        <v>3611</v>
      </c>
      <c r="AG522" s="35" t="s">
        <v>3612</v>
      </c>
      <c r="AH522" s="35" t="s">
        <v>3623</v>
      </c>
    </row>
    <row r="523" spans="1:34" ht="14.45" hidden="1" customHeight="1" x14ac:dyDescent="0.25">
      <c r="A523" s="6" t="s">
        <v>1781</v>
      </c>
      <c r="B523" s="7">
        <v>0</v>
      </c>
      <c r="C523" s="6" t="s">
        <v>1780</v>
      </c>
      <c r="D523" s="6" t="s">
        <v>1735</v>
      </c>
      <c r="E523" s="6" t="s">
        <v>3234</v>
      </c>
      <c r="F523" s="6" t="s">
        <v>3229</v>
      </c>
      <c r="G523" s="8">
        <v>1.1771469999999999</v>
      </c>
      <c r="H523" s="8">
        <v>6.1879569999999999</v>
      </c>
      <c r="I523" s="6" t="s">
        <v>2497</v>
      </c>
      <c r="J523" s="6" t="s">
        <v>2459</v>
      </c>
      <c r="K523" s="6" t="s">
        <v>2460</v>
      </c>
      <c r="L523" s="6"/>
      <c r="M523" s="6"/>
      <c r="N523" s="6" t="s">
        <v>3268</v>
      </c>
      <c r="O523" s="6" t="s">
        <v>7</v>
      </c>
      <c r="P523" s="6" t="str">
        <f>VLOOKUP(Tableau1[[#This Row],[SITES NAMES]],[1]Feuil1!$1:$1048576,8,FALSE)</f>
        <v>OK</v>
      </c>
      <c r="Q523" s="6" t="str">
        <f>VLOOKUP(Tableau1[[#This Row],[SITES NAMES]],[1]Feuil1!$1:$1048576,9,FALSE)</f>
        <v>NO</v>
      </c>
      <c r="R523" s="6" t="str">
        <f>VLOOKUP(Tableau1[[#This Row],[SITES NAMES]],[1]Feuil1!$1:$1048576,10,FALSE)</f>
        <v>NO</v>
      </c>
      <c r="S523" s="6" t="s">
        <v>2461</v>
      </c>
      <c r="T523" s="6" t="s">
        <v>2462</v>
      </c>
      <c r="U523" s="6" t="s">
        <v>2463</v>
      </c>
      <c r="V523" s="6" t="s">
        <v>2478</v>
      </c>
      <c r="W523" s="6" t="s">
        <v>2476</v>
      </c>
      <c r="X523" s="8" t="s">
        <v>3023</v>
      </c>
      <c r="Y523" s="6" t="s">
        <v>3238</v>
      </c>
      <c r="Z523" s="6" t="s">
        <v>3265</v>
      </c>
      <c r="AA523" s="35" t="s">
        <v>3607</v>
      </c>
      <c r="AB523" s="35" t="s">
        <v>3608</v>
      </c>
      <c r="AC523" s="35" t="s">
        <v>3614</v>
      </c>
      <c r="AD523" s="35" t="s">
        <v>3610</v>
      </c>
      <c r="AE523" s="35" t="s">
        <v>3610</v>
      </c>
      <c r="AF523" s="35" t="s">
        <v>3611</v>
      </c>
      <c r="AG523" s="35" t="s">
        <v>3612</v>
      </c>
      <c r="AH523" s="35" t="s">
        <v>3615</v>
      </c>
    </row>
    <row r="524" spans="1:34" ht="14.45" hidden="1" customHeight="1" x14ac:dyDescent="0.25">
      <c r="A524" s="6" t="s">
        <v>1402</v>
      </c>
      <c r="B524" s="7">
        <v>46022</v>
      </c>
      <c r="C524" s="6" t="s">
        <v>1401</v>
      </c>
      <c r="D524" s="6" t="s">
        <v>66</v>
      </c>
      <c r="E524" s="6" t="s">
        <v>3231</v>
      </c>
      <c r="F524" s="6" t="s">
        <v>3229</v>
      </c>
      <c r="G524" s="8">
        <v>1.4216569999999999</v>
      </c>
      <c r="H524" s="8">
        <v>6.2084910000000004</v>
      </c>
      <c r="I524" s="6" t="e">
        <v>#N/A</v>
      </c>
      <c r="J524" s="6" t="s">
        <v>2459</v>
      </c>
      <c r="K524" s="6" t="s">
        <v>2460</v>
      </c>
      <c r="L524" s="6" t="s">
        <v>3446</v>
      </c>
      <c r="M524" s="6"/>
      <c r="N524" s="6" t="s">
        <v>3268</v>
      </c>
      <c r="O524" s="6" t="s">
        <v>7</v>
      </c>
      <c r="P524" s="6"/>
      <c r="Q524" s="6"/>
      <c r="R524" s="6"/>
      <c r="S524" s="6"/>
      <c r="T524" s="6"/>
      <c r="U524" s="6"/>
      <c r="V524" s="6"/>
      <c r="W524" s="6"/>
      <c r="X524" s="8">
        <v>70997345</v>
      </c>
      <c r="Y524" s="6" t="s">
        <v>3238</v>
      </c>
      <c r="Z524" s="6"/>
      <c r="AA524" s="35" t="s">
        <v>3621</v>
      </c>
      <c r="AB524" s="35" t="s">
        <v>3608</v>
      </c>
      <c r="AC524" s="35" t="s">
        <v>3622</v>
      </c>
      <c r="AD524" s="35" t="s">
        <v>3610</v>
      </c>
      <c r="AE524" s="35" t="s">
        <v>3610</v>
      </c>
      <c r="AF524" s="35" t="s">
        <v>3611</v>
      </c>
      <c r="AG524" s="35" t="s">
        <v>3612</v>
      </c>
      <c r="AH524" s="35" t="s">
        <v>3623</v>
      </c>
    </row>
    <row r="525" spans="1:34" ht="14.45" hidden="1" customHeight="1" x14ac:dyDescent="0.25">
      <c r="A525" s="6" t="s">
        <v>1330</v>
      </c>
      <c r="B525" s="7">
        <v>46022</v>
      </c>
      <c r="C525" s="6" t="s">
        <v>1329</v>
      </c>
      <c r="D525" s="6" t="s">
        <v>66</v>
      </c>
      <c r="E525" s="6" t="s">
        <v>3231</v>
      </c>
      <c r="F525" s="6" t="s">
        <v>3229</v>
      </c>
      <c r="G525" s="8">
        <v>1.4308479999999999</v>
      </c>
      <c r="H525" s="8">
        <v>6.1991430000000003</v>
      </c>
      <c r="I525" s="6" t="e">
        <v>#N/A</v>
      </c>
      <c r="J525" s="6" t="s">
        <v>2459</v>
      </c>
      <c r="K525" s="6" t="s">
        <v>2468</v>
      </c>
      <c r="L525" s="6"/>
      <c r="M525" s="6"/>
      <c r="N525" s="6" t="s">
        <v>2468</v>
      </c>
      <c r="O525" s="6" t="s">
        <v>47</v>
      </c>
      <c r="P525" s="6"/>
      <c r="Q525" s="6"/>
      <c r="R525" s="6"/>
      <c r="S525" s="6"/>
      <c r="T525" s="6"/>
      <c r="U525" s="6"/>
      <c r="V525" s="6"/>
      <c r="W525" s="6"/>
      <c r="X525" s="8"/>
      <c r="Y525" s="6" t="s">
        <v>3238</v>
      </c>
      <c r="Z525" s="6"/>
      <c r="AA525" s="35" t="s">
        <v>3621</v>
      </c>
      <c r="AB525" s="35" t="s">
        <v>3608</v>
      </c>
      <c r="AC525" s="35" t="s">
        <v>3622</v>
      </c>
      <c r="AD525" s="35" t="s">
        <v>3610</v>
      </c>
      <c r="AE525" s="35" t="s">
        <v>3610</v>
      </c>
      <c r="AF525" s="35" t="s">
        <v>3611</v>
      </c>
      <c r="AG525" s="35" t="s">
        <v>3612</v>
      </c>
      <c r="AH525" s="35" t="s">
        <v>3623</v>
      </c>
    </row>
    <row r="526" spans="1:34" ht="14.45" hidden="1" customHeight="1" x14ac:dyDescent="0.25">
      <c r="A526" s="6" t="s">
        <v>1538</v>
      </c>
      <c r="B526" s="7">
        <v>0</v>
      </c>
      <c r="C526" s="6" t="s">
        <v>1537</v>
      </c>
      <c r="D526" s="6" t="s">
        <v>66</v>
      </c>
      <c r="E526" s="6" t="s">
        <v>3233</v>
      </c>
      <c r="F526" s="6" t="s">
        <v>3229</v>
      </c>
      <c r="G526" s="8">
        <v>1.1857899999999999</v>
      </c>
      <c r="H526" s="8">
        <v>6.2185300000000003</v>
      </c>
      <c r="I526" s="6" t="s">
        <v>2497</v>
      </c>
      <c r="J526" s="6" t="s">
        <v>2459</v>
      </c>
      <c r="K526" s="6" t="s">
        <v>2460</v>
      </c>
      <c r="L526" s="6"/>
      <c r="M526" s="6"/>
      <c r="N526" s="6" t="s">
        <v>3268</v>
      </c>
      <c r="O526" s="6" t="s">
        <v>7</v>
      </c>
      <c r="P526" s="6" t="str">
        <f>VLOOKUP(Tableau1[[#This Row],[SITES NAMES]],[1]Feuil1!$1:$1048576,8,FALSE)</f>
        <v>OK</v>
      </c>
      <c r="Q526" s="6" t="str">
        <f>VLOOKUP(Tableau1[[#This Row],[SITES NAMES]],[1]Feuil1!$1:$1048576,9,FALSE)</f>
        <v>NO</v>
      </c>
      <c r="R526" s="6" t="str">
        <f>VLOOKUP(Tableau1[[#This Row],[SITES NAMES]],[1]Feuil1!$1:$1048576,10,FALSE)</f>
        <v>NO</v>
      </c>
      <c r="S526" s="6" t="s">
        <v>2469</v>
      </c>
      <c r="T526" s="6" t="s">
        <v>2470</v>
      </c>
      <c r="U526" s="6" t="s">
        <v>2480</v>
      </c>
      <c r="V526" s="6" t="s">
        <v>2478</v>
      </c>
      <c r="W526" s="6" t="s">
        <v>2476</v>
      </c>
      <c r="X526" s="8" t="s">
        <v>3248</v>
      </c>
      <c r="Y526" s="6" t="s">
        <v>3238</v>
      </c>
      <c r="Z526" s="6" t="s">
        <v>3264</v>
      </c>
      <c r="AA526" s="35" t="s">
        <v>3616</v>
      </c>
      <c r="AB526" s="35" t="s">
        <v>3608</v>
      </c>
      <c r="AC526" s="35" t="s">
        <v>3617</v>
      </c>
      <c r="AD526" s="35" t="s">
        <v>3610</v>
      </c>
      <c r="AE526" s="35" t="s">
        <v>3610</v>
      </c>
      <c r="AF526" s="35" t="s">
        <v>3611</v>
      </c>
      <c r="AG526" s="35" t="s">
        <v>3612</v>
      </c>
      <c r="AH526" s="35" t="s">
        <v>3618</v>
      </c>
    </row>
    <row r="527" spans="1:34" ht="14.45" hidden="1" customHeight="1" x14ac:dyDescent="0.25">
      <c r="A527" s="6" t="s">
        <v>1902</v>
      </c>
      <c r="B527" s="7">
        <v>0</v>
      </c>
      <c r="C527" s="6" t="s">
        <v>1901</v>
      </c>
      <c r="D527" s="6" t="s">
        <v>66</v>
      </c>
      <c r="E527" s="6" t="s">
        <v>3232</v>
      </c>
      <c r="F527" s="6" t="s">
        <v>3229</v>
      </c>
      <c r="G527" s="8">
        <v>1.2171749999999999</v>
      </c>
      <c r="H527" s="8">
        <v>6.154096</v>
      </c>
      <c r="I527" s="6" t="s">
        <v>2497</v>
      </c>
      <c r="J527" s="6" t="s">
        <v>2459</v>
      </c>
      <c r="K527" s="6" t="s">
        <v>2460</v>
      </c>
      <c r="L527" s="6"/>
      <c r="M527" s="6"/>
      <c r="N527" s="6" t="s">
        <v>3268</v>
      </c>
      <c r="O527" s="6" t="s">
        <v>1206</v>
      </c>
      <c r="P527" s="6"/>
      <c r="Q527" s="6" t="str">
        <f>VLOOKUP(Tableau1[[#This Row],[SITES NAMES]],[1]Feuil1!$1:$1048576,9,FALSE)</f>
        <v>YES</v>
      </c>
      <c r="R527" s="6" t="str">
        <f>VLOOKUP(Tableau1[[#This Row],[SITES NAMES]],[1]Feuil1!$1:$1048576,10,FALSE)</f>
        <v>NO</v>
      </c>
      <c r="S527" s="6" t="s">
        <v>2461</v>
      </c>
      <c r="T527" s="6" t="s">
        <v>2462</v>
      </c>
      <c r="U527" s="6" t="s">
        <v>2463</v>
      </c>
      <c r="V527" s="6" t="s">
        <v>2478</v>
      </c>
      <c r="W527" s="6" t="s">
        <v>2476</v>
      </c>
      <c r="X527" s="8"/>
      <c r="Y527" s="6" t="s">
        <v>3238</v>
      </c>
      <c r="Z527" s="6" t="s">
        <v>3262</v>
      </c>
      <c r="AA527" s="35" t="s">
        <v>3621</v>
      </c>
      <c r="AB527" s="35" t="s">
        <v>3608</v>
      </c>
      <c r="AC527" s="35" t="s">
        <v>3624</v>
      </c>
      <c r="AD527" s="35" t="s">
        <v>3610</v>
      </c>
      <c r="AE527" s="35" t="s">
        <v>3610</v>
      </c>
      <c r="AF527" s="35" t="s">
        <v>3611</v>
      </c>
      <c r="AG527" s="35" t="s">
        <v>3612</v>
      </c>
      <c r="AH527" s="35" t="s">
        <v>3625</v>
      </c>
    </row>
    <row r="528" spans="1:34" ht="14.45" hidden="1" customHeight="1" x14ac:dyDescent="0.25">
      <c r="A528" s="6" t="s">
        <v>1248</v>
      </c>
      <c r="B528" s="7">
        <v>0</v>
      </c>
      <c r="C528" s="6" t="s">
        <v>1247</v>
      </c>
      <c r="D528" s="6" t="s">
        <v>66</v>
      </c>
      <c r="E528" s="6" t="s">
        <v>1924</v>
      </c>
      <c r="F528" s="6" t="s">
        <v>3229</v>
      </c>
      <c r="G528" s="8">
        <v>1.20883333</v>
      </c>
      <c r="H528" s="8">
        <v>6.1612278290000004</v>
      </c>
      <c r="I528" s="6" t="s">
        <v>2497</v>
      </c>
      <c r="J528" s="6" t="s">
        <v>2459</v>
      </c>
      <c r="K528" s="6" t="s">
        <v>2460</v>
      </c>
      <c r="L528" s="6"/>
      <c r="M528" s="6"/>
      <c r="N528" s="6" t="s">
        <v>3268</v>
      </c>
      <c r="O528" s="6" t="s">
        <v>7</v>
      </c>
      <c r="P528" s="6" t="str">
        <f>VLOOKUP(Tableau1[[#This Row],[SITES NAMES]],[1]Feuil1!$1:$1048576,8,FALSE)</f>
        <v>OK</v>
      </c>
      <c r="Q528" s="6" t="str">
        <f>VLOOKUP(Tableau1[[#This Row],[SITES NAMES]],[1]Feuil1!$1:$1048576,9,FALSE)</f>
        <v>NO</v>
      </c>
      <c r="R528" s="6" t="str">
        <f>VLOOKUP(Tableau1[[#This Row],[SITES NAMES]],[1]Feuil1!$1:$1048576,10,FALSE)</f>
        <v>NO</v>
      </c>
      <c r="S528" s="6" t="s">
        <v>2469</v>
      </c>
      <c r="T528" s="6" t="s">
        <v>2470</v>
      </c>
      <c r="U528" s="6" t="s">
        <v>2471</v>
      </c>
      <c r="V528" s="6" t="s">
        <v>2464</v>
      </c>
      <c r="W528" s="6" t="s">
        <v>2476</v>
      </c>
      <c r="X528" s="8" t="s">
        <v>2909</v>
      </c>
      <c r="Y528" s="6" t="s">
        <v>3238</v>
      </c>
      <c r="Z528" s="6" t="s">
        <v>3261</v>
      </c>
      <c r="AA528" s="35" t="s">
        <v>3607</v>
      </c>
      <c r="AB528" s="35" t="s">
        <v>3608</v>
      </c>
      <c r="AC528" s="35" t="s">
        <v>3609</v>
      </c>
      <c r="AD528" s="35" t="s">
        <v>3610</v>
      </c>
      <c r="AE528" s="35" t="s">
        <v>3610</v>
      </c>
      <c r="AF528" s="35" t="s">
        <v>3611</v>
      </c>
      <c r="AG528" s="35" t="s">
        <v>3612</v>
      </c>
      <c r="AH528" s="35" t="s">
        <v>3613</v>
      </c>
    </row>
    <row r="529" spans="1:34" ht="14.45" hidden="1" customHeight="1" x14ac:dyDescent="0.3">
      <c r="A529" s="6" t="s">
        <v>26</v>
      </c>
      <c r="B529" s="7">
        <v>0</v>
      </c>
      <c r="C529" s="6" t="s">
        <v>25</v>
      </c>
      <c r="D529" s="6" t="s">
        <v>5</v>
      </c>
      <c r="E529" s="6" t="s">
        <v>6</v>
      </c>
      <c r="F529" s="6" t="s">
        <v>3229</v>
      </c>
      <c r="G529" s="8">
        <v>1.5323500000000001</v>
      </c>
      <c r="H529" s="8">
        <v>6.6716699999999998</v>
      </c>
      <c r="I529" s="6" t="s">
        <v>2486</v>
      </c>
      <c r="J529" s="6" t="s">
        <v>2459</v>
      </c>
      <c r="K529" s="6" t="s">
        <v>2460</v>
      </c>
      <c r="L529" s="6"/>
      <c r="M529" s="6"/>
      <c r="N529" s="6" t="s">
        <v>3268</v>
      </c>
      <c r="O529" s="6" t="s">
        <v>18</v>
      </c>
      <c r="P529" s="6" t="str">
        <f>VLOOKUP(Tableau1[[#This Row],[SITES NAMES]],[1]Feuil1!$1:$1048576,8,FALSE)</f>
        <v>NOK</v>
      </c>
      <c r="Q529" s="6" t="str">
        <f>VLOOKUP(Tableau1[[#This Row],[SITES NAMES]],[1]Feuil1!$1:$1048576,9,FALSE)</f>
        <v>NO</v>
      </c>
      <c r="R529" s="6" t="str">
        <f>VLOOKUP(Tableau1[[#This Row],[SITES NAMES]],[1]Feuil1!$1:$1048576,10,FALSE)</f>
        <v>NO</v>
      </c>
      <c r="S529" s="6" t="s">
        <v>2469</v>
      </c>
      <c r="T529" s="6" t="s">
        <v>2470</v>
      </c>
      <c r="U529" s="6" t="s">
        <v>2480</v>
      </c>
      <c r="V529" s="6" t="s">
        <v>2472</v>
      </c>
      <c r="W529" s="6" t="s">
        <v>2473</v>
      </c>
      <c r="X529" s="8" t="s">
        <v>2487</v>
      </c>
      <c r="Y529" s="6" t="s">
        <v>3241</v>
      </c>
      <c r="Z529" t="e">
        <f>VLOOKUP(Tableau1[[#This Row],[SITES NAMES]],#REF!,3,FALSE)</f>
        <v>#REF!</v>
      </c>
      <c r="AA529" s="37" t="s">
        <v>3626</v>
      </c>
      <c r="AB529" s="38" t="s">
        <v>3627</v>
      </c>
      <c r="AC529" s="37" t="s">
        <v>3633</v>
      </c>
      <c r="AD529" s="37" t="s">
        <v>3628</v>
      </c>
      <c r="AE529" s="37" t="s">
        <v>3629</v>
      </c>
      <c r="AF529" s="39" t="s">
        <v>3630</v>
      </c>
      <c r="AG529" s="37" t="s">
        <v>3631</v>
      </c>
      <c r="AH529" s="37" t="s">
        <v>3632</v>
      </c>
    </row>
    <row r="530" spans="1:34" ht="14.45" hidden="1" customHeight="1" x14ac:dyDescent="0.3">
      <c r="A530" s="6" t="s">
        <v>85</v>
      </c>
      <c r="B530" s="7">
        <v>43873</v>
      </c>
      <c r="C530" s="6" t="s">
        <v>84</v>
      </c>
      <c r="D530" s="6" t="s">
        <v>5</v>
      </c>
      <c r="E530" s="6" t="s">
        <v>6</v>
      </c>
      <c r="F530" s="6" t="s">
        <v>3229</v>
      </c>
      <c r="G530" s="8">
        <v>1.4804900000000001</v>
      </c>
      <c r="H530" s="8">
        <v>6.6836700000000002</v>
      </c>
      <c r="I530" s="6" t="s">
        <v>2477</v>
      </c>
      <c r="J530" s="6" t="s">
        <v>2459</v>
      </c>
      <c r="K530" s="6" t="s">
        <v>2468</v>
      </c>
      <c r="L530" s="6" t="s">
        <v>3447</v>
      </c>
      <c r="M530" s="6"/>
      <c r="N530" s="6" t="s">
        <v>2468</v>
      </c>
      <c r="O530" s="6" t="s">
        <v>7</v>
      </c>
      <c r="P530" s="6" t="str">
        <f>VLOOKUP(Tableau1[[#This Row],[SITES NAMES]],[1]Feuil1!$1:$1048576,8,FALSE)</f>
        <v>OK</v>
      </c>
      <c r="Q530" s="6" t="str">
        <f>VLOOKUP(Tableau1[[#This Row],[SITES NAMES]],[1]Feuil1!$1:$1048576,9,FALSE)</f>
        <v>NO</v>
      </c>
      <c r="R530" s="6" t="str">
        <f>VLOOKUP(Tableau1[[#This Row],[SITES NAMES]],[1]Feuil1!$1:$1048576,10,FALSE)</f>
        <v>NO</v>
      </c>
      <c r="S530" s="6" t="s">
        <v>2469</v>
      </c>
      <c r="T530" s="6" t="s">
        <v>2470</v>
      </c>
      <c r="U530" s="6" t="s">
        <v>2480</v>
      </c>
      <c r="V530" s="6" t="s">
        <v>2472</v>
      </c>
      <c r="W530" s="6" t="s">
        <v>2473</v>
      </c>
      <c r="X530" s="8" t="s">
        <v>2505</v>
      </c>
      <c r="Y530" s="6" t="s">
        <v>3241</v>
      </c>
      <c r="Z530" s="6"/>
      <c r="AA530" s="37" t="s">
        <v>3626</v>
      </c>
      <c r="AB530" s="38" t="s">
        <v>3627</v>
      </c>
      <c r="AC530" s="37" t="s">
        <v>3633</v>
      </c>
      <c r="AD530" s="37" t="s">
        <v>3628</v>
      </c>
      <c r="AE530" s="37" t="s">
        <v>3629</v>
      </c>
      <c r="AF530" s="39" t="s">
        <v>3630</v>
      </c>
      <c r="AG530" s="37" t="s">
        <v>3631</v>
      </c>
      <c r="AH530" s="37" t="s">
        <v>3632</v>
      </c>
    </row>
    <row r="531" spans="1:34" ht="14.45" hidden="1" customHeight="1" x14ac:dyDescent="0.3">
      <c r="A531" s="6" t="s">
        <v>2091</v>
      </c>
      <c r="B531" s="7">
        <v>43799</v>
      </c>
      <c r="C531" s="6" t="s">
        <v>2090</v>
      </c>
      <c r="D531" s="6" t="s">
        <v>132</v>
      </c>
      <c r="E531" s="6" t="s">
        <v>2049</v>
      </c>
      <c r="F531" s="6" t="s">
        <v>3229</v>
      </c>
      <c r="G531" s="8">
        <v>1.5306</v>
      </c>
      <c r="H531" s="8">
        <v>6.9395020000000001</v>
      </c>
      <c r="I531" s="6" t="s">
        <v>2477</v>
      </c>
      <c r="J531" s="6" t="s">
        <v>2459</v>
      </c>
      <c r="K531" s="6" t="s">
        <v>2468</v>
      </c>
      <c r="L531" s="6" t="s">
        <v>2130</v>
      </c>
      <c r="M531" s="6"/>
      <c r="N531" s="6" t="s">
        <v>2468</v>
      </c>
      <c r="O531" s="6" t="s">
        <v>40</v>
      </c>
      <c r="P531" s="6" t="str">
        <f>VLOOKUP(Tableau1[[#This Row],[SITES NAMES]],[1]Feuil1!$1:$1048576,8,FALSE)</f>
        <v>OK</v>
      </c>
      <c r="Q531" s="6" t="str">
        <f>VLOOKUP(Tableau1[[#This Row],[SITES NAMES]],[1]Feuil1!$1:$1048576,9,FALSE)</f>
        <v>NO</v>
      </c>
      <c r="R531" s="6" t="str">
        <f>VLOOKUP(Tableau1[[#This Row],[SITES NAMES]],[1]Feuil1!$1:$1048576,10,FALSE)</f>
        <v>NO</v>
      </c>
      <c r="S531" s="6" t="s">
        <v>2469</v>
      </c>
      <c r="T531" s="6" t="s">
        <v>2470</v>
      </c>
      <c r="U531" s="6" t="s">
        <v>2480</v>
      </c>
      <c r="V531" s="6" t="s">
        <v>2472</v>
      </c>
      <c r="W531" s="6" t="s">
        <v>2473</v>
      </c>
      <c r="X531" s="8">
        <v>70996816</v>
      </c>
      <c r="Y531" s="6" t="s">
        <v>3238</v>
      </c>
      <c r="Z531" s="6" t="s">
        <v>3257</v>
      </c>
      <c r="AA531" s="45" t="s">
        <v>3656</v>
      </c>
      <c r="AB531" s="39" t="s">
        <v>3644</v>
      </c>
      <c r="AC531" s="45" t="s">
        <v>3657</v>
      </c>
      <c r="AD531" s="37" t="s">
        <v>3658</v>
      </c>
      <c r="AE531" s="37" t="s">
        <v>3647</v>
      </c>
      <c r="AF531" s="39" t="s">
        <v>3648</v>
      </c>
      <c r="AG531" s="37" t="s">
        <v>3649</v>
      </c>
      <c r="AH531" s="37" t="s">
        <v>3659</v>
      </c>
    </row>
    <row r="532" spans="1:34" ht="15.75" hidden="1" x14ac:dyDescent="0.3">
      <c r="A532" s="6" t="s">
        <v>210</v>
      </c>
      <c r="B532" s="7">
        <v>0</v>
      </c>
      <c r="C532" s="6" t="s">
        <v>209</v>
      </c>
      <c r="D532" s="6" t="s">
        <v>132</v>
      </c>
      <c r="E532" s="6" t="s">
        <v>133</v>
      </c>
      <c r="F532" s="6" t="s">
        <v>3229</v>
      </c>
      <c r="G532" s="8">
        <v>1.1585350000000001</v>
      </c>
      <c r="H532" s="8">
        <v>7.3124390000000004</v>
      </c>
      <c r="I532" s="6" t="s">
        <v>2497</v>
      </c>
      <c r="J532" s="6" t="s">
        <v>2459</v>
      </c>
      <c r="K532" s="6" t="s">
        <v>2460</v>
      </c>
      <c r="L532" s="6"/>
      <c r="M532" s="6"/>
      <c r="N532" s="21" t="s">
        <v>3269</v>
      </c>
      <c r="O532" s="6" t="s">
        <v>7</v>
      </c>
      <c r="P532" s="6" t="str">
        <f>VLOOKUP(Tableau1[[#This Row],[SITES NAMES]],[1]Feuil1!$1:$1048576,8,FALSE)</f>
        <v>OK</v>
      </c>
      <c r="Q532" s="6" t="str">
        <f>VLOOKUP(Tableau1[[#This Row],[SITES NAMES]],[1]Feuil1!$1:$1048576,9,FALSE)</f>
        <v>NO</v>
      </c>
      <c r="R532" s="6" t="str">
        <f>VLOOKUP(Tableau1[[#This Row],[SITES NAMES]],[1]Feuil1!$1:$1048576,10,FALSE)</f>
        <v>YES</v>
      </c>
      <c r="S532" s="6" t="s">
        <v>2469</v>
      </c>
      <c r="T532" s="6" t="s">
        <v>2470</v>
      </c>
      <c r="U532" s="6" t="s">
        <v>2480</v>
      </c>
      <c r="V532" s="6" t="s">
        <v>2478</v>
      </c>
      <c r="W532" s="6" t="s">
        <v>2465</v>
      </c>
      <c r="X532" s="8" t="s">
        <v>2548</v>
      </c>
      <c r="Y532" s="6" t="s">
        <v>3238</v>
      </c>
      <c r="Z532" s="6" t="s">
        <v>3258</v>
      </c>
      <c r="AA532" s="37" t="s">
        <v>3643</v>
      </c>
      <c r="AB532" s="39" t="s">
        <v>3644</v>
      </c>
      <c r="AC532" s="37" t="s">
        <v>3645</v>
      </c>
      <c r="AD532" s="39" t="s">
        <v>3646</v>
      </c>
      <c r="AE532" s="39" t="s">
        <v>3647</v>
      </c>
      <c r="AF532" s="39" t="s">
        <v>3648</v>
      </c>
      <c r="AG532" s="37" t="s">
        <v>3649</v>
      </c>
      <c r="AH532" s="37" t="s">
        <v>3650</v>
      </c>
    </row>
    <row r="533" spans="1:34" ht="14.45" hidden="1" customHeight="1" x14ac:dyDescent="0.3">
      <c r="A533" s="6" t="s">
        <v>248</v>
      </c>
      <c r="B533" s="7">
        <v>46022</v>
      </c>
      <c r="C533" s="6" t="s">
        <v>247</v>
      </c>
      <c r="D533" s="6" t="s">
        <v>132</v>
      </c>
      <c r="E533" s="6" t="s">
        <v>133</v>
      </c>
      <c r="F533" s="6" t="s">
        <v>3229</v>
      </c>
      <c r="G533" s="8">
        <v>1.1696580000000001</v>
      </c>
      <c r="H533" s="8">
        <v>7.3314079999999997</v>
      </c>
      <c r="I533" s="6" t="e">
        <v>#N/A</v>
      </c>
      <c r="J533" s="6" t="s">
        <v>2459</v>
      </c>
      <c r="K533" s="6" t="s">
        <v>2460</v>
      </c>
      <c r="L533" s="6"/>
      <c r="M533" s="6"/>
      <c r="N533" s="6" t="s">
        <v>3268</v>
      </c>
      <c r="O533" s="6" t="s">
        <v>7</v>
      </c>
      <c r="P533" s="6"/>
      <c r="Q533" s="6"/>
      <c r="R533" s="6"/>
      <c r="S533" s="6"/>
      <c r="T533" s="6"/>
      <c r="U533" s="6"/>
      <c r="V533" s="6"/>
      <c r="W533" s="6"/>
      <c r="X533" s="8"/>
      <c r="Y533" s="6" t="s">
        <v>3238</v>
      </c>
      <c r="Z533" s="6" t="s">
        <v>3258</v>
      </c>
      <c r="AA533" s="37" t="s">
        <v>3643</v>
      </c>
      <c r="AB533" s="39" t="s">
        <v>3644</v>
      </c>
      <c r="AC533" s="37" t="s">
        <v>3645</v>
      </c>
      <c r="AD533" s="39" t="s">
        <v>3646</v>
      </c>
      <c r="AE533" s="39" t="s">
        <v>3647</v>
      </c>
      <c r="AF533" s="39" t="s">
        <v>3648</v>
      </c>
      <c r="AG533" s="37" t="s">
        <v>3649</v>
      </c>
      <c r="AH533" s="37" t="s">
        <v>3650</v>
      </c>
    </row>
    <row r="534" spans="1:34" ht="14.45" hidden="1" customHeight="1" x14ac:dyDescent="0.3">
      <c r="A534" s="6" t="s">
        <v>212</v>
      </c>
      <c r="B534" s="7">
        <v>44837</v>
      </c>
      <c r="C534" s="6" t="s">
        <v>211</v>
      </c>
      <c r="D534" s="6" t="s">
        <v>132</v>
      </c>
      <c r="E534" s="6" t="s">
        <v>133</v>
      </c>
      <c r="F534" s="6" t="s">
        <v>3229</v>
      </c>
      <c r="G534" s="8">
        <v>1.06675004959106</v>
      </c>
      <c r="H534" s="8">
        <v>7.4507699012756303</v>
      </c>
      <c r="I534" s="6" t="s">
        <v>2477</v>
      </c>
      <c r="J534" s="6" t="s">
        <v>2459</v>
      </c>
      <c r="K534" s="6" t="s">
        <v>2468</v>
      </c>
      <c r="L534" s="6" t="s">
        <v>3448</v>
      </c>
      <c r="M534" s="6"/>
      <c r="N534" s="6" t="s">
        <v>2468</v>
      </c>
      <c r="O534" s="6" t="s">
        <v>7</v>
      </c>
      <c r="P534" s="6" t="str">
        <f>VLOOKUP(Tableau1[[#This Row],[SITES NAMES]],[1]Feuil1!$1:$1048576,8,FALSE)</f>
        <v>OK</v>
      </c>
      <c r="Q534" s="6" t="str">
        <f>VLOOKUP(Tableau1[[#This Row],[SITES NAMES]],[1]Feuil1!$1:$1048576,9,FALSE)</f>
        <v>NO</v>
      </c>
      <c r="R534" s="6" t="str">
        <f>VLOOKUP(Tableau1[[#This Row],[SITES NAMES]],[1]Feuil1!$1:$1048576,10,FALSE)</f>
        <v>YES</v>
      </c>
      <c r="S534" s="6" t="s">
        <v>2469</v>
      </c>
      <c r="T534" s="6" t="s">
        <v>2470</v>
      </c>
      <c r="U534" s="6" t="s">
        <v>2480</v>
      </c>
      <c r="V534" s="6" t="s">
        <v>2472</v>
      </c>
      <c r="W534" s="6" t="s">
        <v>2473</v>
      </c>
      <c r="X534" s="8" t="s">
        <v>2549</v>
      </c>
      <c r="Y534" s="6" t="s">
        <v>3238</v>
      </c>
      <c r="Z534" s="6" t="s">
        <v>3258</v>
      </c>
      <c r="AA534" s="37" t="s">
        <v>3643</v>
      </c>
      <c r="AB534" s="39" t="s">
        <v>3644</v>
      </c>
      <c r="AC534" s="37" t="s">
        <v>3645</v>
      </c>
      <c r="AD534" s="39" t="s">
        <v>3646</v>
      </c>
      <c r="AE534" s="39" t="s">
        <v>3647</v>
      </c>
      <c r="AF534" s="39" t="s">
        <v>3648</v>
      </c>
      <c r="AG534" s="37" t="s">
        <v>3649</v>
      </c>
      <c r="AH534" s="37" t="s">
        <v>3650</v>
      </c>
    </row>
    <row r="535" spans="1:34" ht="14.45" hidden="1" customHeight="1" x14ac:dyDescent="0.3">
      <c r="A535" s="6" t="s">
        <v>87</v>
      </c>
      <c r="B535" s="7">
        <v>44790</v>
      </c>
      <c r="C535" s="6" t="s">
        <v>86</v>
      </c>
      <c r="D535" s="6" t="s">
        <v>5</v>
      </c>
      <c r="E535" s="6" t="s">
        <v>6</v>
      </c>
      <c r="F535" s="6" t="s">
        <v>3229</v>
      </c>
      <c r="G535" s="8">
        <v>1.586827</v>
      </c>
      <c r="H535" s="8">
        <v>6.2599619999999998</v>
      </c>
      <c r="I535" s="6" t="s">
        <v>2479</v>
      </c>
      <c r="J535" s="6" t="s">
        <v>2459</v>
      </c>
      <c r="K535" s="6" t="s">
        <v>2468</v>
      </c>
      <c r="L535" s="6" t="s">
        <v>3449</v>
      </c>
      <c r="M535" s="6"/>
      <c r="N535" s="6" t="s">
        <v>2468</v>
      </c>
      <c r="O535" s="6" t="s">
        <v>7</v>
      </c>
      <c r="P535" s="6" t="str">
        <f>VLOOKUP(Tableau1[[#This Row],[SITES NAMES]],[1]Feuil1!$1:$1048576,8,FALSE)</f>
        <v>OK</v>
      </c>
      <c r="Q535" s="6" t="str">
        <f>VLOOKUP(Tableau1[[#This Row],[SITES NAMES]],[1]Feuil1!$1:$1048576,9,FALSE)</f>
        <v>NO</v>
      </c>
      <c r="R535" s="6" t="str">
        <f>VLOOKUP(Tableau1[[#This Row],[SITES NAMES]],[1]Feuil1!$1:$1048576,10,FALSE)</f>
        <v>YES</v>
      </c>
      <c r="S535" s="6" t="s">
        <v>2461</v>
      </c>
      <c r="T535" s="6" t="s">
        <v>2462</v>
      </c>
      <c r="U535" s="6" t="s">
        <v>2463</v>
      </c>
      <c r="V535" s="6" t="s">
        <v>2472</v>
      </c>
      <c r="W535" s="6" t="s">
        <v>2465</v>
      </c>
      <c r="X535" s="8"/>
      <c r="Y535" s="6" t="s">
        <v>3241</v>
      </c>
      <c r="Z535" s="6"/>
      <c r="AA535" s="37" t="s">
        <v>3626</v>
      </c>
      <c r="AB535" s="38" t="s">
        <v>3627</v>
      </c>
      <c r="AC535" s="37" t="s">
        <v>3633</v>
      </c>
      <c r="AD535" s="37" t="s">
        <v>3628</v>
      </c>
      <c r="AE535" s="37" t="s">
        <v>3629</v>
      </c>
      <c r="AF535" s="39" t="s">
        <v>3630</v>
      </c>
      <c r="AG535" s="37" t="s">
        <v>3631</v>
      </c>
      <c r="AH535" s="37" t="s">
        <v>3632</v>
      </c>
    </row>
    <row r="536" spans="1:34" ht="14.45" hidden="1" customHeight="1" x14ac:dyDescent="0.3">
      <c r="A536" s="6" t="s">
        <v>214</v>
      </c>
      <c r="B536" s="7">
        <v>0</v>
      </c>
      <c r="C536" s="6" t="s">
        <v>213</v>
      </c>
      <c r="D536" s="6" t="s">
        <v>132</v>
      </c>
      <c r="E536" s="6" t="s">
        <v>133</v>
      </c>
      <c r="F536" s="6" t="s">
        <v>3229</v>
      </c>
      <c r="G536" s="8">
        <v>1.52294</v>
      </c>
      <c r="H536" s="8">
        <v>7.5940300000000001</v>
      </c>
      <c r="I536" s="6" t="s">
        <v>2477</v>
      </c>
      <c r="J536" s="6" t="s">
        <v>2459</v>
      </c>
      <c r="K536" s="6" t="s">
        <v>2460</v>
      </c>
      <c r="L536" s="6" t="s">
        <v>3450</v>
      </c>
      <c r="M536" s="6"/>
      <c r="N536" s="6" t="s">
        <v>3268</v>
      </c>
      <c r="O536" s="6" t="s">
        <v>40</v>
      </c>
      <c r="P536" s="6" t="str">
        <f>VLOOKUP(Tableau1[[#This Row],[SITES NAMES]],[1]Feuil1!$1:$1048576,8,FALSE)</f>
        <v>OK</v>
      </c>
      <c r="Q536" s="6" t="str">
        <f>VLOOKUP(Tableau1[[#This Row],[SITES NAMES]],[1]Feuil1!$1:$1048576,9,FALSE)</f>
        <v>NO</v>
      </c>
      <c r="R536" s="6" t="str">
        <f>VLOOKUP(Tableau1[[#This Row],[SITES NAMES]],[1]Feuil1!$1:$1048576,10,FALSE)</f>
        <v>NO</v>
      </c>
      <c r="S536" s="6" t="s">
        <v>2469</v>
      </c>
      <c r="T536" s="6" t="s">
        <v>2470</v>
      </c>
      <c r="U536" s="6" t="s">
        <v>2480</v>
      </c>
      <c r="V536" s="6" t="s">
        <v>2472</v>
      </c>
      <c r="W536" s="6" t="s">
        <v>2473</v>
      </c>
      <c r="X536" s="8" t="s">
        <v>2550</v>
      </c>
      <c r="Y536" s="6" t="s">
        <v>3238</v>
      </c>
      <c r="Z536" s="6" t="s">
        <v>3258</v>
      </c>
      <c r="AA536" s="37" t="s">
        <v>3643</v>
      </c>
      <c r="AB536" s="39" t="s">
        <v>3644</v>
      </c>
      <c r="AC536" s="37" t="s">
        <v>3645</v>
      </c>
      <c r="AD536" s="39" t="s">
        <v>3646</v>
      </c>
      <c r="AE536" s="39" t="s">
        <v>3647</v>
      </c>
      <c r="AF536" s="39" t="s">
        <v>3648</v>
      </c>
      <c r="AG536" s="37" t="s">
        <v>3649</v>
      </c>
      <c r="AH536" s="37" t="s">
        <v>3650</v>
      </c>
    </row>
    <row r="537" spans="1:34" ht="14.45" hidden="1" customHeight="1" x14ac:dyDescent="0.3">
      <c r="A537" s="6" t="s">
        <v>628</v>
      </c>
      <c r="B537" s="7">
        <v>0</v>
      </c>
      <c r="C537" s="6" t="s">
        <v>627</v>
      </c>
      <c r="D537" s="6" t="s">
        <v>132</v>
      </c>
      <c r="E537" s="6" t="s">
        <v>565</v>
      </c>
      <c r="F537" s="6" t="s">
        <v>3229</v>
      </c>
      <c r="G537" s="8">
        <v>1.2004999999999999</v>
      </c>
      <c r="H537" s="8">
        <v>7.9928800000000004</v>
      </c>
      <c r="I537" s="6" t="s">
        <v>2525</v>
      </c>
      <c r="J537" s="6" t="s">
        <v>2459</v>
      </c>
      <c r="K537" s="6" t="s">
        <v>2460</v>
      </c>
      <c r="L537" s="6"/>
      <c r="M537" s="6"/>
      <c r="N537" s="6" t="s">
        <v>3268</v>
      </c>
      <c r="O537" s="6" t="s">
        <v>40</v>
      </c>
      <c r="P537" s="6" t="str">
        <f>VLOOKUP(Tableau1[[#This Row],[SITES NAMES]],[1]Feuil1!$1:$1048576,8,FALSE)</f>
        <v>OK</v>
      </c>
      <c r="Q537" s="6" t="str">
        <f>VLOOKUP(Tableau1[[#This Row],[SITES NAMES]],[1]Feuil1!$1:$1048576,9,FALSE)</f>
        <v>NO</v>
      </c>
      <c r="R537" s="6" t="str">
        <f>VLOOKUP(Tableau1[[#This Row],[SITES NAMES]],[1]Feuil1!$1:$1048576,10,FALSE)</f>
        <v>NO</v>
      </c>
      <c r="S537" s="6" t="s">
        <v>2469</v>
      </c>
      <c r="T537" s="6" t="s">
        <v>2470</v>
      </c>
      <c r="U537" s="6" t="s">
        <v>2480</v>
      </c>
      <c r="V537" s="6" t="s">
        <v>2464</v>
      </c>
      <c r="W537" s="6" t="s">
        <v>2473</v>
      </c>
      <c r="X537" s="8" t="s">
        <v>2703</v>
      </c>
      <c r="Y537" s="6" t="s">
        <v>3238</v>
      </c>
      <c r="Z537" s="6" t="s">
        <v>3254</v>
      </c>
      <c r="AA537" s="37" t="s">
        <v>3660</v>
      </c>
      <c r="AB537" s="39" t="s">
        <v>3644</v>
      </c>
      <c r="AC537" s="37" t="s">
        <v>3661</v>
      </c>
      <c r="AD537" s="39" t="s">
        <v>3646</v>
      </c>
      <c r="AE537" s="39" t="s">
        <v>3647</v>
      </c>
      <c r="AF537" s="39" t="s">
        <v>3662</v>
      </c>
      <c r="AG537" s="37" t="s">
        <v>3649</v>
      </c>
      <c r="AH537" s="37" t="s">
        <v>3663</v>
      </c>
    </row>
    <row r="538" spans="1:34" ht="14.45" hidden="1" customHeight="1" x14ac:dyDescent="0.3">
      <c r="A538" s="6" t="s">
        <v>841</v>
      </c>
      <c r="B538" s="7">
        <v>45029</v>
      </c>
      <c r="C538" s="6" t="s">
        <v>840</v>
      </c>
      <c r="D538" s="6" t="s">
        <v>657</v>
      </c>
      <c r="E538" s="6" t="s">
        <v>3237</v>
      </c>
      <c r="F538" s="6" t="s">
        <v>3229</v>
      </c>
      <c r="G538" s="8">
        <v>1.2124170000000001</v>
      </c>
      <c r="H538" s="8">
        <v>9.5950830000000007</v>
      </c>
      <c r="I538" s="6" t="s">
        <v>2479</v>
      </c>
      <c r="J538" s="6" t="s">
        <v>2459</v>
      </c>
      <c r="K538" s="6" t="s">
        <v>2468</v>
      </c>
      <c r="L538" s="6" t="s">
        <v>3451</v>
      </c>
      <c r="M538" s="6"/>
      <c r="N538" s="6" t="s">
        <v>2468</v>
      </c>
      <c r="O538" s="6" t="s">
        <v>40</v>
      </c>
      <c r="P538" s="6" t="str">
        <f>VLOOKUP(Tableau1[[#This Row],[SITES NAMES]],[1]Feuil1!$1:$1048576,8,FALSE)</f>
        <v>OK</v>
      </c>
      <c r="Q538" s="6" t="str">
        <f>VLOOKUP(Tableau1[[#This Row],[SITES NAMES]],[1]Feuil1!$1:$1048576,9,FALSE)</f>
        <v>NO</v>
      </c>
      <c r="R538" s="6" t="str">
        <f>VLOOKUP(Tableau1[[#This Row],[SITES NAMES]],[1]Feuil1!$1:$1048576,10,FALSE)</f>
        <v>YES</v>
      </c>
      <c r="S538" s="6" t="s">
        <v>2469</v>
      </c>
      <c r="T538" s="6" t="s">
        <v>2470</v>
      </c>
      <c r="U538" s="6" t="s">
        <v>2480</v>
      </c>
      <c r="V538" s="6" t="s">
        <v>2464</v>
      </c>
      <c r="W538" s="6" t="s">
        <v>2473</v>
      </c>
      <c r="X538" s="8">
        <v>70997293</v>
      </c>
      <c r="Y538" s="6" t="s">
        <v>3239</v>
      </c>
      <c r="Z538" s="6" t="s">
        <v>3253</v>
      </c>
      <c r="AA538" s="37" t="s">
        <v>3692</v>
      </c>
      <c r="AB538" s="38" t="s">
        <v>3683</v>
      </c>
      <c r="AC538" s="39" t="s">
        <v>3693</v>
      </c>
      <c r="AD538" s="39" t="s">
        <v>3694</v>
      </c>
      <c r="AE538" s="37" t="s">
        <v>3695</v>
      </c>
      <c r="AF538" s="39" t="s">
        <v>3696</v>
      </c>
      <c r="AG538" s="40" t="s">
        <v>3685</v>
      </c>
      <c r="AH538" s="37" t="s">
        <v>3697</v>
      </c>
    </row>
    <row r="539" spans="1:34" ht="14.45" hidden="1" customHeight="1" x14ac:dyDescent="0.25">
      <c r="A539" s="6" t="s">
        <v>1662</v>
      </c>
      <c r="B539" s="7">
        <v>0</v>
      </c>
      <c r="C539" s="6" t="s">
        <v>1661</v>
      </c>
      <c r="D539" s="6" t="s">
        <v>66</v>
      </c>
      <c r="E539" s="6" t="s">
        <v>3236</v>
      </c>
      <c r="F539" s="6" t="s">
        <v>3229</v>
      </c>
      <c r="G539" s="8">
        <v>1.2063299999999999</v>
      </c>
      <c r="H539" s="8">
        <v>6.241790924</v>
      </c>
      <c r="I539" s="6" t="s">
        <v>2497</v>
      </c>
      <c r="J539" s="6" t="s">
        <v>2459</v>
      </c>
      <c r="K539" s="6" t="s">
        <v>2460</v>
      </c>
      <c r="L539" s="6"/>
      <c r="M539" s="6"/>
      <c r="N539" s="6" t="s">
        <v>3268</v>
      </c>
      <c r="O539" s="6" t="s">
        <v>7</v>
      </c>
      <c r="P539" s="6" t="str">
        <f>VLOOKUP(Tableau1[[#This Row],[SITES NAMES]],[1]Feuil1!$1:$1048576,8,FALSE)</f>
        <v>OK</v>
      </c>
      <c r="Q539" s="6" t="str">
        <f>VLOOKUP(Tableau1[[#This Row],[SITES NAMES]],[1]Feuil1!$1:$1048576,9,FALSE)</f>
        <v>NO</v>
      </c>
      <c r="R539" s="6" t="str">
        <f>VLOOKUP(Tableau1[[#This Row],[SITES NAMES]],[1]Feuil1!$1:$1048576,10,FALSE)</f>
        <v>NO</v>
      </c>
      <c r="S539" s="6" t="s">
        <v>2469</v>
      </c>
      <c r="T539" s="6" t="s">
        <v>2470</v>
      </c>
      <c r="U539" s="6" t="s">
        <v>2471</v>
      </c>
      <c r="V539" s="6" t="s">
        <v>2478</v>
      </c>
      <c r="W539" s="6" t="s">
        <v>2476</v>
      </c>
      <c r="X539" s="8" t="s">
        <v>2999</v>
      </c>
      <c r="Y539" s="6" t="s">
        <v>3238</v>
      </c>
      <c r="Z539" s="6" t="s">
        <v>3263</v>
      </c>
      <c r="AA539" s="35" t="s">
        <v>3616</v>
      </c>
      <c r="AB539" s="35" t="s">
        <v>3608</v>
      </c>
      <c r="AC539" s="35" t="s">
        <v>3619</v>
      </c>
      <c r="AD539" s="35" t="s">
        <v>3610</v>
      </c>
      <c r="AE539" s="35" t="s">
        <v>3610</v>
      </c>
      <c r="AF539" s="35" t="s">
        <v>3611</v>
      </c>
      <c r="AG539" s="35" t="s">
        <v>3612</v>
      </c>
      <c r="AH539" s="35" t="s">
        <v>3620</v>
      </c>
    </row>
    <row r="540" spans="1:34" ht="14.45" hidden="1" customHeight="1" x14ac:dyDescent="0.3">
      <c r="A540" s="6" t="s">
        <v>2308</v>
      </c>
      <c r="B540" s="7">
        <v>0</v>
      </c>
      <c r="C540" s="6" t="s">
        <v>2307</v>
      </c>
      <c r="D540" s="6" t="s">
        <v>320</v>
      </c>
      <c r="E540" s="6" t="s">
        <v>2274</v>
      </c>
      <c r="F540" s="6" t="s">
        <v>3229</v>
      </c>
      <c r="G540" s="8">
        <v>1.46085</v>
      </c>
      <c r="H540" s="8">
        <v>8.6513799999999996</v>
      </c>
      <c r="I540" s="6" t="s">
        <v>2486</v>
      </c>
      <c r="J540" s="6" t="s">
        <v>2459</v>
      </c>
      <c r="K540" s="6" t="s">
        <v>2460</v>
      </c>
      <c r="L540" s="6"/>
      <c r="M540" s="6"/>
      <c r="N540" s="6" t="s">
        <v>3268</v>
      </c>
      <c r="O540" s="6" t="s">
        <v>18</v>
      </c>
      <c r="P540" s="6" t="str">
        <f>VLOOKUP(Tableau1[[#This Row],[SITES NAMES]],[1]Feuil1!$1:$1048576,8,FALSE)</f>
        <v>NOK</v>
      </c>
      <c r="Q540" s="6" t="str">
        <f>VLOOKUP(Tableau1[[#This Row],[SITES NAMES]],[1]Feuil1!$1:$1048576,9,FALSE)</f>
        <v>NO</v>
      </c>
      <c r="R540" s="6" t="str">
        <f>VLOOKUP(Tableau1[[#This Row],[SITES NAMES]],[1]Feuil1!$1:$1048576,10,FALSE)</f>
        <v>NO</v>
      </c>
      <c r="S540" s="6" t="s">
        <v>2461</v>
      </c>
      <c r="T540" s="6" t="s">
        <v>2462</v>
      </c>
      <c r="U540" s="6" t="s">
        <v>2463</v>
      </c>
      <c r="V540" s="6" t="s">
        <v>2472</v>
      </c>
      <c r="W540" s="6" t="s">
        <v>2473</v>
      </c>
      <c r="X540" s="8" t="s">
        <v>3191</v>
      </c>
      <c r="Y540" s="6" t="s">
        <v>3238</v>
      </c>
      <c r="Z540" s="6" t="s">
        <v>3254</v>
      </c>
      <c r="AA540" s="37" t="s">
        <v>3678</v>
      </c>
      <c r="AB540" s="39" t="s">
        <v>3665</v>
      </c>
      <c r="AC540" s="37" t="s">
        <v>3679</v>
      </c>
      <c r="AD540" s="37" t="s">
        <v>3678</v>
      </c>
      <c r="AE540" s="37" t="s">
        <v>3680</v>
      </c>
      <c r="AF540" s="39" t="s">
        <v>3676</v>
      </c>
      <c r="AG540" s="37" t="s">
        <v>3670</v>
      </c>
      <c r="AH540" s="37" t="s">
        <v>3681</v>
      </c>
    </row>
    <row r="541" spans="1:34" ht="14.45" hidden="1" customHeight="1" x14ac:dyDescent="0.3">
      <c r="A541" s="6" t="s">
        <v>1074</v>
      </c>
      <c r="B541" s="7">
        <v>0</v>
      </c>
      <c r="C541" s="6" t="s">
        <v>1073</v>
      </c>
      <c r="D541" s="6" t="s">
        <v>5</v>
      </c>
      <c r="E541" s="6" t="s">
        <v>1003</v>
      </c>
      <c r="F541" s="6" t="s">
        <v>3229</v>
      </c>
      <c r="G541" s="8">
        <v>0.77773700000000001</v>
      </c>
      <c r="H541" s="8">
        <v>7.1930059999999996</v>
      </c>
      <c r="I541" s="6" t="s">
        <v>2467</v>
      </c>
      <c r="J541" s="6" t="s">
        <v>2459</v>
      </c>
      <c r="K541" s="6" t="s">
        <v>2460</v>
      </c>
      <c r="L541" s="6"/>
      <c r="M541" s="6"/>
      <c r="N541" s="6" t="s">
        <v>3268</v>
      </c>
      <c r="O541" s="6" t="s">
        <v>40</v>
      </c>
      <c r="P541" s="6" t="str">
        <f>VLOOKUP(Tableau1[[#This Row],[SITES NAMES]],[1]Feuil1!$1:$1048576,8,FALSE)</f>
        <v>OK</v>
      </c>
      <c r="Q541" s="6" t="str">
        <f>VLOOKUP(Tableau1[[#This Row],[SITES NAMES]],[1]Feuil1!$1:$1048576,9,FALSE)</f>
        <v>NO</v>
      </c>
      <c r="R541" s="6" t="str">
        <f>VLOOKUP(Tableau1[[#This Row],[SITES NAMES]],[1]Feuil1!$1:$1048576,10,FALSE)</f>
        <v>NO</v>
      </c>
      <c r="S541" s="6" t="s">
        <v>2461</v>
      </c>
      <c r="T541" s="6" t="s">
        <v>2462</v>
      </c>
      <c r="U541" s="6" t="s">
        <v>2463</v>
      </c>
      <c r="V541" s="6" t="s">
        <v>2472</v>
      </c>
      <c r="W541" s="6" t="s">
        <v>2473</v>
      </c>
      <c r="X541" s="8" t="s">
        <v>2859</v>
      </c>
      <c r="Y541" s="6" t="s">
        <v>3241</v>
      </c>
      <c r="Z541" s="6"/>
      <c r="AA541" s="37" t="s">
        <v>3634</v>
      </c>
      <c r="AB541" s="38" t="s">
        <v>3627</v>
      </c>
      <c r="AC541" s="37" t="s">
        <v>3635</v>
      </c>
      <c r="AD541" s="37" t="s">
        <v>3636</v>
      </c>
      <c r="AE541" s="37" t="s">
        <v>3637</v>
      </c>
      <c r="AF541" s="37" t="s">
        <v>3636</v>
      </c>
      <c r="AG541" s="37" t="s">
        <v>3638</v>
      </c>
      <c r="AH541" s="37" t="s">
        <v>3639</v>
      </c>
    </row>
    <row r="542" spans="1:34" ht="14.45" hidden="1" customHeight="1" x14ac:dyDescent="0.3">
      <c r="A542" s="6" t="s">
        <v>775</v>
      </c>
      <c r="B542" s="7">
        <v>43876</v>
      </c>
      <c r="C542" s="6" t="s">
        <v>774</v>
      </c>
      <c r="D542" s="6" t="s">
        <v>657</v>
      </c>
      <c r="E542" s="6" t="s">
        <v>758</v>
      </c>
      <c r="F542" s="6" t="s">
        <v>3229</v>
      </c>
      <c r="G542" s="8">
        <v>1.0811299999999999</v>
      </c>
      <c r="H542" s="8">
        <v>10.041779999999999</v>
      </c>
      <c r="I542" s="6" t="s">
        <v>2477</v>
      </c>
      <c r="J542" s="6" t="s">
        <v>2459</v>
      </c>
      <c r="K542" s="6" t="s">
        <v>2468</v>
      </c>
      <c r="L542" s="6" t="s">
        <v>3451</v>
      </c>
      <c r="M542" s="6"/>
      <c r="N542" s="6" t="s">
        <v>2468</v>
      </c>
      <c r="O542" s="6" t="s">
        <v>40</v>
      </c>
      <c r="P542" s="6" t="str">
        <f>VLOOKUP(Tableau1[[#This Row],[SITES NAMES]],[1]Feuil1!$1:$1048576,8,FALSE)</f>
        <v>OK</v>
      </c>
      <c r="Q542" s="6" t="str">
        <f>VLOOKUP(Tableau1[[#This Row],[SITES NAMES]],[1]Feuil1!$1:$1048576,9,FALSE)</f>
        <v>NO</v>
      </c>
      <c r="R542" s="6" t="str">
        <f>VLOOKUP(Tableau1[[#This Row],[SITES NAMES]],[1]Feuil1!$1:$1048576,10,FALSE)</f>
        <v>NO</v>
      </c>
      <c r="S542" s="6" t="s">
        <v>2469</v>
      </c>
      <c r="T542" s="6" t="s">
        <v>2470</v>
      </c>
      <c r="U542" s="6" t="s">
        <v>2471</v>
      </c>
      <c r="V542" s="6" t="s">
        <v>2472</v>
      </c>
      <c r="W542" s="6" t="s">
        <v>2473</v>
      </c>
      <c r="X542" s="8" t="s">
        <v>2761</v>
      </c>
      <c r="Y542" s="6" t="s">
        <v>3239</v>
      </c>
      <c r="Z542" s="6" t="s">
        <v>3253</v>
      </c>
      <c r="AA542" s="37" t="s">
        <v>3687</v>
      </c>
      <c r="AB542" s="38" t="s">
        <v>3683</v>
      </c>
      <c r="AC542" s="37" t="s">
        <v>3688</v>
      </c>
      <c r="AD542" s="37" t="s">
        <v>3687</v>
      </c>
      <c r="AE542" s="37" t="s">
        <v>3689</v>
      </c>
      <c r="AF542" s="39" t="s">
        <v>3690</v>
      </c>
      <c r="AG542" s="40" t="s">
        <v>3685</v>
      </c>
      <c r="AH542" s="37" t="s">
        <v>3691</v>
      </c>
    </row>
    <row r="543" spans="1:34" ht="14.45" hidden="1" customHeight="1" x14ac:dyDescent="0.3">
      <c r="A543" s="6" t="s">
        <v>402</v>
      </c>
      <c r="B543" s="7">
        <v>0</v>
      </c>
      <c r="C543" s="6" t="s">
        <v>401</v>
      </c>
      <c r="D543" s="6" t="s">
        <v>395</v>
      </c>
      <c r="E543" s="6" t="s">
        <v>396</v>
      </c>
      <c r="F543" s="6" t="s">
        <v>3229</v>
      </c>
      <c r="G543" s="8">
        <v>-0.10116600000000001</v>
      </c>
      <c r="H543" s="8">
        <v>11.118969999999999</v>
      </c>
      <c r="I543" s="6" t="s">
        <v>2477</v>
      </c>
      <c r="J543" s="6" t="s">
        <v>2459</v>
      </c>
      <c r="K543" s="6" t="s">
        <v>2468</v>
      </c>
      <c r="L543" s="6" t="s">
        <v>3342</v>
      </c>
      <c r="M543" s="6"/>
      <c r="N543" s="6" t="s">
        <v>2468</v>
      </c>
      <c r="O543" s="6" t="s">
        <v>18</v>
      </c>
      <c r="P543" s="6" t="str">
        <f>VLOOKUP(Tableau1[[#This Row],[SITES NAMES]],[1]Feuil1!$1:$1048576,8,FALSE)</f>
        <v>NOK</v>
      </c>
      <c r="Q543" s="6" t="str">
        <f>VLOOKUP(Tableau1[[#This Row],[SITES NAMES]],[1]Feuil1!$1:$1048576,9,FALSE)</f>
        <v>NO</v>
      </c>
      <c r="R543" s="6" t="str">
        <f>VLOOKUP(Tableau1[[#This Row],[SITES NAMES]],[1]Feuil1!$1:$1048576,10,FALSE)</f>
        <v>NO</v>
      </c>
      <c r="S543" s="6" t="s">
        <v>2469</v>
      </c>
      <c r="T543" s="6" t="s">
        <v>2470</v>
      </c>
      <c r="U543" s="6" t="s">
        <v>2480</v>
      </c>
      <c r="V543" s="6" t="s">
        <v>2472</v>
      </c>
      <c r="W543" s="6" t="s">
        <v>2473</v>
      </c>
      <c r="X543" s="8" t="s">
        <v>2619</v>
      </c>
      <c r="Y543" s="6" t="s">
        <v>3240</v>
      </c>
      <c r="Z543" s="6" t="s">
        <v>3255</v>
      </c>
      <c r="AA543" s="37" t="s">
        <v>3704</v>
      </c>
      <c r="AB543" s="39" t="s">
        <v>3705</v>
      </c>
      <c r="AC543" s="37" t="s">
        <v>3706</v>
      </c>
      <c r="AD543" s="37" t="s">
        <v>3707</v>
      </c>
      <c r="AE543" s="37" t="s">
        <v>3708</v>
      </c>
      <c r="AF543" s="37" t="s">
        <v>3709</v>
      </c>
      <c r="AG543" s="46" t="s">
        <v>3710</v>
      </c>
      <c r="AH543" s="37" t="s">
        <v>3711</v>
      </c>
    </row>
    <row r="544" spans="1:34" hidden="1" x14ac:dyDescent="0.25">
      <c r="A544" s="6" t="s">
        <v>1540</v>
      </c>
      <c r="B544" s="7">
        <v>0</v>
      </c>
      <c r="C544" s="6" t="s">
        <v>1539</v>
      </c>
      <c r="D544" s="6" t="s">
        <v>66</v>
      </c>
      <c r="E544" s="6" t="s">
        <v>3233</v>
      </c>
      <c r="F544" s="18" t="s">
        <v>3230</v>
      </c>
      <c r="G544" s="8">
        <v>1.2111769999999999</v>
      </c>
      <c r="H544" s="8">
        <v>6.1928446690000003</v>
      </c>
      <c r="I544" s="6" t="s">
        <v>2497</v>
      </c>
      <c r="J544" s="6" t="s">
        <v>2459</v>
      </c>
      <c r="K544" s="6" t="s">
        <v>2460</v>
      </c>
      <c r="L544" s="6"/>
      <c r="M544" s="6"/>
      <c r="N544" s="21" t="s">
        <v>3269</v>
      </c>
      <c r="O544" s="6" t="s">
        <v>7</v>
      </c>
      <c r="P544" s="6" t="str">
        <f>VLOOKUP(Tableau1[[#This Row],[SITES NAMES]],[1]Feuil1!$1:$1048576,8,FALSE)</f>
        <v>OK</v>
      </c>
      <c r="Q544" s="6" t="str">
        <f>VLOOKUP(Tableau1[[#This Row],[SITES NAMES]],[1]Feuil1!$1:$1048576,9,FALSE)</f>
        <v>NO</v>
      </c>
      <c r="R544" s="6" t="str">
        <f>VLOOKUP(Tableau1[[#This Row],[SITES NAMES]],[1]Feuil1!$1:$1048576,10,FALSE)</f>
        <v>YES</v>
      </c>
      <c r="S544" s="6" t="s">
        <v>2461</v>
      </c>
      <c r="T544" s="6" t="s">
        <v>2470</v>
      </c>
      <c r="U544" s="6" t="s">
        <v>2463</v>
      </c>
      <c r="V544" s="6" t="s">
        <v>2464</v>
      </c>
      <c r="W544" s="6" t="s">
        <v>2476</v>
      </c>
      <c r="X544" s="8" t="s">
        <v>2965</v>
      </c>
      <c r="Y544" s="6" t="s">
        <v>3238</v>
      </c>
      <c r="Z544" s="6" t="s">
        <v>3264</v>
      </c>
      <c r="AA544" s="35" t="s">
        <v>3616</v>
      </c>
      <c r="AB544" s="35" t="s">
        <v>3608</v>
      </c>
      <c r="AC544" s="35" t="s">
        <v>3617</v>
      </c>
      <c r="AD544" s="35" t="s">
        <v>3610</v>
      </c>
      <c r="AE544" s="35" t="s">
        <v>3610</v>
      </c>
      <c r="AF544" s="35" t="s">
        <v>3611</v>
      </c>
      <c r="AG544" s="35" t="s">
        <v>3612</v>
      </c>
      <c r="AH544" s="35" t="s">
        <v>3618</v>
      </c>
    </row>
    <row r="545" spans="1:34" ht="14.45" hidden="1" customHeight="1" x14ac:dyDescent="0.3">
      <c r="A545" s="6" t="s">
        <v>2093</v>
      </c>
      <c r="B545" s="7">
        <v>0</v>
      </c>
      <c r="C545" s="6" t="s">
        <v>2092</v>
      </c>
      <c r="D545" s="6" t="s">
        <v>132</v>
      </c>
      <c r="E545" s="6" t="s">
        <v>2049</v>
      </c>
      <c r="F545" s="6" t="s">
        <v>3229</v>
      </c>
      <c r="G545" s="8">
        <v>1.0244580000000001</v>
      </c>
      <c r="H545" s="8">
        <v>6.9308920000000001</v>
      </c>
      <c r="I545" s="6" t="s">
        <v>2486</v>
      </c>
      <c r="J545" s="6" t="s">
        <v>2459</v>
      </c>
      <c r="K545" s="6" t="s">
        <v>2460</v>
      </c>
      <c r="L545" s="6"/>
      <c r="M545" s="6"/>
      <c r="N545" s="6" t="s">
        <v>3268</v>
      </c>
      <c r="O545" s="6" t="s">
        <v>40</v>
      </c>
      <c r="P545" s="6" t="str">
        <f>VLOOKUP(Tableau1[[#This Row],[SITES NAMES]],[1]Feuil1!$1:$1048576,8,FALSE)</f>
        <v>OK</v>
      </c>
      <c r="Q545" s="6" t="str">
        <f>VLOOKUP(Tableau1[[#This Row],[SITES NAMES]],[1]Feuil1!$1:$1048576,9,FALSE)</f>
        <v>NO</v>
      </c>
      <c r="R545" s="6" t="str">
        <f>VLOOKUP(Tableau1[[#This Row],[SITES NAMES]],[1]Feuil1!$1:$1048576,10,FALSE)</f>
        <v>NO</v>
      </c>
      <c r="S545" s="6" t="s">
        <v>2469</v>
      </c>
      <c r="T545" s="6" t="s">
        <v>2470</v>
      </c>
      <c r="U545" s="6" t="s">
        <v>2480</v>
      </c>
      <c r="V545" s="6" t="s">
        <v>2472</v>
      </c>
      <c r="W545" s="6" t="s">
        <v>2473</v>
      </c>
      <c r="X545" s="8" t="s">
        <v>3110</v>
      </c>
      <c r="Y545" s="6" t="s">
        <v>3238</v>
      </c>
      <c r="Z545" s="6" t="s">
        <v>3257</v>
      </c>
      <c r="AA545" s="45" t="s">
        <v>3656</v>
      </c>
      <c r="AB545" s="39" t="s">
        <v>3644</v>
      </c>
      <c r="AC545" s="45" t="s">
        <v>3657</v>
      </c>
      <c r="AD545" s="37" t="s">
        <v>3658</v>
      </c>
      <c r="AE545" s="37" t="s">
        <v>3647</v>
      </c>
      <c r="AF545" s="39" t="s">
        <v>3648</v>
      </c>
      <c r="AG545" s="37" t="s">
        <v>3649</v>
      </c>
      <c r="AH545" s="37" t="s">
        <v>3659</v>
      </c>
    </row>
    <row r="546" spans="1:34" ht="14.45" hidden="1" customHeight="1" x14ac:dyDescent="0.3">
      <c r="A546" s="6" t="s">
        <v>89</v>
      </c>
      <c r="B546" s="7">
        <v>0</v>
      </c>
      <c r="C546" s="6" t="s">
        <v>88</v>
      </c>
      <c r="D546" s="6" t="s">
        <v>5</v>
      </c>
      <c r="E546" s="6" t="s">
        <v>6</v>
      </c>
      <c r="F546" s="6" t="s">
        <v>3229</v>
      </c>
      <c r="G546" s="8">
        <v>1.4124000000000001</v>
      </c>
      <c r="H546" s="8">
        <v>6.3536799999999998</v>
      </c>
      <c r="I546" s="6" t="s">
        <v>2486</v>
      </c>
      <c r="J546" s="6" t="s">
        <v>2459</v>
      </c>
      <c r="K546" s="6" t="s">
        <v>2460</v>
      </c>
      <c r="L546" s="6"/>
      <c r="M546" s="6"/>
      <c r="N546" s="6" t="s">
        <v>3268</v>
      </c>
      <c r="O546" s="6" t="s">
        <v>7</v>
      </c>
      <c r="P546" s="6" t="str">
        <f>VLOOKUP(Tableau1[[#This Row],[SITES NAMES]],[1]Feuil1!$1:$1048576,8,FALSE)</f>
        <v>OK</v>
      </c>
      <c r="Q546" s="6" t="str">
        <f>VLOOKUP(Tableau1[[#This Row],[SITES NAMES]],[1]Feuil1!$1:$1048576,9,FALSE)</f>
        <v>NO</v>
      </c>
      <c r="R546" s="6" t="str">
        <f>VLOOKUP(Tableau1[[#This Row],[SITES NAMES]],[1]Feuil1!$1:$1048576,10,FALSE)</f>
        <v>YES</v>
      </c>
      <c r="S546" s="6" t="s">
        <v>2461</v>
      </c>
      <c r="T546" s="6" t="s">
        <v>2462</v>
      </c>
      <c r="U546" s="6" t="s">
        <v>2463</v>
      </c>
      <c r="V546" s="6" t="s">
        <v>2498</v>
      </c>
      <c r="W546" s="6" t="s">
        <v>2465</v>
      </c>
      <c r="X546" s="8" t="s">
        <v>2506</v>
      </c>
      <c r="Y546" s="6" t="s">
        <v>3241</v>
      </c>
      <c r="Z546" s="6"/>
      <c r="AA546" s="37" t="s">
        <v>3626</v>
      </c>
      <c r="AB546" s="38" t="s">
        <v>3627</v>
      </c>
      <c r="AC546" s="37" t="s">
        <v>3633</v>
      </c>
      <c r="AD546" s="37" t="s">
        <v>3628</v>
      </c>
      <c r="AE546" s="37" t="s">
        <v>3629</v>
      </c>
      <c r="AF546" s="39" t="s">
        <v>3630</v>
      </c>
      <c r="AG546" s="37" t="s">
        <v>3631</v>
      </c>
      <c r="AH546" s="37" t="s">
        <v>3632</v>
      </c>
    </row>
    <row r="547" spans="1:34" ht="14.45" hidden="1" customHeight="1" x14ac:dyDescent="0.3">
      <c r="A547" s="6" t="s">
        <v>91</v>
      </c>
      <c r="B547" s="7">
        <v>0</v>
      </c>
      <c r="C547" s="6" t="s">
        <v>90</v>
      </c>
      <c r="D547" s="6" t="s">
        <v>5</v>
      </c>
      <c r="E547" s="6" t="s">
        <v>6</v>
      </c>
      <c r="F547" s="6" t="s">
        <v>3229</v>
      </c>
      <c r="G547" s="8">
        <v>1.41614</v>
      </c>
      <c r="H547" s="8">
        <v>6.3725699999999996</v>
      </c>
      <c r="I547" s="6" t="s">
        <v>2486</v>
      </c>
      <c r="J547" s="6" t="s">
        <v>2459</v>
      </c>
      <c r="K547" s="6" t="s">
        <v>2460</v>
      </c>
      <c r="L547" s="6"/>
      <c r="M547" s="6"/>
      <c r="N547" s="6" t="s">
        <v>3268</v>
      </c>
      <c r="O547" s="6" t="s">
        <v>7</v>
      </c>
      <c r="P547" s="6" t="str">
        <f>VLOOKUP(Tableau1[[#This Row],[SITES NAMES]],[1]Feuil1!$1:$1048576,8,FALSE)</f>
        <v>OK</v>
      </c>
      <c r="Q547" s="6" t="str">
        <f>VLOOKUP(Tableau1[[#This Row],[SITES NAMES]],[1]Feuil1!$1:$1048576,9,FALSE)</f>
        <v>NO</v>
      </c>
      <c r="R547" s="6" t="str">
        <f>VLOOKUP(Tableau1[[#This Row],[SITES NAMES]],[1]Feuil1!$1:$1048576,10,FALSE)</f>
        <v>NO</v>
      </c>
      <c r="S547" s="6" t="s">
        <v>2461</v>
      </c>
      <c r="T547" s="6" t="s">
        <v>2462</v>
      </c>
      <c r="U547" s="6" t="s">
        <v>2463</v>
      </c>
      <c r="V547" s="6" t="s">
        <v>2498</v>
      </c>
      <c r="W547" s="6" t="s">
        <v>2465</v>
      </c>
      <c r="X547" s="8" t="s">
        <v>2507</v>
      </c>
      <c r="Y547" s="6" t="s">
        <v>3241</v>
      </c>
      <c r="Z547" s="6"/>
      <c r="AA547" s="37" t="s">
        <v>3626</v>
      </c>
      <c r="AB547" s="38" t="s">
        <v>3627</v>
      </c>
      <c r="AC547" s="37" t="s">
        <v>3633</v>
      </c>
      <c r="AD547" s="37" t="s">
        <v>3628</v>
      </c>
      <c r="AE547" s="37" t="s">
        <v>3629</v>
      </c>
      <c r="AF547" s="39" t="s">
        <v>3630</v>
      </c>
      <c r="AG547" s="37" t="s">
        <v>3631</v>
      </c>
      <c r="AH547" s="37" t="s">
        <v>3632</v>
      </c>
    </row>
    <row r="548" spans="1:34" ht="14.45" hidden="1" customHeight="1" x14ac:dyDescent="0.3">
      <c r="A548" s="6" t="s">
        <v>2095</v>
      </c>
      <c r="B548" s="7">
        <v>0</v>
      </c>
      <c r="C548" s="6" t="s">
        <v>2094</v>
      </c>
      <c r="D548" s="6" t="s">
        <v>132</v>
      </c>
      <c r="E548" s="6" t="s">
        <v>2049</v>
      </c>
      <c r="F548" s="6" t="s">
        <v>3229</v>
      </c>
      <c r="G548" s="8">
        <v>0.96540000000000004</v>
      </c>
      <c r="H548" s="8">
        <v>7.2173400000000001</v>
      </c>
      <c r="I548" s="6" t="s">
        <v>2477</v>
      </c>
      <c r="J548" s="6" t="s">
        <v>2459</v>
      </c>
      <c r="K548" s="6" t="s">
        <v>2468</v>
      </c>
      <c r="L548" s="6" t="s">
        <v>3452</v>
      </c>
      <c r="M548" s="6"/>
      <c r="N548" s="6" t="s">
        <v>2468</v>
      </c>
      <c r="O548" s="6" t="s">
        <v>37</v>
      </c>
      <c r="P548" s="6" t="str">
        <f>VLOOKUP(Tableau1[[#This Row],[SITES NAMES]],[1]Feuil1!$1:$1048576,8,FALSE)</f>
        <v>NOK</v>
      </c>
      <c r="Q548" s="6" t="str">
        <f>VLOOKUP(Tableau1[[#This Row],[SITES NAMES]],[1]Feuil1!$1:$1048576,9,FALSE)</f>
        <v>YES</v>
      </c>
      <c r="R548" s="6" t="str">
        <f>VLOOKUP(Tableau1[[#This Row],[SITES NAMES]],[1]Feuil1!$1:$1048576,10,FALSE)</f>
        <v>YES</v>
      </c>
      <c r="S548" s="6" t="s">
        <v>2461</v>
      </c>
      <c r="T548" s="6" t="s">
        <v>2462</v>
      </c>
      <c r="U548" s="6" t="s">
        <v>2463</v>
      </c>
      <c r="V548" s="6" t="s">
        <v>2472</v>
      </c>
      <c r="W548" s="6" t="s">
        <v>2473</v>
      </c>
      <c r="X548" s="8">
        <v>70996829</v>
      </c>
      <c r="Y548" s="6" t="s">
        <v>3238</v>
      </c>
      <c r="Z548" s="6" t="s">
        <v>3257</v>
      </c>
      <c r="AA548" s="45" t="s">
        <v>3656</v>
      </c>
      <c r="AB548" s="39" t="s">
        <v>3644</v>
      </c>
      <c r="AC548" s="45" t="s">
        <v>3657</v>
      </c>
      <c r="AD548" s="37" t="s">
        <v>3658</v>
      </c>
      <c r="AE548" s="37" t="s">
        <v>3647</v>
      </c>
      <c r="AF548" s="39" t="s">
        <v>3648</v>
      </c>
      <c r="AG548" s="37" t="s">
        <v>3649</v>
      </c>
      <c r="AH548" s="37" t="s">
        <v>3659</v>
      </c>
    </row>
    <row r="549" spans="1:34" ht="14.45" hidden="1" customHeight="1" x14ac:dyDescent="0.3">
      <c r="A549" s="6" t="s">
        <v>2203</v>
      </c>
      <c r="B549" s="7">
        <v>43720</v>
      </c>
      <c r="C549" s="6" t="s">
        <v>2202</v>
      </c>
      <c r="D549" s="6" t="s">
        <v>320</v>
      </c>
      <c r="E549" s="6" t="s">
        <v>2141</v>
      </c>
      <c r="F549" s="6" t="s">
        <v>3229</v>
      </c>
      <c r="G549" s="8">
        <v>1.1142479999999999</v>
      </c>
      <c r="H549" s="8">
        <v>8.6911129999999996</v>
      </c>
      <c r="I549" s="6" t="s">
        <v>2482</v>
      </c>
      <c r="J549" s="6" t="s">
        <v>2459</v>
      </c>
      <c r="K549" s="6" t="s">
        <v>2468</v>
      </c>
      <c r="L549" s="6" t="s">
        <v>2185</v>
      </c>
      <c r="M549" s="6"/>
      <c r="N549" s="6" t="s">
        <v>2468</v>
      </c>
      <c r="O549" s="6" t="s">
        <v>40</v>
      </c>
      <c r="P549" s="6" t="str">
        <f>VLOOKUP(Tableau1[[#This Row],[SITES NAMES]],[1]Feuil1!$1:$1048576,8,FALSE)</f>
        <v>OK</v>
      </c>
      <c r="Q549" s="6" t="str">
        <f>VLOOKUP(Tableau1[[#This Row],[SITES NAMES]],[1]Feuil1!$1:$1048576,9,FALSE)</f>
        <v>NO</v>
      </c>
      <c r="R549" s="6" t="str">
        <f>VLOOKUP(Tableau1[[#This Row],[SITES NAMES]],[1]Feuil1!$1:$1048576,10,FALSE)</f>
        <v>NO</v>
      </c>
      <c r="S549" s="6" t="s">
        <v>2461</v>
      </c>
      <c r="T549" s="6" t="s">
        <v>2462</v>
      </c>
      <c r="U549" s="6" t="s">
        <v>2463</v>
      </c>
      <c r="V549" s="6" t="s">
        <v>2472</v>
      </c>
      <c r="W549" s="6" t="s">
        <v>2473</v>
      </c>
      <c r="X549" s="8" t="s">
        <v>3156</v>
      </c>
      <c r="Y549" s="6" t="s">
        <v>3238</v>
      </c>
      <c r="Z549" s="6" t="s">
        <v>3254</v>
      </c>
      <c r="AA549" s="37" t="s">
        <v>3672</v>
      </c>
      <c r="AB549" s="39" t="s">
        <v>3665</v>
      </c>
      <c r="AC549" s="37" t="s">
        <v>3673</v>
      </c>
      <c r="AD549" s="37" t="s">
        <v>3674</v>
      </c>
      <c r="AE549" s="37" t="s">
        <v>3675</v>
      </c>
      <c r="AF549" s="39" t="s">
        <v>3676</v>
      </c>
      <c r="AG549" s="37" t="s">
        <v>3670</v>
      </c>
      <c r="AH549" s="37" t="s">
        <v>3677</v>
      </c>
    </row>
    <row r="550" spans="1:34" ht="14.45" hidden="1" customHeight="1" x14ac:dyDescent="0.25">
      <c r="A550" s="6" t="s">
        <v>1904</v>
      </c>
      <c r="B550" s="7">
        <v>0</v>
      </c>
      <c r="C550" s="6" t="s">
        <v>1903</v>
      </c>
      <c r="D550" s="6" t="s">
        <v>66</v>
      </c>
      <c r="E550" s="6" t="s">
        <v>3232</v>
      </c>
      <c r="F550" s="6" t="s">
        <v>3229</v>
      </c>
      <c r="G550" s="8">
        <v>1.2171540000000001</v>
      </c>
      <c r="H550" s="8">
        <v>6.1371890000000002</v>
      </c>
      <c r="I550" s="6" t="s">
        <v>2497</v>
      </c>
      <c r="J550" s="6" t="s">
        <v>2459</v>
      </c>
      <c r="K550" s="6" t="s">
        <v>2460</v>
      </c>
      <c r="L550" s="6"/>
      <c r="M550" s="6"/>
      <c r="N550" s="6" t="s">
        <v>3268</v>
      </c>
      <c r="O550" s="6" t="s">
        <v>7</v>
      </c>
      <c r="P550" s="6" t="str">
        <f>VLOOKUP(Tableau1[[#This Row],[SITES NAMES]],[1]Feuil1!$1:$1048576,8,FALSE)</f>
        <v>NOK</v>
      </c>
      <c r="Q550" s="6" t="str">
        <f>VLOOKUP(Tableau1[[#This Row],[SITES NAMES]],[1]Feuil1!$1:$1048576,9,FALSE)</f>
        <v>NO</v>
      </c>
      <c r="R550" s="6" t="str">
        <f>VLOOKUP(Tableau1[[#This Row],[SITES NAMES]],[1]Feuil1!$1:$1048576,10,FALSE)</f>
        <v>NO</v>
      </c>
      <c r="S550" s="6" t="s">
        <v>2461</v>
      </c>
      <c r="T550" s="6" t="s">
        <v>2462</v>
      </c>
      <c r="U550" s="6" t="s">
        <v>2463</v>
      </c>
      <c r="V550" s="6" t="s">
        <v>2478</v>
      </c>
      <c r="W550" s="6" t="s">
        <v>2476</v>
      </c>
      <c r="X550" s="8" t="s">
        <v>3048</v>
      </c>
      <c r="Y550" s="6" t="s">
        <v>3238</v>
      </c>
      <c r="Z550" s="6" t="s">
        <v>3262</v>
      </c>
      <c r="AA550" s="35" t="s">
        <v>3621</v>
      </c>
      <c r="AB550" s="35" t="s">
        <v>3608</v>
      </c>
      <c r="AC550" s="35" t="s">
        <v>3624</v>
      </c>
      <c r="AD550" s="35" t="s">
        <v>3610</v>
      </c>
      <c r="AE550" s="35" t="s">
        <v>3610</v>
      </c>
      <c r="AF550" s="35" t="s">
        <v>3611</v>
      </c>
      <c r="AG550" s="35" t="s">
        <v>3612</v>
      </c>
      <c r="AH550" s="35" t="s">
        <v>3625</v>
      </c>
    </row>
    <row r="551" spans="1:34" ht="14.45" hidden="1" customHeight="1" x14ac:dyDescent="0.3">
      <c r="A551" s="6" t="s">
        <v>1076</v>
      </c>
      <c r="B551" s="7">
        <v>0</v>
      </c>
      <c r="C551" s="6" t="s">
        <v>1075</v>
      </c>
      <c r="D551" s="6" t="s">
        <v>5</v>
      </c>
      <c r="E551" s="6" t="s">
        <v>1003</v>
      </c>
      <c r="F551" s="6" t="s">
        <v>3229</v>
      </c>
      <c r="G551" s="8">
        <v>0.61678599999999995</v>
      </c>
      <c r="H551" s="8">
        <v>6.9044920000000003</v>
      </c>
      <c r="I551" s="6" t="s">
        <v>2479</v>
      </c>
      <c r="J551" s="6" t="s">
        <v>2459</v>
      </c>
      <c r="K551" s="6" t="s">
        <v>2460</v>
      </c>
      <c r="L551" s="6"/>
      <c r="M551" s="6"/>
      <c r="N551" s="6" t="s">
        <v>3268</v>
      </c>
      <c r="O551" s="6" t="s">
        <v>18</v>
      </c>
      <c r="P551" s="6" t="str">
        <f>VLOOKUP(Tableau1[[#This Row],[SITES NAMES]],[1]Feuil1!$1:$1048576,8,FALSE)</f>
        <v>NOK</v>
      </c>
      <c r="Q551" s="6" t="str">
        <f>VLOOKUP(Tableau1[[#This Row],[SITES NAMES]],[1]Feuil1!$1:$1048576,9,FALSE)</f>
        <v>NO</v>
      </c>
      <c r="R551" s="6" t="str">
        <f>VLOOKUP(Tableau1[[#This Row],[SITES NAMES]],[1]Feuil1!$1:$1048576,10,FALSE)</f>
        <v>NO</v>
      </c>
      <c r="S551" s="6" t="s">
        <v>2461</v>
      </c>
      <c r="T551" s="6" t="s">
        <v>2462</v>
      </c>
      <c r="U551" s="6" t="s">
        <v>2463</v>
      </c>
      <c r="V551" s="6" t="s">
        <v>2464</v>
      </c>
      <c r="W551" s="6" t="s">
        <v>2473</v>
      </c>
      <c r="X551" s="8" t="s">
        <v>2860</v>
      </c>
      <c r="Y551" s="6" t="s">
        <v>3241</v>
      </c>
      <c r="Z551" s="6"/>
      <c r="AA551" s="37" t="s">
        <v>3634</v>
      </c>
      <c r="AB551" s="38" t="s">
        <v>3627</v>
      </c>
      <c r="AC551" s="37" t="s">
        <v>3635</v>
      </c>
      <c r="AD551" s="37" t="s">
        <v>3636</v>
      </c>
      <c r="AE551" s="37" t="s">
        <v>3637</v>
      </c>
      <c r="AF551" s="37" t="s">
        <v>3636</v>
      </c>
      <c r="AG551" s="37" t="s">
        <v>3638</v>
      </c>
      <c r="AH551" s="37" t="s">
        <v>3639</v>
      </c>
    </row>
    <row r="552" spans="1:34" ht="14.45" hidden="1" customHeight="1" x14ac:dyDescent="0.3">
      <c r="A552" s="6" t="s">
        <v>1078</v>
      </c>
      <c r="B552" s="7">
        <v>44853</v>
      </c>
      <c r="C552" s="6" t="s">
        <v>1077</v>
      </c>
      <c r="D552" s="6" t="s">
        <v>5</v>
      </c>
      <c r="E552" s="6" t="s">
        <v>1003</v>
      </c>
      <c r="F552" s="6" t="s">
        <v>3229</v>
      </c>
      <c r="G552" s="8">
        <v>0.60607999999999995</v>
      </c>
      <c r="H552" s="8">
        <v>6.90679</v>
      </c>
      <c r="I552" s="6" t="s">
        <v>2479</v>
      </c>
      <c r="J552" s="6" t="s">
        <v>2459</v>
      </c>
      <c r="K552" s="6" t="s">
        <v>2468</v>
      </c>
      <c r="L552" s="6" t="s">
        <v>3453</v>
      </c>
      <c r="M552" s="6"/>
      <c r="N552" s="6" t="s">
        <v>2468</v>
      </c>
      <c r="O552" s="6" t="s">
        <v>7</v>
      </c>
      <c r="P552" s="6" t="str">
        <f>VLOOKUP(Tableau1[[#This Row],[SITES NAMES]],[1]Feuil1!$1:$1048576,8,FALSE)</f>
        <v>OK</v>
      </c>
      <c r="Q552" s="6" t="str">
        <f>VLOOKUP(Tableau1[[#This Row],[SITES NAMES]],[1]Feuil1!$1:$1048576,9,FALSE)</f>
        <v>NO</v>
      </c>
      <c r="R552" s="6" t="str">
        <f>VLOOKUP(Tableau1[[#This Row],[SITES NAMES]],[1]Feuil1!$1:$1048576,10,FALSE)</f>
        <v>YES</v>
      </c>
      <c r="S552" s="6" t="s">
        <v>2861</v>
      </c>
      <c r="T552" s="6" t="s">
        <v>2862</v>
      </c>
      <c r="U552" s="6" t="s">
        <v>2463</v>
      </c>
      <c r="V552" s="6" t="s">
        <v>2472</v>
      </c>
      <c r="W552" s="6" t="s">
        <v>2473</v>
      </c>
      <c r="X552" s="8">
        <v>70997361</v>
      </c>
      <c r="Y552" s="6" t="s">
        <v>3241</v>
      </c>
      <c r="Z552" s="6"/>
      <c r="AA552" s="37" t="s">
        <v>3634</v>
      </c>
      <c r="AB552" s="38" t="s">
        <v>3627</v>
      </c>
      <c r="AC552" s="37" t="s">
        <v>3635</v>
      </c>
      <c r="AD552" s="37" t="s">
        <v>3636</v>
      </c>
      <c r="AE552" s="37" t="s">
        <v>3637</v>
      </c>
      <c r="AF552" s="37" t="s">
        <v>3636</v>
      </c>
      <c r="AG552" s="37" t="s">
        <v>3638</v>
      </c>
      <c r="AH552" s="37" t="s">
        <v>3639</v>
      </c>
    </row>
    <row r="553" spans="1:34" ht="14.45" hidden="1" customHeight="1" x14ac:dyDescent="0.3">
      <c r="A553" s="6" t="s">
        <v>1080</v>
      </c>
      <c r="B553" s="7">
        <v>44806</v>
      </c>
      <c r="C553" s="6" t="s">
        <v>1079</v>
      </c>
      <c r="D553" s="6" t="s">
        <v>5</v>
      </c>
      <c r="E553" s="6" t="s">
        <v>1003</v>
      </c>
      <c r="F553" s="6" t="s">
        <v>3229</v>
      </c>
      <c r="G553" s="8">
        <v>0.56141700000000005</v>
      </c>
      <c r="H553" s="8">
        <v>6.8948330000000002</v>
      </c>
      <c r="I553" s="6" t="s">
        <v>2477</v>
      </c>
      <c r="J553" s="6" t="s">
        <v>2459</v>
      </c>
      <c r="K553" s="6" t="s">
        <v>2468</v>
      </c>
      <c r="L553" s="6" t="s">
        <v>3454</v>
      </c>
      <c r="M553" s="6"/>
      <c r="N553" s="6" t="s">
        <v>2468</v>
      </c>
      <c r="O553" s="6" t="s">
        <v>40</v>
      </c>
      <c r="P553" s="6" t="str">
        <f>VLOOKUP(Tableau1[[#This Row],[SITES NAMES]],[1]Feuil1!$1:$1048576,8,FALSE)</f>
        <v>OK</v>
      </c>
      <c r="Q553" s="6" t="str">
        <f>VLOOKUP(Tableau1[[#This Row],[SITES NAMES]],[1]Feuil1!$1:$1048576,9,FALSE)</f>
        <v>NO</v>
      </c>
      <c r="R553" s="6" t="str">
        <f>VLOOKUP(Tableau1[[#This Row],[SITES NAMES]],[1]Feuil1!$1:$1048576,10,FALSE)</f>
        <v>YES</v>
      </c>
      <c r="S553" s="6" t="s">
        <v>2461</v>
      </c>
      <c r="T553" s="6" t="s">
        <v>2470</v>
      </c>
      <c r="U553" s="6" t="s">
        <v>2480</v>
      </c>
      <c r="V553" s="6" t="s">
        <v>2472</v>
      </c>
      <c r="W553" s="6" t="s">
        <v>2473</v>
      </c>
      <c r="X553" s="8"/>
      <c r="Y553" s="6" t="s">
        <v>3241</v>
      </c>
      <c r="Z553" s="6"/>
      <c r="AA553" s="37" t="s">
        <v>3634</v>
      </c>
      <c r="AB553" s="38" t="s">
        <v>3627</v>
      </c>
      <c r="AC553" s="37" t="s">
        <v>3635</v>
      </c>
      <c r="AD553" s="37" t="s">
        <v>3636</v>
      </c>
      <c r="AE553" s="37" t="s">
        <v>3637</v>
      </c>
      <c r="AF553" s="37" t="s">
        <v>3636</v>
      </c>
      <c r="AG553" s="37" t="s">
        <v>3638</v>
      </c>
      <c r="AH553" s="37" t="s">
        <v>3639</v>
      </c>
    </row>
    <row r="554" spans="1:34" ht="14.45" hidden="1" customHeight="1" x14ac:dyDescent="0.3">
      <c r="A554" s="6" t="s">
        <v>2349</v>
      </c>
      <c r="B554" s="7">
        <v>43872</v>
      </c>
      <c r="C554" s="6" t="s">
        <v>2348</v>
      </c>
      <c r="D554" s="6" t="s">
        <v>5</v>
      </c>
      <c r="E554" s="6" t="s">
        <v>2333</v>
      </c>
      <c r="F554" s="6" t="s">
        <v>3229</v>
      </c>
      <c r="G554" s="8">
        <v>1.2584599999999999</v>
      </c>
      <c r="H554" s="8">
        <v>6.5004099999999996</v>
      </c>
      <c r="I554" s="6" t="s">
        <v>2477</v>
      </c>
      <c r="J554" s="6" t="s">
        <v>2459</v>
      </c>
      <c r="K554" s="6" t="s">
        <v>2468</v>
      </c>
      <c r="L554" s="6" t="s">
        <v>3442</v>
      </c>
      <c r="M554" s="6"/>
      <c r="N554" s="6" t="s">
        <v>2468</v>
      </c>
      <c r="O554" s="6" t="s">
        <v>40</v>
      </c>
      <c r="P554" s="6" t="str">
        <f>VLOOKUP(Tableau1[[#This Row],[SITES NAMES]],[1]Feuil1!$1:$1048576,8,FALSE)</f>
        <v>OK</v>
      </c>
      <c r="Q554" s="6" t="str">
        <f>VLOOKUP(Tableau1[[#This Row],[SITES NAMES]],[1]Feuil1!$1:$1048576,9,FALSE)</f>
        <v>NO</v>
      </c>
      <c r="R554" s="6" t="str">
        <f>VLOOKUP(Tableau1[[#This Row],[SITES NAMES]],[1]Feuil1!$1:$1048576,10,FALSE)</f>
        <v>NO</v>
      </c>
      <c r="S554" s="6" t="s">
        <v>2469</v>
      </c>
      <c r="T554" s="6" t="s">
        <v>2470</v>
      </c>
      <c r="U554" s="6" t="s">
        <v>2480</v>
      </c>
      <c r="V554" s="6" t="s">
        <v>2472</v>
      </c>
      <c r="W554" s="6" t="s">
        <v>2473</v>
      </c>
      <c r="X554" s="8" t="s">
        <v>3205</v>
      </c>
      <c r="Y554" s="6" t="s">
        <v>3241</v>
      </c>
      <c r="Z554" t="e">
        <f>VLOOKUP(Tableau1[[#This Row],[SITES NAMES]],#REF!,3,FALSE)</f>
        <v>#REF!</v>
      </c>
      <c r="AA554" s="37"/>
      <c r="AB554" s="38" t="s">
        <v>3627</v>
      </c>
      <c r="AC554" s="37" t="s">
        <v>3640</v>
      </c>
      <c r="AD554" s="39" t="s">
        <v>3641</v>
      </c>
      <c r="AE554" s="37"/>
      <c r="AF554" s="39" t="s">
        <v>3641</v>
      </c>
      <c r="AG554" s="37"/>
      <c r="AH554" s="37" t="s">
        <v>3642</v>
      </c>
    </row>
    <row r="555" spans="1:34" hidden="1" x14ac:dyDescent="0.25">
      <c r="A555" s="6" t="s">
        <v>1250</v>
      </c>
      <c r="B555" s="7">
        <v>0</v>
      </c>
      <c r="C555" s="6" t="s">
        <v>1249</v>
      </c>
      <c r="D555" s="6" t="s">
        <v>66</v>
      </c>
      <c r="E555" s="6" t="s">
        <v>1924</v>
      </c>
      <c r="F555" s="18" t="s">
        <v>3230</v>
      </c>
      <c r="G555" s="8">
        <v>1.235455</v>
      </c>
      <c r="H555" s="8">
        <v>6.1736246049999997</v>
      </c>
      <c r="I555" s="6" t="s">
        <v>2497</v>
      </c>
      <c r="J555" s="6" t="s">
        <v>2459</v>
      </c>
      <c r="K555" s="6" t="s">
        <v>2460</v>
      </c>
      <c r="L555" s="6"/>
      <c r="M555" s="6"/>
      <c r="N555" s="21" t="s">
        <v>3269</v>
      </c>
      <c r="O555" s="6" t="s">
        <v>7</v>
      </c>
      <c r="P555" s="6" t="str">
        <f>VLOOKUP(Tableau1[[#This Row],[SITES NAMES]],[1]Feuil1!$1:$1048576,8,FALSE)</f>
        <v>OK</v>
      </c>
      <c r="Q555" s="6" t="str">
        <f>VLOOKUP(Tableau1[[#This Row],[SITES NAMES]],[1]Feuil1!$1:$1048576,9,FALSE)</f>
        <v>NO</v>
      </c>
      <c r="R555" s="6" t="str">
        <f>VLOOKUP(Tableau1[[#This Row],[SITES NAMES]],[1]Feuil1!$1:$1048576,10,FALSE)</f>
        <v>NO</v>
      </c>
      <c r="S555" s="6" t="s">
        <v>2461</v>
      </c>
      <c r="T555" s="6" t="s">
        <v>2462</v>
      </c>
      <c r="U555" s="6" t="s">
        <v>2463</v>
      </c>
      <c r="V555" s="6" t="s">
        <v>2478</v>
      </c>
      <c r="W555" s="6" t="s">
        <v>2476</v>
      </c>
      <c r="X555" s="8"/>
      <c r="Y555" s="6" t="s">
        <v>3238</v>
      </c>
      <c r="Z555" s="6" t="s">
        <v>3261</v>
      </c>
      <c r="AA555" s="35" t="s">
        <v>3607</v>
      </c>
      <c r="AB555" s="35" t="s">
        <v>3608</v>
      </c>
      <c r="AC555" s="35" t="s">
        <v>3609</v>
      </c>
      <c r="AD555" s="35" t="s">
        <v>3610</v>
      </c>
      <c r="AE555" s="35" t="s">
        <v>3610</v>
      </c>
      <c r="AF555" s="35" t="s">
        <v>3611</v>
      </c>
      <c r="AG555" s="35" t="s">
        <v>3612</v>
      </c>
      <c r="AH555" s="35" t="s">
        <v>3613</v>
      </c>
    </row>
    <row r="556" spans="1:34" ht="14.45" hidden="1" customHeight="1" x14ac:dyDescent="0.25">
      <c r="A556" s="6" t="s">
        <v>1252</v>
      </c>
      <c r="B556" s="7">
        <v>0</v>
      </c>
      <c r="C556" s="6" t="s">
        <v>1251</v>
      </c>
      <c r="D556" s="6" t="s">
        <v>66</v>
      </c>
      <c r="E556" s="6" t="s">
        <v>1924</v>
      </c>
      <c r="F556" s="6" t="s">
        <v>3229</v>
      </c>
      <c r="G556" s="8">
        <v>1.241225</v>
      </c>
      <c r="H556" s="8">
        <v>6.1909794690000002</v>
      </c>
      <c r="I556" s="6" t="s">
        <v>2475</v>
      </c>
      <c r="J556" s="6" t="s">
        <v>2459</v>
      </c>
      <c r="K556" s="6" t="s">
        <v>2460</v>
      </c>
      <c r="L556" s="6"/>
      <c r="M556" s="6"/>
      <c r="N556" s="6" t="s">
        <v>3268</v>
      </c>
      <c r="O556" s="6" t="s">
        <v>7</v>
      </c>
      <c r="P556" s="6" t="str">
        <f>VLOOKUP(Tableau1[[#This Row],[SITES NAMES]],[1]Feuil1!$1:$1048576,8,FALSE)</f>
        <v>OK</v>
      </c>
      <c r="Q556" s="6" t="str">
        <f>VLOOKUP(Tableau1[[#This Row],[SITES NAMES]],[1]Feuil1!$1:$1048576,9,FALSE)</f>
        <v>NO</v>
      </c>
      <c r="R556" s="6" t="str">
        <f>VLOOKUP(Tableau1[[#This Row],[SITES NAMES]],[1]Feuil1!$1:$1048576,10,FALSE)</f>
        <v>NO</v>
      </c>
      <c r="S556" s="6" t="s">
        <v>2461</v>
      </c>
      <c r="T556" s="6" t="s">
        <v>2470</v>
      </c>
      <c r="U556" s="6" t="s">
        <v>2463</v>
      </c>
      <c r="V556" s="6" t="s">
        <v>2478</v>
      </c>
      <c r="W556" s="6" t="s">
        <v>2476</v>
      </c>
      <c r="X556" s="8" t="s">
        <v>2910</v>
      </c>
      <c r="Y556" s="6" t="s">
        <v>3238</v>
      </c>
      <c r="Z556" s="6" t="s">
        <v>3261</v>
      </c>
      <c r="AA556" s="35" t="s">
        <v>3607</v>
      </c>
      <c r="AB556" s="35" t="s">
        <v>3608</v>
      </c>
      <c r="AC556" s="35" t="s">
        <v>3609</v>
      </c>
      <c r="AD556" s="35" t="s">
        <v>3610</v>
      </c>
      <c r="AE556" s="35" t="s">
        <v>3610</v>
      </c>
      <c r="AF556" s="35" t="s">
        <v>3611</v>
      </c>
      <c r="AG556" s="35" t="s">
        <v>3612</v>
      </c>
      <c r="AH556" s="35" t="s">
        <v>3613</v>
      </c>
    </row>
    <row r="557" spans="1:34" ht="14.45" hidden="1" customHeight="1" x14ac:dyDescent="0.25">
      <c r="A557" s="6" t="s">
        <v>1254</v>
      </c>
      <c r="B557" s="7">
        <v>0</v>
      </c>
      <c r="C557" s="6" t="s">
        <v>1253</v>
      </c>
      <c r="D557" s="6" t="s">
        <v>66</v>
      </c>
      <c r="E557" s="6" t="s">
        <v>1924</v>
      </c>
      <c r="F557" s="6" t="s">
        <v>3229</v>
      </c>
      <c r="G557" s="8">
        <v>1.249091</v>
      </c>
      <c r="H557" s="8">
        <v>6.1848780000000003</v>
      </c>
      <c r="I557" s="6" t="s">
        <v>2497</v>
      </c>
      <c r="J557" s="6" t="s">
        <v>2459</v>
      </c>
      <c r="K557" s="6" t="s">
        <v>2460</v>
      </c>
      <c r="L557" s="6"/>
      <c r="M557" s="6"/>
      <c r="N557" s="6" t="s">
        <v>3268</v>
      </c>
      <c r="O557" s="6" t="s">
        <v>7</v>
      </c>
      <c r="P557" s="6" t="str">
        <f>VLOOKUP(Tableau1[[#This Row],[SITES NAMES]],[1]Feuil1!$1:$1048576,8,FALSE)</f>
        <v>OK</v>
      </c>
      <c r="Q557" s="6" t="str">
        <f>VLOOKUP(Tableau1[[#This Row],[SITES NAMES]],[1]Feuil1!$1:$1048576,9,FALSE)</f>
        <v>NO</v>
      </c>
      <c r="R557" s="6" t="str">
        <f>VLOOKUP(Tableau1[[#This Row],[SITES NAMES]],[1]Feuil1!$1:$1048576,10,FALSE)</f>
        <v>YES</v>
      </c>
      <c r="S557" s="6" t="s">
        <v>2461</v>
      </c>
      <c r="T557" s="6" t="s">
        <v>2462</v>
      </c>
      <c r="U557" s="6" t="s">
        <v>2463</v>
      </c>
      <c r="V557" s="6" t="s">
        <v>2478</v>
      </c>
      <c r="W557" s="6" t="s">
        <v>2476</v>
      </c>
      <c r="X557" s="8" t="s">
        <v>2911</v>
      </c>
      <c r="Y557" s="6" t="s">
        <v>3238</v>
      </c>
      <c r="Z557" s="6" t="s">
        <v>3261</v>
      </c>
      <c r="AA557" s="35" t="s">
        <v>3607</v>
      </c>
      <c r="AB557" s="35" t="s">
        <v>3608</v>
      </c>
      <c r="AC557" s="35" t="s">
        <v>3609</v>
      </c>
      <c r="AD557" s="35" t="s">
        <v>3610</v>
      </c>
      <c r="AE557" s="35" t="s">
        <v>3610</v>
      </c>
      <c r="AF557" s="35" t="s">
        <v>3611</v>
      </c>
      <c r="AG557" s="35" t="s">
        <v>3612</v>
      </c>
      <c r="AH557" s="35" t="s">
        <v>3613</v>
      </c>
    </row>
    <row r="558" spans="1:34" ht="14.45" hidden="1" customHeight="1" x14ac:dyDescent="0.25">
      <c r="A558" s="6" t="s">
        <v>1193</v>
      </c>
      <c r="B558" s="7">
        <v>46022</v>
      </c>
      <c r="C558" s="6" t="s">
        <v>1192</v>
      </c>
      <c r="D558" s="6" t="s">
        <v>66</v>
      </c>
      <c r="E558" s="6" t="s">
        <v>1924</v>
      </c>
      <c r="F558" s="6" t="s">
        <v>3229</v>
      </c>
      <c r="G558" s="8">
        <v>1.252813</v>
      </c>
      <c r="H558" s="8">
        <v>6.1804899999999998</v>
      </c>
      <c r="I558" s="15" t="s">
        <v>2475</v>
      </c>
      <c r="J558" s="6" t="s">
        <v>2459</v>
      </c>
      <c r="K558" s="6" t="s">
        <v>2468</v>
      </c>
      <c r="L558" s="6"/>
      <c r="M558" s="6"/>
      <c r="N558" s="6" t="s">
        <v>2468</v>
      </c>
      <c r="O558" s="6" t="s">
        <v>7</v>
      </c>
      <c r="P558" s="6"/>
      <c r="Q558" s="6"/>
      <c r="R558" s="6"/>
      <c r="S558" s="6"/>
      <c r="T558" s="6"/>
      <c r="U558" s="6"/>
      <c r="V558" s="6"/>
      <c r="W558" s="6"/>
      <c r="X558" s="8"/>
      <c r="Y558" s="6" t="s">
        <v>3238</v>
      </c>
      <c r="Z558" s="6" t="s">
        <v>3261</v>
      </c>
      <c r="AA558" s="35" t="s">
        <v>3607</v>
      </c>
      <c r="AB558" s="35" t="s">
        <v>3608</v>
      </c>
      <c r="AC558" s="35" t="s">
        <v>3609</v>
      </c>
      <c r="AD558" s="35" t="s">
        <v>3610</v>
      </c>
      <c r="AE558" s="35" t="s">
        <v>3610</v>
      </c>
      <c r="AF558" s="35" t="s">
        <v>3611</v>
      </c>
      <c r="AG558" s="35" t="s">
        <v>3612</v>
      </c>
      <c r="AH558" s="35" t="s">
        <v>3613</v>
      </c>
    </row>
    <row r="559" spans="1:34" ht="14.45" hidden="1" customHeight="1" x14ac:dyDescent="0.25">
      <c r="A559" s="6" t="s">
        <v>1256</v>
      </c>
      <c r="B559" s="7">
        <v>44106</v>
      </c>
      <c r="C559" s="6" t="s">
        <v>1255</v>
      </c>
      <c r="D559" s="6" t="s">
        <v>66</v>
      </c>
      <c r="E559" s="6" t="s">
        <v>1924</v>
      </c>
      <c r="F559" s="6" t="s">
        <v>3229</v>
      </c>
      <c r="G559" s="8">
        <v>1.241511</v>
      </c>
      <c r="H559" s="8">
        <v>6.1839639999999996</v>
      </c>
      <c r="I559" s="6" t="s">
        <v>2497</v>
      </c>
      <c r="J559" s="6" t="s">
        <v>2459</v>
      </c>
      <c r="K559" s="6" t="s">
        <v>2460</v>
      </c>
      <c r="L559" s="6"/>
      <c r="M559" s="6"/>
      <c r="N559" s="6" t="s">
        <v>3268</v>
      </c>
      <c r="O559" s="6" t="s">
        <v>1206</v>
      </c>
      <c r="P559" s="6"/>
      <c r="Q559" s="6" t="str">
        <f>VLOOKUP(Tableau1[[#This Row],[SITES NAMES]],[1]Feuil1!$1:$1048576,9,FALSE)</f>
        <v>YES</v>
      </c>
      <c r="R559" s="6" t="str">
        <f>VLOOKUP(Tableau1[[#This Row],[SITES NAMES]],[1]Feuil1!$1:$1048576,10,FALSE)</f>
        <v>NO</v>
      </c>
      <c r="S559" s="6" t="s">
        <v>2461</v>
      </c>
      <c r="T559" s="6" t="s">
        <v>2462</v>
      </c>
      <c r="U559" s="6" t="s">
        <v>2463</v>
      </c>
      <c r="V559" s="6" t="s">
        <v>2464</v>
      </c>
      <c r="W559" s="6" t="s">
        <v>2476</v>
      </c>
      <c r="X559" s="8"/>
      <c r="Y559" s="6" t="s">
        <v>3238</v>
      </c>
      <c r="Z559" s="6" t="s">
        <v>3261</v>
      </c>
      <c r="AA559" s="35" t="s">
        <v>3607</v>
      </c>
      <c r="AB559" s="35" t="s">
        <v>3608</v>
      </c>
      <c r="AC559" s="35" t="s">
        <v>3609</v>
      </c>
      <c r="AD559" s="35" t="s">
        <v>3610</v>
      </c>
      <c r="AE559" s="35" t="s">
        <v>3610</v>
      </c>
      <c r="AF559" s="35" t="s">
        <v>3611</v>
      </c>
      <c r="AG559" s="35" t="s">
        <v>3612</v>
      </c>
      <c r="AH559" s="35" t="s">
        <v>3613</v>
      </c>
    </row>
    <row r="560" spans="1:34" ht="14.45" hidden="1" customHeight="1" x14ac:dyDescent="0.25">
      <c r="A560" s="6" t="s">
        <v>1258</v>
      </c>
      <c r="B560" s="7">
        <v>0</v>
      </c>
      <c r="C560" s="6" t="s">
        <v>1257</v>
      </c>
      <c r="D560" s="6" t="s">
        <v>66</v>
      </c>
      <c r="E560" s="6" t="s">
        <v>1924</v>
      </c>
      <c r="F560" s="6" t="s">
        <v>3229</v>
      </c>
      <c r="G560" s="8">
        <v>1.23629444</v>
      </c>
      <c r="H560" s="8">
        <v>6.1827857000000002</v>
      </c>
      <c r="I560" s="6" t="s">
        <v>2497</v>
      </c>
      <c r="J560" s="6" t="s">
        <v>2459</v>
      </c>
      <c r="K560" s="6" t="s">
        <v>2460</v>
      </c>
      <c r="L560" s="6"/>
      <c r="M560" s="6"/>
      <c r="N560" s="6" t="s">
        <v>3268</v>
      </c>
      <c r="O560" s="6" t="s">
        <v>7</v>
      </c>
      <c r="P560" s="6" t="str">
        <f>VLOOKUP(Tableau1[[#This Row],[SITES NAMES]],[1]Feuil1!$1:$1048576,8,FALSE)</f>
        <v>OK</v>
      </c>
      <c r="Q560" s="6" t="str">
        <f>VLOOKUP(Tableau1[[#This Row],[SITES NAMES]],[1]Feuil1!$1:$1048576,9,FALSE)</f>
        <v>NO</v>
      </c>
      <c r="R560" s="6" t="str">
        <f>VLOOKUP(Tableau1[[#This Row],[SITES NAMES]],[1]Feuil1!$1:$1048576,10,FALSE)</f>
        <v>NO</v>
      </c>
      <c r="S560" s="6" t="s">
        <v>2469</v>
      </c>
      <c r="T560" s="6" t="s">
        <v>2470</v>
      </c>
      <c r="U560" s="6" t="s">
        <v>2480</v>
      </c>
      <c r="V560" s="6" t="s">
        <v>2498</v>
      </c>
      <c r="W560" s="6" t="s">
        <v>2476</v>
      </c>
      <c r="X560" s="8"/>
      <c r="Y560" s="6" t="s">
        <v>3238</v>
      </c>
      <c r="Z560" s="6" t="s">
        <v>3261</v>
      </c>
      <c r="AA560" s="35" t="s">
        <v>3607</v>
      </c>
      <c r="AB560" s="35" t="s">
        <v>3608</v>
      </c>
      <c r="AC560" s="35" t="s">
        <v>3609</v>
      </c>
      <c r="AD560" s="35" t="s">
        <v>3610</v>
      </c>
      <c r="AE560" s="35" t="s">
        <v>3610</v>
      </c>
      <c r="AF560" s="35" t="s">
        <v>3611</v>
      </c>
      <c r="AG560" s="35" t="s">
        <v>3612</v>
      </c>
      <c r="AH560" s="35" t="s">
        <v>3613</v>
      </c>
    </row>
    <row r="561" spans="1:34" ht="14.45" hidden="1" customHeight="1" x14ac:dyDescent="0.3">
      <c r="A561" s="6" t="s">
        <v>757</v>
      </c>
      <c r="B561" s="7">
        <v>0</v>
      </c>
      <c r="C561" s="6" t="s">
        <v>756</v>
      </c>
      <c r="D561" s="6" t="s">
        <v>657</v>
      </c>
      <c r="E561" s="6" t="s">
        <v>758</v>
      </c>
      <c r="F561" s="6" t="s">
        <v>3229</v>
      </c>
      <c r="G561" s="8">
        <v>0.77130399999999999</v>
      </c>
      <c r="H561" s="8">
        <v>9.9308449999999997</v>
      </c>
      <c r="I561" s="6" t="s">
        <v>2477</v>
      </c>
      <c r="J561" s="6" t="s">
        <v>2459</v>
      </c>
      <c r="K561" s="6" t="s">
        <v>2468</v>
      </c>
      <c r="L561" s="6" t="s">
        <v>3455</v>
      </c>
      <c r="M561" s="6"/>
      <c r="N561" s="6" t="s">
        <v>2468</v>
      </c>
      <c r="O561" s="6" t="s">
        <v>40</v>
      </c>
      <c r="P561" s="6" t="str">
        <f>VLOOKUP(Tableau1[[#This Row],[SITES NAMES]],[1]Feuil1!$1:$1048576,8,FALSE)</f>
        <v>OK</v>
      </c>
      <c r="Q561" s="6" t="str">
        <f>VLOOKUP(Tableau1[[#This Row],[SITES NAMES]],[1]Feuil1!$1:$1048576,9,FALSE)</f>
        <v>NO</v>
      </c>
      <c r="R561" s="6" t="str">
        <f>VLOOKUP(Tableau1[[#This Row],[SITES NAMES]],[1]Feuil1!$1:$1048576,10,FALSE)</f>
        <v>NO</v>
      </c>
      <c r="S561" s="6" t="s">
        <v>2461</v>
      </c>
      <c r="T561" s="6" t="s">
        <v>2462</v>
      </c>
      <c r="U561" s="6" t="s">
        <v>2463</v>
      </c>
      <c r="V561" s="6" t="s">
        <v>2472</v>
      </c>
      <c r="W561" s="6" t="s">
        <v>2473</v>
      </c>
      <c r="X561" s="8" t="s">
        <v>2754</v>
      </c>
      <c r="Y561" s="6" t="s">
        <v>3239</v>
      </c>
      <c r="Z561" s="6" t="s">
        <v>3253</v>
      </c>
      <c r="AA561" s="37" t="s">
        <v>3687</v>
      </c>
      <c r="AB561" s="38" t="s">
        <v>3683</v>
      </c>
      <c r="AC561" s="37" t="s">
        <v>3688</v>
      </c>
      <c r="AD561" s="37" t="s">
        <v>3687</v>
      </c>
      <c r="AE561" s="37" t="s">
        <v>3689</v>
      </c>
      <c r="AF561" s="39" t="s">
        <v>3690</v>
      </c>
      <c r="AG561" s="40" t="s">
        <v>3685</v>
      </c>
      <c r="AH561" s="37" t="s">
        <v>3691</v>
      </c>
    </row>
    <row r="562" spans="1:34" ht="14.45" hidden="1" customHeight="1" x14ac:dyDescent="0.3">
      <c r="A562" s="6" t="s">
        <v>2284</v>
      </c>
      <c r="B562" s="7">
        <v>0</v>
      </c>
      <c r="C562" s="6" t="s">
        <v>2283</v>
      </c>
      <c r="D562" s="6" t="s">
        <v>320</v>
      </c>
      <c r="E562" s="6" t="s">
        <v>2274</v>
      </c>
      <c r="F562" s="6" t="s">
        <v>3229</v>
      </c>
      <c r="G562" s="8">
        <v>1.474181</v>
      </c>
      <c r="H562" s="8">
        <v>8.7216570000000004</v>
      </c>
      <c r="I562" s="6" t="s">
        <v>2477</v>
      </c>
      <c r="J562" s="6" t="s">
        <v>2459</v>
      </c>
      <c r="K562" s="6" t="s">
        <v>2468</v>
      </c>
      <c r="L562" s="6" t="s">
        <v>3327</v>
      </c>
      <c r="M562" s="6"/>
      <c r="N562" s="6" t="s">
        <v>2468</v>
      </c>
      <c r="O562" s="6" t="s">
        <v>40</v>
      </c>
      <c r="P562" s="6" t="str">
        <f>VLOOKUP(Tableau1[[#This Row],[SITES NAMES]],[1]Feuil1!$1:$1048576,8,FALSE)</f>
        <v>OK</v>
      </c>
      <c r="Q562" s="6" t="str">
        <f>VLOOKUP(Tableau1[[#This Row],[SITES NAMES]],[1]Feuil1!$1:$1048576,9,FALSE)</f>
        <v>NO</v>
      </c>
      <c r="R562" s="6" t="str">
        <f>VLOOKUP(Tableau1[[#This Row],[SITES NAMES]],[1]Feuil1!$1:$1048576,10,FALSE)</f>
        <v>NO</v>
      </c>
      <c r="S562" s="6" t="s">
        <v>2461</v>
      </c>
      <c r="T562" s="6" t="s">
        <v>2462</v>
      </c>
      <c r="U562" s="6" t="s">
        <v>2463</v>
      </c>
      <c r="V562" s="6" t="s">
        <v>2472</v>
      </c>
      <c r="W562" s="6" t="s">
        <v>2473</v>
      </c>
      <c r="X562" s="8" t="s">
        <v>3181</v>
      </c>
      <c r="Y562" s="6" t="s">
        <v>3238</v>
      </c>
      <c r="Z562" s="6" t="s">
        <v>3254</v>
      </c>
      <c r="AA562" s="37" t="s">
        <v>3678</v>
      </c>
      <c r="AB562" s="39" t="s">
        <v>3665</v>
      </c>
      <c r="AC562" s="37" t="s">
        <v>3679</v>
      </c>
      <c r="AD562" s="37" t="s">
        <v>3678</v>
      </c>
      <c r="AE562" s="37" t="s">
        <v>3680</v>
      </c>
      <c r="AF562" s="39" t="s">
        <v>3676</v>
      </c>
      <c r="AG562" s="37" t="s">
        <v>3670</v>
      </c>
      <c r="AH562" s="37" t="s">
        <v>3681</v>
      </c>
    </row>
    <row r="563" spans="1:34" ht="14.45" hidden="1" customHeight="1" x14ac:dyDescent="0.3">
      <c r="A563" s="6" t="s">
        <v>356</v>
      </c>
      <c r="B563" s="7">
        <v>45222</v>
      </c>
      <c r="C563" s="6" t="s">
        <v>355</v>
      </c>
      <c r="D563" s="6" t="s">
        <v>320</v>
      </c>
      <c r="E563" s="6" t="s">
        <v>321</v>
      </c>
      <c r="F563" s="6" t="s">
        <v>3229</v>
      </c>
      <c r="G563" s="8">
        <v>0.92215000000000003</v>
      </c>
      <c r="H563" s="8">
        <v>8.4759329999999995</v>
      </c>
      <c r="I563" s="6" t="s">
        <v>2477</v>
      </c>
      <c r="J563" s="6" t="s">
        <v>2459</v>
      </c>
      <c r="K563" s="6" t="s">
        <v>2468</v>
      </c>
      <c r="L563" s="6" t="s">
        <v>382</v>
      </c>
      <c r="M563" s="6"/>
      <c r="N563" s="6" t="s">
        <v>2468</v>
      </c>
      <c r="O563" s="6" t="s">
        <v>40</v>
      </c>
      <c r="P563" s="6" t="str">
        <f>VLOOKUP(Tableau1[[#This Row],[SITES NAMES]],[1]Feuil1!$1:$1048576,8,FALSE)</f>
        <v>OK</v>
      </c>
      <c r="Q563" s="6" t="str">
        <f>VLOOKUP(Tableau1[[#This Row],[SITES NAMES]],[1]Feuil1!$1:$1048576,9,FALSE)</f>
        <v>NO</v>
      </c>
      <c r="R563" s="6" t="str">
        <f>VLOOKUP(Tableau1[[#This Row],[SITES NAMES]],[1]Feuil1!$1:$1048576,10,FALSE)</f>
        <v>NO</v>
      </c>
      <c r="S563" s="6" t="s">
        <v>2469</v>
      </c>
      <c r="T563" s="6" t="s">
        <v>2470</v>
      </c>
      <c r="U563" s="6" t="s">
        <v>2471</v>
      </c>
      <c r="V563" s="6" t="s">
        <v>2472</v>
      </c>
      <c r="W563" s="6" t="s">
        <v>2531</v>
      </c>
      <c r="X563" s="8">
        <v>70997377</v>
      </c>
      <c r="Y563" s="6" t="s">
        <v>3238</v>
      </c>
      <c r="Z563" s="6" t="s">
        <v>3266</v>
      </c>
      <c r="AA563" s="37" t="s">
        <v>3664</v>
      </c>
      <c r="AB563" s="39" t="s">
        <v>3665</v>
      </c>
      <c r="AC563" s="37" t="s">
        <v>3666</v>
      </c>
      <c r="AD563" s="37" t="s">
        <v>3667</v>
      </c>
      <c r="AE563" s="37" t="s">
        <v>3668</v>
      </c>
      <c r="AF563" s="37" t="s">
        <v>3669</v>
      </c>
      <c r="AG563" s="37" t="s">
        <v>3670</v>
      </c>
      <c r="AH563" s="37" t="s">
        <v>3671</v>
      </c>
    </row>
    <row r="564" spans="1:34" ht="14.45" hidden="1" customHeight="1" x14ac:dyDescent="0.3">
      <c r="A564" s="6" t="s">
        <v>216</v>
      </c>
      <c r="B564" s="7">
        <v>0</v>
      </c>
      <c r="C564" s="6" t="s">
        <v>215</v>
      </c>
      <c r="D564" s="6" t="s">
        <v>132</v>
      </c>
      <c r="E564" s="6" t="s">
        <v>133</v>
      </c>
      <c r="F564" s="18" t="s">
        <v>3230</v>
      </c>
      <c r="G564" s="8">
        <v>1.100338</v>
      </c>
      <c r="H564" s="8">
        <v>7.5289669999999997</v>
      </c>
      <c r="I564" s="6" t="s">
        <v>2497</v>
      </c>
      <c r="J564" s="6" t="s">
        <v>2459</v>
      </c>
      <c r="K564" s="6" t="s">
        <v>2460</v>
      </c>
      <c r="L564" s="6"/>
      <c r="M564" s="6"/>
      <c r="N564" s="6" t="s">
        <v>3268</v>
      </c>
      <c r="O564" s="6" t="s">
        <v>7</v>
      </c>
      <c r="P564" s="6" t="str">
        <f>VLOOKUP(Tableau1[[#This Row],[SITES NAMES]],[1]Feuil1!$1:$1048576,8,FALSE)</f>
        <v>OK</v>
      </c>
      <c r="Q564" s="6" t="str">
        <f>VLOOKUP(Tableau1[[#This Row],[SITES NAMES]],[1]Feuil1!$1:$1048576,9,FALSE)</f>
        <v>NO</v>
      </c>
      <c r="R564" s="6" t="str">
        <f>VLOOKUP(Tableau1[[#This Row],[SITES NAMES]],[1]Feuil1!$1:$1048576,10,FALSE)</f>
        <v>YES</v>
      </c>
      <c r="S564" s="6" t="s">
        <v>2461</v>
      </c>
      <c r="T564" s="6" t="s">
        <v>2462</v>
      </c>
      <c r="U564" s="6" t="s">
        <v>2463</v>
      </c>
      <c r="V564" s="6" t="s">
        <v>2464</v>
      </c>
      <c r="W564" s="6" t="s">
        <v>2465</v>
      </c>
      <c r="X564" s="8" t="s">
        <v>2551</v>
      </c>
      <c r="Y564" s="6" t="s">
        <v>3238</v>
      </c>
      <c r="Z564" s="6" t="s">
        <v>3258</v>
      </c>
      <c r="AA564" s="37" t="s">
        <v>3643</v>
      </c>
      <c r="AB564" s="39" t="s">
        <v>3644</v>
      </c>
      <c r="AC564" s="37" t="s">
        <v>3645</v>
      </c>
      <c r="AD564" s="39" t="s">
        <v>3646</v>
      </c>
      <c r="AE564" s="39" t="s">
        <v>3647</v>
      </c>
      <c r="AF564" s="39" t="s">
        <v>3648</v>
      </c>
      <c r="AG564" s="37" t="s">
        <v>3649</v>
      </c>
      <c r="AH564" s="37" t="s">
        <v>3650</v>
      </c>
    </row>
    <row r="565" spans="1:34" ht="14.45" hidden="1" customHeight="1" x14ac:dyDescent="0.3">
      <c r="A565" s="6" t="s">
        <v>218</v>
      </c>
      <c r="B565" s="7">
        <v>44548</v>
      </c>
      <c r="C565" s="6" t="s">
        <v>217</v>
      </c>
      <c r="D565" s="6" t="s">
        <v>132</v>
      </c>
      <c r="E565" s="6" t="s">
        <v>133</v>
      </c>
      <c r="F565" s="6" t="s">
        <v>3229</v>
      </c>
      <c r="G565" s="8">
        <v>1.1019399999999999</v>
      </c>
      <c r="H565" s="8">
        <v>7.5375719999999999</v>
      </c>
      <c r="I565" s="6" t="s">
        <v>2479</v>
      </c>
      <c r="J565" s="6" t="s">
        <v>2459</v>
      </c>
      <c r="K565" s="6" t="s">
        <v>2460</v>
      </c>
      <c r="L565" s="6"/>
      <c r="M565" s="6"/>
      <c r="N565" s="6" t="s">
        <v>3268</v>
      </c>
      <c r="O565" s="6" t="s">
        <v>7</v>
      </c>
      <c r="P565" s="6" t="str">
        <f>VLOOKUP(Tableau1[[#This Row],[SITES NAMES]],[1]Feuil1!$1:$1048576,8,FALSE)</f>
        <v>OK</v>
      </c>
      <c r="Q565" s="6" t="str">
        <f>VLOOKUP(Tableau1[[#This Row],[SITES NAMES]],[1]Feuil1!$1:$1048576,9,FALSE)</f>
        <v>NO</v>
      </c>
      <c r="R565" s="6" t="str">
        <f>VLOOKUP(Tableau1[[#This Row],[SITES NAMES]],[1]Feuil1!$1:$1048576,10,FALSE)</f>
        <v>YES</v>
      </c>
      <c r="S565" s="6" t="s">
        <v>2461</v>
      </c>
      <c r="T565" s="6" t="s">
        <v>2462</v>
      </c>
      <c r="U565" s="6" t="s">
        <v>2463</v>
      </c>
      <c r="V565" s="6" t="s">
        <v>2464</v>
      </c>
      <c r="W565" s="6" t="s">
        <v>2465</v>
      </c>
      <c r="X565" s="8" t="s">
        <v>2552</v>
      </c>
      <c r="Y565" s="6" t="s">
        <v>3238</v>
      </c>
      <c r="Z565" s="6" t="s">
        <v>3258</v>
      </c>
      <c r="AA565" s="37" t="s">
        <v>3643</v>
      </c>
      <c r="AB565" s="39" t="s">
        <v>3644</v>
      </c>
      <c r="AC565" s="37" t="s">
        <v>3645</v>
      </c>
      <c r="AD565" s="39" t="s">
        <v>3646</v>
      </c>
      <c r="AE565" s="39" t="s">
        <v>3647</v>
      </c>
      <c r="AF565" s="39" t="s">
        <v>3648</v>
      </c>
      <c r="AG565" s="37" t="s">
        <v>3649</v>
      </c>
      <c r="AH565" s="37" t="s">
        <v>3650</v>
      </c>
    </row>
    <row r="566" spans="1:34" ht="14.45" hidden="1" customHeight="1" x14ac:dyDescent="0.25">
      <c r="A566" s="6" t="s">
        <v>1906</v>
      </c>
      <c r="B566" s="7">
        <v>43233</v>
      </c>
      <c r="C566" s="6" t="s">
        <v>1905</v>
      </c>
      <c r="D566" s="6" t="s">
        <v>66</v>
      </c>
      <c r="E566" s="6" t="s">
        <v>3232</v>
      </c>
      <c r="F566" s="6" t="s">
        <v>3229</v>
      </c>
      <c r="G566" s="8">
        <v>1.23217</v>
      </c>
      <c r="H566" s="8">
        <v>6.1267399999999999</v>
      </c>
      <c r="I566" s="6" t="s">
        <v>2486</v>
      </c>
      <c r="J566" s="6" t="s">
        <v>2459</v>
      </c>
      <c r="K566" s="6" t="s">
        <v>2460</v>
      </c>
      <c r="L566" s="6" t="s">
        <v>1881</v>
      </c>
      <c r="M566" s="6"/>
      <c r="N566" s="6" t="s">
        <v>3268</v>
      </c>
      <c r="O566" s="6" t="s">
        <v>1206</v>
      </c>
      <c r="P566" s="6"/>
      <c r="Q566" s="6" t="str">
        <f>VLOOKUP(Tableau1[[#This Row],[SITES NAMES]],[1]Feuil1!$1:$1048576,9,FALSE)</f>
        <v>YES</v>
      </c>
      <c r="R566" s="6" t="str">
        <f>VLOOKUP(Tableau1[[#This Row],[SITES NAMES]],[1]Feuil1!$1:$1048576,10,FALSE)</f>
        <v>NO</v>
      </c>
      <c r="S566" s="6" t="s">
        <v>2461</v>
      </c>
      <c r="T566" s="6" t="s">
        <v>2462</v>
      </c>
      <c r="U566" s="6" t="s">
        <v>2463</v>
      </c>
      <c r="V566" s="6" t="s">
        <v>2478</v>
      </c>
      <c r="W566" s="6" t="s">
        <v>2476</v>
      </c>
      <c r="X566" s="8"/>
      <c r="Y566" s="6" t="s">
        <v>3238</v>
      </c>
      <c r="Z566" s="6" t="s">
        <v>3262</v>
      </c>
      <c r="AA566" s="35" t="s">
        <v>3621</v>
      </c>
      <c r="AB566" s="35" t="s">
        <v>3608</v>
      </c>
      <c r="AC566" s="35" t="s">
        <v>3624</v>
      </c>
      <c r="AD566" s="35" t="s">
        <v>3610</v>
      </c>
      <c r="AE566" s="35" t="s">
        <v>3610</v>
      </c>
      <c r="AF566" s="35" t="s">
        <v>3611</v>
      </c>
      <c r="AG566" s="35" t="s">
        <v>3612</v>
      </c>
      <c r="AH566" s="35" t="s">
        <v>3625</v>
      </c>
    </row>
    <row r="567" spans="1:34" ht="14.45" hidden="1" customHeight="1" x14ac:dyDescent="0.25">
      <c r="A567" s="6" t="s">
        <v>1908</v>
      </c>
      <c r="B567" s="7">
        <v>0</v>
      </c>
      <c r="C567" s="6" t="s">
        <v>1907</v>
      </c>
      <c r="D567" s="6" t="s">
        <v>66</v>
      </c>
      <c r="E567" s="6" t="s">
        <v>3232</v>
      </c>
      <c r="F567" s="6" t="s">
        <v>3229</v>
      </c>
      <c r="G567" s="8">
        <v>1.2238279999999999</v>
      </c>
      <c r="H567" s="8">
        <v>6.1237810000000001</v>
      </c>
      <c r="I567" s="6" t="s">
        <v>2497</v>
      </c>
      <c r="J567" s="6" t="s">
        <v>2459</v>
      </c>
      <c r="K567" s="6" t="s">
        <v>2460</v>
      </c>
      <c r="L567" s="6"/>
      <c r="M567" s="6"/>
      <c r="N567" s="6" t="s">
        <v>3268</v>
      </c>
      <c r="O567" s="6" t="s">
        <v>1206</v>
      </c>
      <c r="P567" s="6"/>
      <c r="Q567" s="6" t="str">
        <f>VLOOKUP(Tableau1[[#This Row],[SITES NAMES]],[1]Feuil1!$1:$1048576,9,FALSE)</f>
        <v>NO</v>
      </c>
      <c r="R567" s="6" t="str">
        <f>VLOOKUP(Tableau1[[#This Row],[SITES NAMES]],[1]Feuil1!$1:$1048576,10,FALSE)</f>
        <v>NO</v>
      </c>
      <c r="S567" s="6" t="s">
        <v>2461</v>
      </c>
      <c r="T567" s="6" t="s">
        <v>2462</v>
      </c>
      <c r="U567" s="6" t="s">
        <v>2463</v>
      </c>
      <c r="V567" s="6" t="s">
        <v>2498</v>
      </c>
      <c r="W567" s="6" t="s">
        <v>2476</v>
      </c>
      <c r="X567" s="8"/>
      <c r="Y567" s="6" t="s">
        <v>3238</v>
      </c>
      <c r="Z567" s="6" t="s">
        <v>3262</v>
      </c>
      <c r="AA567" s="35" t="s">
        <v>3621</v>
      </c>
      <c r="AB567" s="35" t="s">
        <v>3608</v>
      </c>
      <c r="AC567" s="35" t="s">
        <v>3624</v>
      </c>
      <c r="AD567" s="35" t="s">
        <v>3610</v>
      </c>
      <c r="AE567" s="35" t="s">
        <v>3610</v>
      </c>
      <c r="AF567" s="35" t="s">
        <v>3611</v>
      </c>
      <c r="AG567" s="35" t="s">
        <v>3612</v>
      </c>
      <c r="AH567" s="35" t="s">
        <v>3625</v>
      </c>
    </row>
    <row r="568" spans="1:34" ht="14.45" hidden="1" customHeight="1" x14ac:dyDescent="0.25">
      <c r="A568" s="6" t="s">
        <v>1910</v>
      </c>
      <c r="B568" s="7">
        <v>46022</v>
      </c>
      <c r="C568" s="6" t="s">
        <v>1909</v>
      </c>
      <c r="D568" s="6" t="s">
        <v>66</v>
      </c>
      <c r="E568" s="6" t="s">
        <v>3232</v>
      </c>
      <c r="F568" s="6" t="s">
        <v>3229</v>
      </c>
      <c r="G568" s="8">
        <v>1.215096</v>
      </c>
      <c r="H568" s="8">
        <v>6.1284890000000001</v>
      </c>
      <c r="I568" s="6" t="e">
        <v>#N/A</v>
      </c>
      <c r="J568" s="6" t="s">
        <v>2459</v>
      </c>
      <c r="K568" s="6" t="s">
        <v>2460</v>
      </c>
      <c r="L568" s="6"/>
      <c r="M568" s="6"/>
      <c r="N568" s="6" t="s">
        <v>3268</v>
      </c>
      <c r="O568" s="6" t="s">
        <v>1206</v>
      </c>
      <c r="P568" s="6"/>
      <c r="Q568" s="6"/>
      <c r="R568" s="6"/>
      <c r="S568" s="6"/>
      <c r="T568" s="6"/>
      <c r="U568" s="6"/>
      <c r="V568" s="6"/>
      <c r="W568" s="6"/>
      <c r="X568" s="8"/>
      <c r="Y568" s="6" t="s">
        <v>3238</v>
      </c>
      <c r="Z568" s="6" t="s">
        <v>3262</v>
      </c>
      <c r="AA568" s="35" t="s">
        <v>3621</v>
      </c>
      <c r="AB568" s="35" t="s">
        <v>3608</v>
      </c>
      <c r="AC568" s="35" t="s">
        <v>3624</v>
      </c>
      <c r="AD568" s="35" t="s">
        <v>3610</v>
      </c>
      <c r="AE568" s="35" t="s">
        <v>3610</v>
      </c>
      <c r="AF568" s="35" t="s">
        <v>3611</v>
      </c>
      <c r="AG568" s="35" t="s">
        <v>3612</v>
      </c>
      <c r="AH568" s="35" t="s">
        <v>3625</v>
      </c>
    </row>
    <row r="569" spans="1:34" ht="14.45" hidden="1" customHeight="1" x14ac:dyDescent="0.25">
      <c r="A569" s="6" t="s">
        <v>1185</v>
      </c>
      <c r="B569" s="7">
        <v>0</v>
      </c>
      <c r="C569" s="6" t="s">
        <v>1184</v>
      </c>
      <c r="D569" s="6" t="s">
        <v>66</v>
      </c>
      <c r="E569" s="6" t="s">
        <v>1924</v>
      </c>
      <c r="F569" s="18" t="s">
        <v>3230</v>
      </c>
      <c r="G569" s="8">
        <v>1.246677</v>
      </c>
      <c r="H569" s="8">
        <v>6.1771000000000003</v>
      </c>
      <c r="I569" s="6" t="s">
        <v>2497</v>
      </c>
      <c r="J569" s="6" t="s">
        <v>2459</v>
      </c>
      <c r="K569" s="6" t="s">
        <v>2460</v>
      </c>
      <c r="L569" s="6"/>
      <c r="M569" s="6"/>
      <c r="N569" s="6" t="s">
        <v>3268</v>
      </c>
      <c r="O569" s="6" t="s">
        <v>7</v>
      </c>
      <c r="P569" s="6" t="str">
        <f>VLOOKUP(Tableau1[[#This Row],[SITES NAMES]],[1]Feuil1!$1:$1048576,8,FALSE)</f>
        <v>OK</v>
      </c>
      <c r="Q569" s="6" t="str">
        <f>VLOOKUP(Tableau1[[#This Row],[SITES NAMES]],[1]Feuil1!$1:$1048576,9,FALSE)</f>
        <v>YES</v>
      </c>
      <c r="R569" s="6" t="str">
        <f>VLOOKUP(Tableau1[[#This Row],[SITES NAMES]],[1]Feuil1!$1:$1048576,10,FALSE)</f>
        <v>YES</v>
      </c>
      <c r="S569" s="6" t="s">
        <v>2469</v>
      </c>
      <c r="T569" s="6" t="s">
        <v>2470</v>
      </c>
      <c r="U569" s="6" t="s">
        <v>2480</v>
      </c>
      <c r="V569" s="6" t="s">
        <v>2478</v>
      </c>
      <c r="W569" s="6" t="s">
        <v>2476</v>
      </c>
      <c r="X569" s="8" t="s">
        <v>2899</v>
      </c>
      <c r="Y569" s="6" t="s">
        <v>3238</v>
      </c>
      <c r="Z569" s="6" t="s">
        <v>3261</v>
      </c>
      <c r="AA569" s="35" t="s">
        <v>3607</v>
      </c>
      <c r="AB569" s="35" t="s">
        <v>3608</v>
      </c>
      <c r="AC569" s="35" t="s">
        <v>3609</v>
      </c>
      <c r="AD569" s="35" t="s">
        <v>3610</v>
      </c>
      <c r="AE569" s="35" t="s">
        <v>3610</v>
      </c>
      <c r="AF569" s="35" t="s">
        <v>3611</v>
      </c>
      <c r="AG569" s="35" t="s">
        <v>3612</v>
      </c>
      <c r="AH569" s="35" t="s">
        <v>3613</v>
      </c>
    </row>
    <row r="570" spans="1:34" ht="14.45" hidden="1" customHeight="1" x14ac:dyDescent="0.25">
      <c r="A570" s="6" t="s">
        <v>1260</v>
      </c>
      <c r="B570" s="7">
        <v>0</v>
      </c>
      <c r="C570" s="6" t="s">
        <v>1259</v>
      </c>
      <c r="D570" s="6" t="s">
        <v>66</v>
      </c>
      <c r="E570" s="6" t="s">
        <v>1924</v>
      </c>
      <c r="F570" s="6" t="s">
        <v>3229</v>
      </c>
      <c r="G570" s="8">
        <v>1.24447222</v>
      </c>
      <c r="H570" s="8">
        <v>6.1681944440000001</v>
      </c>
      <c r="I570" s="6" t="s">
        <v>2497</v>
      </c>
      <c r="J570" s="6" t="s">
        <v>2459</v>
      </c>
      <c r="K570" s="6" t="s">
        <v>2460</v>
      </c>
      <c r="L570" s="6"/>
      <c r="M570" s="6"/>
      <c r="N570" s="6" t="s">
        <v>3268</v>
      </c>
      <c r="O570" s="6" t="s">
        <v>7</v>
      </c>
      <c r="P570" s="6" t="str">
        <f>VLOOKUP(Tableau1[[#This Row],[SITES NAMES]],[1]Feuil1!$1:$1048576,8,FALSE)</f>
        <v>OK</v>
      </c>
      <c r="Q570" s="6" t="str">
        <f>VLOOKUP(Tableau1[[#This Row],[SITES NAMES]],[1]Feuil1!$1:$1048576,9,FALSE)</f>
        <v>NO</v>
      </c>
      <c r="R570" s="6" t="str">
        <f>VLOOKUP(Tableau1[[#This Row],[SITES NAMES]],[1]Feuil1!$1:$1048576,10,FALSE)</f>
        <v>NO</v>
      </c>
      <c r="S570" s="6" t="s">
        <v>2469</v>
      </c>
      <c r="T570" s="6" t="s">
        <v>2470</v>
      </c>
      <c r="U570" s="6" t="s">
        <v>2463</v>
      </c>
      <c r="V570" s="6" t="s">
        <v>2478</v>
      </c>
      <c r="W570" s="6" t="s">
        <v>2476</v>
      </c>
      <c r="X570" s="8" t="s">
        <v>2912</v>
      </c>
      <c r="Y570" s="6" t="s">
        <v>3238</v>
      </c>
      <c r="Z570" s="6" t="s">
        <v>3261</v>
      </c>
      <c r="AA570" s="35" t="s">
        <v>3607</v>
      </c>
      <c r="AB570" s="35" t="s">
        <v>3608</v>
      </c>
      <c r="AC570" s="35" t="s">
        <v>3609</v>
      </c>
      <c r="AD570" s="35" t="s">
        <v>3610</v>
      </c>
      <c r="AE570" s="35" t="s">
        <v>3610</v>
      </c>
      <c r="AF570" s="35" t="s">
        <v>3611</v>
      </c>
      <c r="AG570" s="35" t="s">
        <v>3612</v>
      </c>
      <c r="AH570" s="35" t="s">
        <v>3613</v>
      </c>
    </row>
    <row r="571" spans="1:34" ht="14.45" hidden="1" customHeight="1" x14ac:dyDescent="0.3">
      <c r="A571" s="6" t="s">
        <v>2097</v>
      </c>
      <c r="B571" s="7">
        <v>0</v>
      </c>
      <c r="C571" s="6" t="s">
        <v>2096</v>
      </c>
      <c r="D571" s="6" t="s">
        <v>132</v>
      </c>
      <c r="E571" s="6" t="s">
        <v>2049</v>
      </c>
      <c r="F571" s="6" t="s">
        <v>3229</v>
      </c>
      <c r="G571" s="8">
        <v>1.3021400000000001</v>
      </c>
      <c r="H571" s="8">
        <v>7.1559699999999999</v>
      </c>
      <c r="I571" s="6" t="s">
        <v>2477</v>
      </c>
      <c r="J571" s="6" t="s">
        <v>2459</v>
      </c>
      <c r="K571" s="6" t="s">
        <v>2468</v>
      </c>
      <c r="L571" s="6" t="s">
        <v>2138</v>
      </c>
      <c r="M571" s="6"/>
      <c r="N571" s="6" t="s">
        <v>2468</v>
      </c>
      <c r="O571" s="6" t="s">
        <v>40</v>
      </c>
      <c r="P571" s="6" t="str">
        <f>VLOOKUP(Tableau1[[#This Row],[SITES NAMES]],[1]Feuil1!$1:$1048576,8,FALSE)</f>
        <v>OK</v>
      </c>
      <c r="Q571" s="6" t="str">
        <f>VLOOKUP(Tableau1[[#This Row],[SITES NAMES]],[1]Feuil1!$1:$1048576,9,FALSE)</f>
        <v>NO</v>
      </c>
      <c r="R571" s="6" t="str">
        <f>VLOOKUP(Tableau1[[#This Row],[SITES NAMES]],[1]Feuil1!$1:$1048576,10,FALSE)</f>
        <v>NO</v>
      </c>
      <c r="S571" s="6" t="s">
        <v>2461</v>
      </c>
      <c r="T571" s="6" t="s">
        <v>2462</v>
      </c>
      <c r="U571" s="6" t="s">
        <v>2463</v>
      </c>
      <c r="V571" s="6" t="s">
        <v>2472</v>
      </c>
      <c r="W571" s="6" t="s">
        <v>2473</v>
      </c>
      <c r="X571" s="8" t="s">
        <v>3111</v>
      </c>
      <c r="Y571" s="6" t="s">
        <v>3238</v>
      </c>
      <c r="Z571" s="6" t="s">
        <v>3257</v>
      </c>
      <c r="AA571" s="45" t="s">
        <v>3656</v>
      </c>
      <c r="AB571" s="39" t="s">
        <v>3644</v>
      </c>
      <c r="AC571" s="45" t="s">
        <v>3657</v>
      </c>
      <c r="AD571" s="37" t="s">
        <v>3658</v>
      </c>
      <c r="AE571" s="37" t="s">
        <v>3647</v>
      </c>
      <c r="AF571" s="39" t="s">
        <v>3648</v>
      </c>
      <c r="AG571" s="37" t="s">
        <v>3649</v>
      </c>
      <c r="AH571" s="37" t="s">
        <v>3659</v>
      </c>
    </row>
    <row r="572" spans="1:34" ht="14.45" hidden="1" customHeight="1" x14ac:dyDescent="0.3">
      <c r="A572" s="6" t="s">
        <v>704</v>
      </c>
      <c r="B572" s="7">
        <v>0</v>
      </c>
      <c r="C572" s="6" t="s">
        <v>703</v>
      </c>
      <c r="D572" s="6" t="s">
        <v>657</v>
      </c>
      <c r="E572" s="6" t="s">
        <v>658</v>
      </c>
      <c r="F572" s="6" t="s">
        <v>3229</v>
      </c>
      <c r="G572" s="8">
        <v>0.49413000000000001</v>
      </c>
      <c r="H572" s="8">
        <v>9.50746</v>
      </c>
      <c r="I572" s="6" t="s">
        <v>2477</v>
      </c>
      <c r="J572" s="6" t="s">
        <v>2459</v>
      </c>
      <c r="K572" s="6" t="s">
        <v>2468</v>
      </c>
      <c r="L572" s="6" t="s">
        <v>3482</v>
      </c>
      <c r="M572" s="6"/>
      <c r="N572" s="6" t="s">
        <v>2468</v>
      </c>
      <c r="O572" s="6" t="s">
        <v>40</v>
      </c>
      <c r="P572" s="6" t="str">
        <f>VLOOKUP(Tableau1[[#This Row],[SITES NAMES]],[1]Feuil1!$1:$1048576,8,FALSE)</f>
        <v>OK</v>
      </c>
      <c r="Q572" s="6" t="str">
        <f>VLOOKUP(Tableau1[[#This Row],[SITES NAMES]],[1]Feuil1!$1:$1048576,9,FALSE)</f>
        <v>NO</v>
      </c>
      <c r="R572" s="6" t="str">
        <f>VLOOKUP(Tableau1[[#This Row],[SITES NAMES]],[1]Feuil1!$1:$1048576,10,FALSE)</f>
        <v>NO</v>
      </c>
      <c r="S572" s="6" t="s">
        <v>2469</v>
      </c>
      <c r="T572" s="6" t="s">
        <v>2470</v>
      </c>
      <c r="U572" s="6" t="s">
        <v>2471</v>
      </c>
      <c r="V572" s="6" t="s">
        <v>2472</v>
      </c>
      <c r="W572" s="6" t="s">
        <v>2473</v>
      </c>
      <c r="X572" s="8" t="s">
        <v>2729</v>
      </c>
      <c r="Y572" s="6" t="s">
        <v>3239</v>
      </c>
      <c r="Z572" s="6" t="s">
        <v>3253</v>
      </c>
      <c r="AA572" s="38" t="s">
        <v>3682</v>
      </c>
      <c r="AB572" s="38" t="s">
        <v>3683</v>
      </c>
      <c r="AC572" s="38" t="s">
        <v>3684</v>
      </c>
      <c r="AD572" s="38" t="s">
        <v>3682</v>
      </c>
      <c r="AE572" s="38" t="s">
        <v>3682</v>
      </c>
      <c r="AF572" s="38" t="s">
        <v>3682</v>
      </c>
      <c r="AG572" s="40" t="s">
        <v>3685</v>
      </c>
      <c r="AH572" s="37" t="s">
        <v>3686</v>
      </c>
    </row>
    <row r="573" spans="1:34" ht="14.45" hidden="1" customHeight="1" x14ac:dyDescent="0.3">
      <c r="A573" s="6" t="s">
        <v>279</v>
      </c>
      <c r="B573" s="7">
        <v>46022</v>
      </c>
      <c r="C573" s="6" t="s">
        <v>278</v>
      </c>
      <c r="D573" s="6" t="s">
        <v>132</v>
      </c>
      <c r="E573" s="6" t="s">
        <v>251</v>
      </c>
      <c r="F573" s="6" t="s">
        <v>3229</v>
      </c>
      <c r="G573" s="8">
        <v>0.96374400000000005</v>
      </c>
      <c r="H573" s="8">
        <v>7.6220129999999999</v>
      </c>
      <c r="I573" s="17" t="s">
        <v>2477</v>
      </c>
      <c r="J573" s="6" t="s">
        <v>2459</v>
      </c>
      <c r="K573" s="6" t="s">
        <v>2468</v>
      </c>
      <c r="L573" s="6"/>
      <c r="M573" s="6"/>
      <c r="N573" s="6" t="s">
        <v>2468</v>
      </c>
      <c r="O573" s="6" t="s">
        <v>40</v>
      </c>
      <c r="P573" s="6"/>
      <c r="Q573" s="6"/>
      <c r="R573" s="6"/>
      <c r="S573" s="6"/>
      <c r="T573" s="6"/>
      <c r="U573" s="6"/>
      <c r="V573" s="6"/>
      <c r="W573" s="6"/>
      <c r="X573" s="8"/>
      <c r="Y573" s="6" t="s">
        <v>3238</v>
      </c>
      <c r="Z573" s="6" t="s">
        <v>3256</v>
      </c>
      <c r="AA573" s="37" t="s">
        <v>3651</v>
      </c>
      <c r="AB573" s="39" t="s">
        <v>3644</v>
      </c>
      <c r="AC573" s="45" t="s">
        <v>3652</v>
      </c>
      <c r="AD573" s="39" t="s">
        <v>3646</v>
      </c>
      <c r="AE573" s="37" t="s">
        <v>3653</v>
      </c>
      <c r="AF573" s="37" t="s">
        <v>3654</v>
      </c>
      <c r="AG573" s="37" t="s">
        <v>3649</v>
      </c>
      <c r="AH573" s="37" t="s">
        <v>3655</v>
      </c>
    </row>
    <row r="574" spans="1:34" ht="14.45" hidden="1" customHeight="1" x14ac:dyDescent="0.3">
      <c r="A574" s="6" t="s">
        <v>261</v>
      </c>
      <c r="B574" s="7">
        <v>0</v>
      </c>
      <c r="C574" s="6" t="s">
        <v>260</v>
      </c>
      <c r="D574" s="6" t="s">
        <v>132</v>
      </c>
      <c r="E574" s="6" t="s">
        <v>251</v>
      </c>
      <c r="F574" s="6" t="s">
        <v>3229</v>
      </c>
      <c r="G574" s="8">
        <v>0.64073999999999998</v>
      </c>
      <c r="H574" s="8">
        <v>7.6011600000000001</v>
      </c>
      <c r="I574" s="6" t="s">
        <v>2477</v>
      </c>
      <c r="J574" s="6" t="s">
        <v>2459</v>
      </c>
      <c r="K574" s="6" t="s">
        <v>2460</v>
      </c>
      <c r="L574" s="6"/>
      <c r="M574" s="6"/>
      <c r="N574" s="6" t="s">
        <v>3268</v>
      </c>
      <c r="O574" s="6" t="s">
        <v>7</v>
      </c>
      <c r="P574" s="6" t="str">
        <f>VLOOKUP(Tableau1[[#This Row],[SITES NAMES]],[1]Feuil1!$1:$1048576,8,FALSE)</f>
        <v>OK</v>
      </c>
      <c r="Q574" s="6" t="str">
        <f>VLOOKUP(Tableau1[[#This Row],[SITES NAMES]],[1]Feuil1!$1:$1048576,9,FALSE)</f>
        <v>NO</v>
      </c>
      <c r="R574" s="6" t="str">
        <f>VLOOKUP(Tableau1[[#This Row],[SITES NAMES]],[1]Feuil1!$1:$1048576,10,FALSE)</f>
        <v>NO</v>
      </c>
      <c r="S574" s="6" t="s">
        <v>2461</v>
      </c>
      <c r="T574" s="6" t="s">
        <v>2462</v>
      </c>
      <c r="U574" s="6" t="s">
        <v>2463</v>
      </c>
      <c r="V574" s="6" t="s">
        <v>2472</v>
      </c>
      <c r="W574" s="6" t="s">
        <v>2473</v>
      </c>
      <c r="X574" s="8" t="s">
        <v>2571</v>
      </c>
      <c r="Y574" s="6" t="s">
        <v>3238</v>
      </c>
      <c r="Z574" s="6" t="s">
        <v>3256</v>
      </c>
      <c r="AA574" s="37" t="s">
        <v>3651</v>
      </c>
      <c r="AB574" s="39" t="s">
        <v>3644</v>
      </c>
      <c r="AC574" s="45" t="s">
        <v>3652</v>
      </c>
      <c r="AD574" s="39" t="s">
        <v>3646</v>
      </c>
      <c r="AE574" s="37" t="s">
        <v>3653</v>
      </c>
      <c r="AF574" s="37" t="s">
        <v>3654</v>
      </c>
      <c r="AG574" s="37" t="s">
        <v>3649</v>
      </c>
      <c r="AH574" s="37" t="s">
        <v>3655</v>
      </c>
    </row>
    <row r="575" spans="1:34" ht="14.45" hidden="1" customHeight="1" x14ac:dyDescent="0.3">
      <c r="A575" s="6" t="s">
        <v>578</v>
      </c>
      <c r="B575" s="7">
        <v>0</v>
      </c>
      <c r="C575" s="6" t="s">
        <v>577</v>
      </c>
      <c r="D575" s="6" t="s">
        <v>132</v>
      </c>
      <c r="E575" s="6" t="s">
        <v>565</v>
      </c>
      <c r="F575" s="6" t="s">
        <v>3229</v>
      </c>
      <c r="G575" s="8">
        <v>1.56403</v>
      </c>
      <c r="H575" s="8">
        <v>8.0542999999999996</v>
      </c>
      <c r="I575" s="6" t="s">
        <v>2477</v>
      </c>
      <c r="J575" s="6" t="s">
        <v>2459</v>
      </c>
      <c r="K575" s="6" t="s">
        <v>2468</v>
      </c>
      <c r="L575" s="6" t="s">
        <v>3483</v>
      </c>
      <c r="M575" s="6"/>
      <c r="N575" s="6" t="s">
        <v>2468</v>
      </c>
      <c r="O575" s="6" t="s">
        <v>18</v>
      </c>
      <c r="P575" s="6" t="str">
        <f>VLOOKUP(Tableau1[[#This Row],[SITES NAMES]],[1]Feuil1!$1:$1048576,8,FALSE)</f>
        <v>NOK</v>
      </c>
      <c r="Q575" s="6" t="str">
        <f>VLOOKUP(Tableau1[[#This Row],[SITES NAMES]],[1]Feuil1!$1:$1048576,9,FALSE)</f>
        <v>NO</v>
      </c>
      <c r="R575" s="6" t="str">
        <f>VLOOKUP(Tableau1[[#This Row],[SITES NAMES]],[1]Feuil1!$1:$1048576,10,FALSE)</f>
        <v>YES</v>
      </c>
      <c r="S575" s="6" t="s">
        <v>2461</v>
      </c>
      <c r="T575" s="6" t="s">
        <v>2462</v>
      </c>
      <c r="U575" s="6" t="s">
        <v>2463</v>
      </c>
      <c r="V575" s="6" t="s">
        <v>2472</v>
      </c>
      <c r="W575" s="6" t="s">
        <v>2473</v>
      </c>
      <c r="X575" s="8" t="s">
        <v>2686</v>
      </c>
      <c r="Y575" s="6" t="s">
        <v>3238</v>
      </c>
      <c r="Z575" s="6"/>
      <c r="AA575" s="37" t="s">
        <v>3660</v>
      </c>
      <c r="AB575" s="39" t="s">
        <v>3644</v>
      </c>
      <c r="AC575" s="37" t="s">
        <v>3661</v>
      </c>
      <c r="AD575" s="39" t="s">
        <v>3646</v>
      </c>
      <c r="AE575" s="39" t="s">
        <v>3647</v>
      </c>
      <c r="AF575" s="39" t="s">
        <v>3662</v>
      </c>
      <c r="AG575" s="37" t="s">
        <v>3649</v>
      </c>
      <c r="AH575" s="37" t="s">
        <v>3663</v>
      </c>
    </row>
    <row r="576" spans="1:34" ht="14.45" hidden="1" customHeight="1" x14ac:dyDescent="0.3">
      <c r="A576" s="6" t="s">
        <v>220</v>
      </c>
      <c r="B576" s="7">
        <v>44560</v>
      </c>
      <c r="C576" s="6" t="s">
        <v>219</v>
      </c>
      <c r="D576" s="6" t="s">
        <v>132</v>
      </c>
      <c r="E576" s="6" t="s">
        <v>133</v>
      </c>
      <c r="F576" s="6" t="s">
        <v>3229</v>
      </c>
      <c r="G576" s="8">
        <v>1.2489600000000001</v>
      </c>
      <c r="H576" s="8">
        <v>7.4941779999999998</v>
      </c>
      <c r="I576" s="6" t="s">
        <v>2477</v>
      </c>
      <c r="J576" s="6" t="s">
        <v>2459</v>
      </c>
      <c r="K576" s="6" t="s">
        <v>2468</v>
      </c>
      <c r="L576" s="6" t="s">
        <v>3484</v>
      </c>
      <c r="M576" s="6"/>
      <c r="N576" s="6" t="s">
        <v>2468</v>
      </c>
      <c r="O576" s="6" t="s">
        <v>7</v>
      </c>
      <c r="P576" s="6" t="str">
        <f>VLOOKUP(Tableau1[[#This Row],[SITES NAMES]],[1]Feuil1!$1:$1048576,8,FALSE)</f>
        <v>OK</v>
      </c>
      <c r="Q576" s="6" t="str">
        <f>VLOOKUP(Tableau1[[#This Row],[SITES NAMES]],[1]Feuil1!$1:$1048576,9,FALSE)</f>
        <v>NO</v>
      </c>
      <c r="R576" s="6" t="str">
        <f>VLOOKUP(Tableau1[[#This Row],[SITES NAMES]],[1]Feuil1!$1:$1048576,10,FALSE)</f>
        <v>YES</v>
      </c>
      <c r="S576" s="6" t="s">
        <v>2461</v>
      </c>
      <c r="T576" s="6" t="s">
        <v>2462</v>
      </c>
      <c r="U576" s="6" t="s">
        <v>2463</v>
      </c>
      <c r="V576" s="6" t="s">
        <v>2472</v>
      </c>
      <c r="W576" s="6" t="s">
        <v>2473</v>
      </c>
      <c r="X576" s="8"/>
      <c r="Y576" s="6" t="s">
        <v>3238</v>
      </c>
      <c r="Z576" s="6" t="s">
        <v>3258</v>
      </c>
      <c r="AA576" s="37" t="s">
        <v>3643</v>
      </c>
      <c r="AB576" s="39" t="s">
        <v>3644</v>
      </c>
      <c r="AC576" s="37" t="s">
        <v>3645</v>
      </c>
      <c r="AD576" s="39" t="s">
        <v>3646</v>
      </c>
      <c r="AE576" s="39" t="s">
        <v>3647</v>
      </c>
      <c r="AF576" s="39" t="s">
        <v>3648</v>
      </c>
      <c r="AG576" s="37" t="s">
        <v>3649</v>
      </c>
      <c r="AH576" s="37" t="s">
        <v>3650</v>
      </c>
    </row>
    <row r="577" spans="1:34" ht="14.45" hidden="1" customHeight="1" x14ac:dyDescent="0.3">
      <c r="A577" s="6" t="s">
        <v>650</v>
      </c>
      <c r="B577" s="7">
        <v>44828</v>
      </c>
      <c r="C577" s="6" t="s">
        <v>649</v>
      </c>
      <c r="D577" s="6" t="s">
        <v>132</v>
      </c>
      <c r="E577" s="6" t="s">
        <v>565</v>
      </c>
      <c r="F577" s="6" t="s">
        <v>3229</v>
      </c>
      <c r="G577" s="8">
        <v>1.4604999999999999</v>
      </c>
      <c r="H577" s="8">
        <v>8.1355830000000005</v>
      </c>
      <c r="I577" s="6" t="s">
        <v>2477</v>
      </c>
      <c r="J577" s="6" t="s">
        <v>2459</v>
      </c>
      <c r="K577" s="6" t="s">
        <v>2468</v>
      </c>
      <c r="L577" s="6" t="s">
        <v>654</v>
      </c>
      <c r="M577" s="6"/>
      <c r="N577" s="6" t="s">
        <v>2468</v>
      </c>
      <c r="O577" s="6" t="s">
        <v>40</v>
      </c>
      <c r="P577" s="6" t="str">
        <f>VLOOKUP(Tableau1[[#This Row],[SITES NAMES]],[1]Feuil1!$1:$1048576,8,FALSE)</f>
        <v>OK</v>
      </c>
      <c r="Q577" s="6" t="str">
        <f>VLOOKUP(Tableau1[[#This Row],[SITES NAMES]],[1]Feuil1!$1:$1048576,9,FALSE)</f>
        <v>NO</v>
      </c>
      <c r="R577" s="6" t="str">
        <f>VLOOKUP(Tableau1[[#This Row],[SITES NAMES]],[1]Feuil1!$1:$1048576,10,FALSE)</f>
        <v>YES</v>
      </c>
      <c r="S577" s="6" t="s">
        <v>2461</v>
      </c>
      <c r="T577" s="6" t="s">
        <v>2462</v>
      </c>
      <c r="U577" s="6" t="s">
        <v>2463</v>
      </c>
      <c r="V577" s="6" t="s">
        <v>2472</v>
      </c>
      <c r="W577" s="6" t="s">
        <v>2473</v>
      </c>
      <c r="X577" s="8" t="s">
        <v>2710</v>
      </c>
      <c r="Y577" s="6" t="s">
        <v>3238</v>
      </c>
      <c r="Z577" s="6" t="s">
        <v>3254</v>
      </c>
      <c r="AA577" s="37" t="s">
        <v>3660</v>
      </c>
      <c r="AB577" s="39" t="s">
        <v>3644</v>
      </c>
      <c r="AC577" s="37" t="s">
        <v>3661</v>
      </c>
      <c r="AD577" s="39" t="s">
        <v>3646</v>
      </c>
      <c r="AE577" s="39" t="s">
        <v>3647</v>
      </c>
      <c r="AF577" s="39" t="s">
        <v>3662</v>
      </c>
      <c r="AG577" s="37" t="s">
        <v>3649</v>
      </c>
      <c r="AH577" s="37" t="s">
        <v>3663</v>
      </c>
    </row>
    <row r="578" spans="1:34" ht="14.45" hidden="1" customHeight="1" x14ac:dyDescent="0.3">
      <c r="A578" s="6" t="s">
        <v>843</v>
      </c>
      <c r="B578" s="7">
        <v>0</v>
      </c>
      <c r="C578" s="6" t="s">
        <v>842</v>
      </c>
      <c r="D578" s="6" t="s">
        <v>657</v>
      </c>
      <c r="E578" s="6" t="s">
        <v>3237</v>
      </c>
      <c r="F578" s="6" t="s">
        <v>3229</v>
      </c>
      <c r="G578" s="8">
        <v>1.1983333329999999</v>
      </c>
      <c r="H578" s="8">
        <v>9.5496890150000002</v>
      </c>
      <c r="I578" s="6" t="s">
        <v>2497</v>
      </c>
      <c r="J578" s="6" t="s">
        <v>2459</v>
      </c>
      <c r="K578" s="6" t="s">
        <v>2460</v>
      </c>
      <c r="L578" s="6"/>
      <c r="M578" s="6"/>
      <c r="N578" s="6" t="s">
        <v>3268</v>
      </c>
      <c r="O578" s="6" t="s">
        <v>7</v>
      </c>
      <c r="P578" s="6" t="str">
        <f>VLOOKUP(Tableau1[[#This Row],[SITES NAMES]],[1]Feuil1!$1:$1048576,8,FALSE)</f>
        <v>NOK</v>
      </c>
      <c r="Q578" s="6" t="str">
        <f>VLOOKUP(Tableau1[[#This Row],[SITES NAMES]],[1]Feuil1!$1:$1048576,9,FALSE)</f>
        <v>NO</v>
      </c>
      <c r="R578" s="6" t="str">
        <f>VLOOKUP(Tableau1[[#This Row],[SITES NAMES]],[1]Feuil1!$1:$1048576,10,FALSE)</f>
        <v>NO</v>
      </c>
      <c r="S578" s="6" t="s">
        <v>2461</v>
      </c>
      <c r="T578" s="6" t="s">
        <v>2462</v>
      </c>
      <c r="U578" s="6" t="s">
        <v>2463</v>
      </c>
      <c r="V578" s="6" t="s">
        <v>2464</v>
      </c>
      <c r="W578" s="6" t="s">
        <v>2476</v>
      </c>
      <c r="X578" s="8"/>
      <c r="Y578" s="6" t="s">
        <v>3239</v>
      </c>
      <c r="Z578" s="6" t="s">
        <v>3253</v>
      </c>
      <c r="AA578" s="37" t="s">
        <v>3692</v>
      </c>
      <c r="AB578" s="38" t="s">
        <v>3683</v>
      </c>
      <c r="AC578" s="39" t="s">
        <v>3693</v>
      </c>
      <c r="AD578" s="39" t="s">
        <v>3694</v>
      </c>
      <c r="AE578" s="37" t="s">
        <v>3695</v>
      </c>
      <c r="AF578" s="39" t="s">
        <v>3696</v>
      </c>
      <c r="AG578" s="40" t="s">
        <v>3685</v>
      </c>
      <c r="AH578" s="37" t="s">
        <v>3697</v>
      </c>
    </row>
    <row r="579" spans="1:34" ht="14.45" hidden="1" customHeight="1" x14ac:dyDescent="0.3">
      <c r="A579" s="6" t="s">
        <v>706</v>
      </c>
      <c r="B579" s="7">
        <v>45015</v>
      </c>
      <c r="C579" s="6" t="s">
        <v>705</v>
      </c>
      <c r="D579" s="6" t="s">
        <v>657</v>
      </c>
      <c r="E579" s="6" t="s">
        <v>658</v>
      </c>
      <c r="F579" s="6" t="s">
        <v>3229</v>
      </c>
      <c r="G579" s="8">
        <v>0.65080000000000005</v>
      </c>
      <c r="H579" s="8">
        <v>9.3014670000000006</v>
      </c>
      <c r="I579" s="6" t="s">
        <v>2477</v>
      </c>
      <c r="J579" s="6" t="s">
        <v>2459</v>
      </c>
      <c r="K579" s="6" t="s">
        <v>2468</v>
      </c>
      <c r="L579" s="6"/>
      <c r="M579" s="6"/>
      <c r="N579" s="6" t="s">
        <v>2468</v>
      </c>
      <c r="O579" s="6" t="s">
        <v>40</v>
      </c>
      <c r="P579" s="6" t="str">
        <f>VLOOKUP(Tableau1[[#This Row],[SITES NAMES]],[1]Feuil1!$1:$1048576,8,FALSE)</f>
        <v>OK</v>
      </c>
      <c r="Q579" s="6" t="str">
        <f>VLOOKUP(Tableau1[[#This Row],[SITES NAMES]],[1]Feuil1!$1:$1048576,9,FALSE)</f>
        <v>NO</v>
      </c>
      <c r="R579" s="6" t="str">
        <f>VLOOKUP(Tableau1[[#This Row],[SITES NAMES]],[1]Feuil1!$1:$1048576,10,FALSE)</f>
        <v>YES</v>
      </c>
      <c r="S579" s="6" t="s">
        <v>2469</v>
      </c>
      <c r="T579" s="6" t="s">
        <v>2470</v>
      </c>
      <c r="U579" s="6" t="s">
        <v>2480</v>
      </c>
      <c r="V579" s="6" t="s">
        <v>2472</v>
      </c>
      <c r="W579" s="6" t="s">
        <v>2473</v>
      </c>
      <c r="X579" s="8">
        <v>70997268</v>
      </c>
      <c r="Y579" s="6" t="s">
        <v>3239</v>
      </c>
      <c r="Z579" s="6" t="s">
        <v>3253</v>
      </c>
      <c r="AA579" s="38" t="s">
        <v>3682</v>
      </c>
      <c r="AB579" s="38" t="s">
        <v>3683</v>
      </c>
      <c r="AC579" s="38" t="s">
        <v>3684</v>
      </c>
      <c r="AD579" s="38" t="s">
        <v>3682</v>
      </c>
      <c r="AE579" s="38" t="s">
        <v>3682</v>
      </c>
      <c r="AF579" s="38" t="s">
        <v>3682</v>
      </c>
      <c r="AG579" s="40" t="s">
        <v>3685</v>
      </c>
      <c r="AH579" s="37" t="s">
        <v>3686</v>
      </c>
    </row>
    <row r="580" spans="1:34" ht="14.45" hidden="1" customHeight="1" x14ac:dyDescent="0.3">
      <c r="A580" s="6" t="s">
        <v>708</v>
      </c>
      <c r="B580" s="7">
        <v>45282</v>
      </c>
      <c r="C580" s="6" t="s">
        <v>707</v>
      </c>
      <c r="D580" s="6" t="s">
        <v>657</v>
      </c>
      <c r="E580" s="6" t="s">
        <v>658</v>
      </c>
      <c r="F580" s="6" t="s">
        <v>3229</v>
      </c>
      <c r="G580" s="8">
        <v>0.4093</v>
      </c>
      <c r="H580" s="8">
        <v>8.7569199999999991</v>
      </c>
      <c r="I580" s="6" t="s">
        <v>2477</v>
      </c>
      <c r="J580" s="6" t="s">
        <v>2459</v>
      </c>
      <c r="K580" s="6" t="s">
        <v>2468</v>
      </c>
      <c r="L580" s="6" t="s">
        <v>3485</v>
      </c>
      <c r="M580" s="6"/>
      <c r="N580" s="6" t="s">
        <v>2468</v>
      </c>
      <c r="O580" s="6" t="s">
        <v>40</v>
      </c>
      <c r="P580" s="6" t="str">
        <f>VLOOKUP(Tableau1[[#This Row],[SITES NAMES]],[1]Feuil1!$1:$1048576,8,FALSE)</f>
        <v>OK</v>
      </c>
      <c r="Q580" s="6" t="str">
        <f>VLOOKUP(Tableau1[[#This Row],[SITES NAMES]],[1]Feuil1!$1:$1048576,9,FALSE)</f>
        <v>NO</v>
      </c>
      <c r="R580" s="6" t="str">
        <f>VLOOKUP(Tableau1[[#This Row],[SITES NAMES]],[1]Feuil1!$1:$1048576,10,FALSE)</f>
        <v>YES</v>
      </c>
      <c r="S580" s="6" t="s">
        <v>2469</v>
      </c>
      <c r="T580" s="6" t="s">
        <v>2470</v>
      </c>
      <c r="U580" s="6" t="s">
        <v>2471</v>
      </c>
      <c r="V580" s="6" t="s">
        <v>2472</v>
      </c>
      <c r="W580" s="6" t="s">
        <v>2654</v>
      </c>
      <c r="X580" s="8" t="s">
        <v>3249</v>
      </c>
      <c r="Y580" s="6" t="s">
        <v>3238</v>
      </c>
      <c r="Z580" s="6" t="s">
        <v>3254</v>
      </c>
      <c r="AA580" s="38" t="s">
        <v>3682</v>
      </c>
      <c r="AB580" s="38" t="s">
        <v>3683</v>
      </c>
      <c r="AC580" s="38" t="s">
        <v>3684</v>
      </c>
      <c r="AD580" s="38" t="s">
        <v>3682</v>
      </c>
      <c r="AE580" s="38" t="s">
        <v>3682</v>
      </c>
      <c r="AF580" s="38" t="s">
        <v>3682</v>
      </c>
      <c r="AG580" s="40" t="s">
        <v>3685</v>
      </c>
      <c r="AH580" s="37" t="s">
        <v>3686</v>
      </c>
    </row>
    <row r="581" spans="1:34" ht="14.45" hidden="1" customHeight="1" x14ac:dyDescent="0.3">
      <c r="A581" s="6" t="s">
        <v>638</v>
      </c>
      <c r="B581" s="7">
        <v>0</v>
      </c>
      <c r="C581" s="6" t="s">
        <v>637</v>
      </c>
      <c r="D581" s="6" t="s">
        <v>132</v>
      </c>
      <c r="E581" s="6" t="s">
        <v>565</v>
      </c>
      <c r="F581" s="6" t="s">
        <v>3229</v>
      </c>
      <c r="G581" s="8">
        <v>1.3599000000000001</v>
      </c>
      <c r="H581" s="8">
        <v>8.3361599999999996</v>
      </c>
      <c r="I581" s="6" t="s">
        <v>2477</v>
      </c>
      <c r="J581" s="6" t="s">
        <v>2459</v>
      </c>
      <c r="K581" s="6" t="s">
        <v>2460</v>
      </c>
      <c r="L581" s="6" t="s">
        <v>654</v>
      </c>
      <c r="M581" s="6"/>
      <c r="N581" s="6" t="s">
        <v>3268</v>
      </c>
      <c r="O581" s="6" t="s">
        <v>18</v>
      </c>
      <c r="P581" s="6" t="str">
        <f>VLOOKUP(Tableau1[[#This Row],[SITES NAMES]],[1]Feuil1!$1:$1048576,8,FALSE)</f>
        <v>OK</v>
      </c>
      <c r="Q581" s="6" t="str">
        <f>VLOOKUP(Tableau1[[#This Row],[SITES NAMES]],[1]Feuil1!$1:$1048576,9,FALSE)</f>
        <v>NO</v>
      </c>
      <c r="R581" s="6" t="str">
        <f>VLOOKUP(Tableau1[[#This Row],[SITES NAMES]],[1]Feuil1!$1:$1048576,10,FALSE)</f>
        <v>YES</v>
      </c>
      <c r="S581" s="6" t="s">
        <v>2469</v>
      </c>
      <c r="T581" s="6" t="s">
        <v>2470</v>
      </c>
      <c r="U581" s="6" t="s">
        <v>2480</v>
      </c>
      <c r="V581" s="6" t="s">
        <v>2464</v>
      </c>
      <c r="W581" s="6" t="s">
        <v>2473</v>
      </c>
      <c r="X581" s="8" t="s">
        <v>2706</v>
      </c>
      <c r="Y581" s="6" t="s">
        <v>3238</v>
      </c>
      <c r="Z581" s="6" t="s">
        <v>3254</v>
      </c>
      <c r="AA581" s="37" t="s">
        <v>3660</v>
      </c>
      <c r="AB581" s="39" t="s">
        <v>3644</v>
      </c>
      <c r="AC581" s="37" t="s">
        <v>3661</v>
      </c>
      <c r="AD581" s="39" t="s">
        <v>3646</v>
      </c>
      <c r="AE581" s="39" t="s">
        <v>3647</v>
      </c>
      <c r="AF581" s="39" t="s">
        <v>3662</v>
      </c>
      <c r="AG581" s="37" t="s">
        <v>3649</v>
      </c>
      <c r="AH581" s="37" t="s">
        <v>3663</v>
      </c>
    </row>
    <row r="582" spans="1:34" ht="14.45" hidden="1" customHeight="1" x14ac:dyDescent="0.3">
      <c r="A582" s="6" t="s">
        <v>222</v>
      </c>
      <c r="B582" s="7">
        <v>43991</v>
      </c>
      <c r="C582" s="6" t="s">
        <v>221</v>
      </c>
      <c r="D582" s="6" t="s">
        <v>132</v>
      </c>
      <c r="E582" s="6" t="s">
        <v>133</v>
      </c>
      <c r="F582" s="6" t="s">
        <v>3229</v>
      </c>
      <c r="G582" s="8">
        <v>1.0629029999999999</v>
      </c>
      <c r="H582" s="8">
        <v>7.647627</v>
      </c>
      <c r="I582" s="6" t="s">
        <v>2477</v>
      </c>
      <c r="J582" s="6" t="s">
        <v>2459</v>
      </c>
      <c r="K582" s="6" t="s">
        <v>2468</v>
      </c>
      <c r="L582" s="6" t="s">
        <v>133</v>
      </c>
      <c r="M582" s="6"/>
      <c r="N582" s="6" t="s">
        <v>2468</v>
      </c>
      <c r="O582" s="6" t="s">
        <v>40</v>
      </c>
      <c r="P582" s="6" t="str">
        <f>VLOOKUP(Tableau1[[#This Row],[SITES NAMES]],[1]Feuil1!$1:$1048576,8,FALSE)</f>
        <v>OK</v>
      </c>
      <c r="Q582" s="6" t="str">
        <f>VLOOKUP(Tableau1[[#This Row],[SITES NAMES]],[1]Feuil1!$1:$1048576,9,FALSE)</f>
        <v>NO</v>
      </c>
      <c r="R582" s="6" t="str">
        <f>VLOOKUP(Tableau1[[#This Row],[SITES NAMES]],[1]Feuil1!$1:$1048576,10,FALSE)</f>
        <v>YES</v>
      </c>
      <c r="S582" s="6" t="s">
        <v>2469</v>
      </c>
      <c r="T582" s="6" t="s">
        <v>2470</v>
      </c>
      <c r="U582" s="6" t="s">
        <v>2471</v>
      </c>
      <c r="V582" s="6" t="s">
        <v>2472</v>
      </c>
      <c r="W582" s="6" t="s">
        <v>2473</v>
      </c>
      <c r="X582" s="8" t="s">
        <v>2553</v>
      </c>
      <c r="Y582" s="6" t="s">
        <v>3238</v>
      </c>
      <c r="Z582" s="6" t="s">
        <v>3258</v>
      </c>
      <c r="AA582" s="37" t="s">
        <v>3643</v>
      </c>
      <c r="AB582" s="39" t="s">
        <v>3644</v>
      </c>
      <c r="AC582" s="37" t="s">
        <v>3645</v>
      </c>
      <c r="AD582" s="39" t="s">
        <v>3646</v>
      </c>
      <c r="AE582" s="39" t="s">
        <v>3647</v>
      </c>
      <c r="AF582" s="39" t="s">
        <v>3648</v>
      </c>
      <c r="AG582" s="37" t="s">
        <v>3649</v>
      </c>
      <c r="AH582" s="37" t="s">
        <v>3650</v>
      </c>
    </row>
    <row r="583" spans="1:34" ht="14.45" hidden="1" customHeight="1" x14ac:dyDescent="0.3">
      <c r="A583" s="6" t="s">
        <v>305</v>
      </c>
      <c r="B583" s="7">
        <v>0</v>
      </c>
      <c r="C583" s="6" t="s">
        <v>304</v>
      </c>
      <c r="D583" s="6" t="s">
        <v>132</v>
      </c>
      <c r="E583" s="6" t="s">
        <v>251</v>
      </c>
      <c r="F583" s="6" t="s">
        <v>3229</v>
      </c>
      <c r="G583" s="8">
        <v>0.77566000000000002</v>
      </c>
      <c r="H583" s="8">
        <v>7.8784999999999998</v>
      </c>
      <c r="I583" s="6" t="s">
        <v>2477</v>
      </c>
      <c r="J583" s="6" t="s">
        <v>2459</v>
      </c>
      <c r="K583" s="6" t="s">
        <v>2468</v>
      </c>
      <c r="L583" s="6" t="s">
        <v>287</v>
      </c>
      <c r="M583" s="6"/>
      <c r="N583" s="6" t="s">
        <v>2468</v>
      </c>
      <c r="O583" s="6" t="s">
        <v>40</v>
      </c>
      <c r="P583" s="6" t="str">
        <f>VLOOKUP(Tableau1[[#This Row],[SITES NAMES]],[1]Feuil1!$1:$1048576,8,FALSE)</f>
        <v>OK</v>
      </c>
      <c r="Q583" s="6" t="str">
        <f>VLOOKUP(Tableau1[[#This Row],[SITES NAMES]],[1]Feuil1!$1:$1048576,9,FALSE)</f>
        <v>NO</v>
      </c>
      <c r="R583" s="6" t="str">
        <f>VLOOKUP(Tableau1[[#This Row],[SITES NAMES]],[1]Feuil1!$1:$1048576,10,FALSE)</f>
        <v>NO</v>
      </c>
      <c r="S583" s="6" t="s">
        <v>2469</v>
      </c>
      <c r="T583" s="6" t="s">
        <v>2470</v>
      </c>
      <c r="U583" s="6" t="s">
        <v>2480</v>
      </c>
      <c r="V583" s="6" t="s">
        <v>2472</v>
      </c>
      <c r="W583" s="6" t="s">
        <v>2473</v>
      </c>
      <c r="X583" s="8" t="s">
        <v>2584</v>
      </c>
      <c r="Y583" s="6" t="s">
        <v>3238</v>
      </c>
      <c r="Z583" s="6" t="s">
        <v>3256</v>
      </c>
      <c r="AA583" s="37" t="s">
        <v>3651</v>
      </c>
      <c r="AB583" s="39" t="s">
        <v>3644</v>
      </c>
      <c r="AC583" s="45" t="s">
        <v>3652</v>
      </c>
      <c r="AD583" s="39" t="s">
        <v>3646</v>
      </c>
      <c r="AE583" s="37" t="s">
        <v>3653</v>
      </c>
      <c r="AF583" s="37" t="s">
        <v>3654</v>
      </c>
      <c r="AG583" s="37" t="s">
        <v>3649</v>
      </c>
      <c r="AH583" s="37" t="s">
        <v>3655</v>
      </c>
    </row>
    <row r="584" spans="1:34" ht="15.75" hidden="1" x14ac:dyDescent="0.3">
      <c r="A584" s="6" t="s">
        <v>658</v>
      </c>
      <c r="B584" s="7">
        <v>0</v>
      </c>
      <c r="C584" s="6" t="s">
        <v>709</v>
      </c>
      <c r="D584" s="6" t="s">
        <v>657</v>
      </c>
      <c r="E584" s="6" t="s">
        <v>658</v>
      </c>
      <c r="F584" s="6" t="s">
        <v>3229</v>
      </c>
      <c r="G584" s="8">
        <v>0.81611100000000003</v>
      </c>
      <c r="H584" s="8">
        <v>9.4588900000000002</v>
      </c>
      <c r="I584" s="6" t="s">
        <v>2497</v>
      </c>
      <c r="J584" s="6" t="s">
        <v>2459</v>
      </c>
      <c r="K584" s="6" t="s">
        <v>2460</v>
      </c>
      <c r="L584" s="6"/>
      <c r="M584" s="6"/>
      <c r="N584" s="21" t="s">
        <v>3269</v>
      </c>
      <c r="O584" s="6" t="s">
        <v>7</v>
      </c>
      <c r="P584" s="6" t="str">
        <f>VLOOKUP(Tableau1[[#This Row],[SITES NAMES]],[1]Feuil1!$1:$1048576,8,FALSE)</f>
        <v>OK</v>
      </c>
      <c r="Q584" s="6" t="str">
        <f>VLOOKUP(Tableau1[[#This Row],[SITES NAMES]],[1]Feuil1!$1:$1048576,9,FALSE)</f>
        <v>NO</v>
      </c>
      <c r="R584" s="6" t="str">
        <f>VLOOKUP(Tableau1[[#This Row],[SITES NAMES]],[1]Feuil1!$1:$1048576,10,FALSE)</f>
        <v>YES</v>
      </c>
      <c r="S584" s="6" t="s">
        <v>2469</v>
      </c>
      <c r="T584" s="6" t="s">
        <v>2470</v>
      </c>
      <c r="U584" s="6" t="s">
        <v>2471</v>
      </c>
      <c r="V584" s="6" t="s">
        <v>2478</v>
      </c>
      <c r="W584" s="6" t="s">
        <v>2465</v>
      </c>
      <c r="X584" s="8" t="s">
        <v>2730</v>
      </c>
      <c r="Y584" s="6" t="s">
        <v>3239</v>
      </c>
      <c r="Z584" s="6" t="s">
        <v>3253</v>
      </c>
      <c r="AA584" s="38" t="s">
        <v>3682</v>
      </c>
      <c r="AB584" s="38" t="s">
        <v>3683</v>
      </c>
      <c r="AC584" s="38" t="s">
        <v>3684</v>
      </c>
      <c r="AD584" s="38" t="s">
        <v>3682</v>
      </c>
      <c r="AE584" s="38" t="s">
        <v>3682</v>
      </c>
      <c r="AF584" s="38" t="s">
        <v>3682</v>
      </c>
      <c r="AG584" s="40" t="s">
        <v>3685</v>
      </c>
      <c r="AH584" s="37" t="s">
        <v>3686</v>
      </c>
    </row>
    <row r="585" spans="1:34" ht="14.45" hidden="1" customHeight="1" x14ac:dyDescent="0.3">
      <c r="A585" s="6" t="s">
        <v>2205</v>
      </c>
      <c r="B585" s="7">
        <v>46022</v>
      </c>
      <c r="C585" s="6" t="s">
        <v>2204</v>
      </c>
      <c r="D585" s="6" t="s">
        <v>320</v>
      </c>
      <c r="E585" s="6" t="s">
        <v>2141</v>
      </c>
      <c r="F585" s="6" t="s">
        <v>3229</v>
      </c>
      <c r="G585" s="8">
        <v>1.172186</v>
      </c>
      <c r="H585" s="8">
        <v>8.9537390000000006</v>
      </c>
      <c r="I585" s="6" t="e">
        <v>#N/A</v>
      </c>
      <c r="J585" s="6" t="s">
        <v>2459</v>
      </c>
      <c r="K585" s="6" t="s">
        <v>2460</v>
      </c>
      <c r="L585" s="6"/>
      <c r="M585" s="6"/>
      <c r="N585" s="6" t="s">
        <v>3268</v>
      </c>
      <c r="O585" s="6" t="s">
        <v>7</v>
      </c>
      <c r="P585" s="6"/>
      <c r="Q585" s="6"/>
      <c r="R585" s="6"/>
      <c r="S585" s="6"/>
      <c r="T585" s="6"/>
      <c r="U585" s="6"/>
      <c r="V585" s="6"/>
      <c r="W585" s="6"/>
      <c r="X585" s="8"/>
      <c r="Y585" s="6" t="s">
        <v>3238</v>
      </c>
      <c r="Z585" s="6" t="s">
        <v>3254</v>
      </c>
      <c r="AA585" s="37" t="s">
        <v>3672</v>
      </c>
      <c r="AB585" s="39" t="s">
        <v>3665</v>
      </c>
      <c r="AC585" s="37" t="s">
        <v>3673</v>
      </c>
      <c r="AD585" s="37" t="s">
        <v>3674</v>
      </c>
      <c r="AE585" s="37" t="s">
        <v>3675</v>
      </c>
      <c r="AF585" s="39" t="s">
        <v>3676</v>
      </c>
      <c r="AG585" s="37" t="s">
        <v>3670</v>
      </c>
      <c r="AH585" s="37" t="s">
        <v>3677</v>
      </c>
    </row>
    <row r="586" spans="1:34" ht="14.45" hidden="1" customHeight="1" x14ac:dyDescent="0.3">
      <c r="A586" s="6" t="s">
        <v>224</v>
      </c>
      <c r="B586" s="7" t="s">
        <v>2554</v>
      </c>
      <c r="C586" s="6" t="s">
        <v>223</v>
      </c>
      <c r="D586" s="6" t="s">
        <v>132</v>
      </c>
      <c r="E586" s="6" t="s">
        <v>133</v>
      </c>
      <c r="F586" s="6" t="s">
        <v>3229</v>
      </c>
      <c r="G586" s="8">
        <v>0.98246</v>
      </c>
      <c r="H586" s="8">
        <v>7.8016500000000004</v>
      </c>
      <c r="I586" s="6" t="s">
        <v>2477</v>
      </c>
      <c r="J586" s="6" t="s">
        <v>2459</v>
      </c>
      <c r="K586" s="6" t="s">
        <v>2468</v>
      </c>
      <c r="L586" s="6" t="s">
        <v>3326</v>
      </c>
      <c r="M586" s="6"/>
      <c r="N586" s="6" t="s">
        <v>2468</v>
      </c>
      <c r="O586" s="6" t="s">
        <v>40</v>
      </c>
      <c r="P586" s="6" t="str">
        <f>VLOOKUP(Tableau1[[#This Row],[SITES NAMES]],[1]Feuil1!$1:$1048576,8,FALSE)</f>
        <v>OK</v>
      </c>
      <c r="Q586" s="6" t="str">
        <f>VLOOKUP(Tableau1[[#This Row],[SITES NAMES]],[1]Feuil1!$1:$1048576,9,FALSE)</f>
        <v>NO</v>
      </c>
      <c r="R586" s="6" t="str">
        <f>VLOOKUP(Tableau1[[#This Row],[SITES NAMES]],[1]Feuil1!$1:$1048576,10,FALSE)</f>
        <v>YES</v>
      </c>
      <c r="S586" s="6" t="s">
        <v>2469</v>
      </c>
      <c r="T586" s="6" t="s">
        <v>2470</v>
      </c>
      <c r="U586" s="6" t="s">
        <v>2480</v>
      </c>
      <c r="V586" s="6" t="s">
        <v>2472</v>
      </c>
      <c r="W586" s="6" t="s">
        <v>2473</v>
      </c>
      <c r="X586" s="8" t="s">
        <v>2555</v>
      </c>
      <c r="Y586" s="6" t="s">
        <v>3238</v>
      </c>
      <c r="Z586" s="6" t="s">
        <v>3258</v>
      </c>
      <c r="AA586" s="37" t="s">
        <v>3643</v>
      </c>
      <c r="AB586" s="39" t="s">
        <v>3644</v>
      </c>
      <c r="AC586" s="37" t="s">
        <v>3645</v>
      </c>
      <c r="AD586" s="39" t="s">
        <v>3646</v>
      </c>
      <c r="AE586" s="39" t="s">
        <v>3647</v>
      </c>
      <c r="AF586" s="39" t="s">
        <v>3648</v>
      </c>
      <c r="AG586" s="37" t="s">
        <v>3649</v>
      </c>
      <c r="AH586" s="37" t="s">
        <v>3650</v>
      </c>
    </row>
    <row r="587" spans="1:34" ht="14.45" hidden="1" customHeight="1" x14ac:dyDescent="0.3">
      <c r="A587" s="6" t="s">
        <v>777</v>
      </c>
      <c r="B587" s="7">
        <v>0</v>
      </c>
      <c r="C587" s="6" t="s">
        <v>776</v>
      </c>
      <c r="D587" s="6" t="s">
        <v>657</v>
      </c>
      <c r="E587" s="6" t="s">
        <v>758</v>
      </c>
      <c r="F587" s="6" t="s">
        <v>3229</v>
      </c>
      <c r="G587" s="8">
        <v>0.97460999999999998</v>
      </c>
      <c r="H587" s="8">
        <v>9.8055800000000009</v>
      </c>
      <c r="I587" s="6" t="s">
        <v>2477</v>
      </c>
      <c r="J587" s="6" t="s">
        <v>2459</v>
      </c>
      <c r="K587" s="6" t="s">
        <v>2468</v>
      </c>
      <c r="L587" s="6" t="s">
        <v>949</v>
      </c>
      <c r="M587" s="6"/>
      <c r="N587" s="6" t="s">
        <v>2468</v>
      </c>
      <c r="O587" s="6" t="s">
        <v>40</v>
      </c>
      <c r="P587" s="6" t="str">
        <f>VLOOKUP(Tableau1[[#This Row],[SITES NAMES]],[1]Feuil1!$1:$1048576,8,FALSE)</f>
        <v>OK</v>
      </c>
      <c r="Q587" s="6" t="str">
        <f>VLOOKUP(Tableau1[[#This Row],[SITES NAMES]],[1]Feuil1!$1:$1048576,9,FALSE)</f>
        <v>NO</v>
      </c>
      <c r="R587" s="6" t="str">
        <f>VLOOKUP(Tableau1[[#This Row],[SITES NAMES]],[1]Feuil1!$1:$1048576,10,FALSE)</f>
        <v>NO</v>
      </c>
      <c r="S587" s="6" t="s">
        <v>2469</v>
      </c>
      <c r="T587" s="6" t="s">
        <v>2470</v>
      </c>
      <c r="U587" s="6" t="s">
        <v>2471</v>
      </c>
      <c r="V587" s="6" t="s">
        <v>2472</v>
      </c>
      <c r="W587" s="6" t="s">
        <v>2473</v>
      </c>
      <c r="X587" s="8" t="s">
        <v>2762</v>
      </c>
      <c r="Y587" s="6" t="s">
        <v>3239</v>
      </c>
      <c r="Z587" s="6" t="s">
        <v>3253</v>
      </c>
      <c r="AA587" s="37" t="s">
        <v>3687</v>
      </c>
      <c r="AB587" s="38" t="s">
        <v>3683</v>
      </c>
      <c r="AC587" s="37" t="s">
        <v>3688</v>
      </c>
      <c r="AD587" s="37" t="s">
        <v>3687</v>
      </c>
      <c r="AE587" s="37" t="s">
        <v>3689</v>
      </c>
      <c r="AF587" s="39" t="s">
        <v>3690</v>
      </c>
      <c r="AG587" s="40" t="s">
        <v>3685</v>
      </c>
      <c r="AH587" s="37" t="s">
        <v>3691</v>
      </c>
    </row>
    <row r="588" spans="1:34" ht="14.45" hidden="1" customHeight="1" x14ac:dyDescent="0.3">
      <c r="A588" s="6" t="s">
        <v>2005</v>
      </c>
      <c r="B588" s="7">
        <v>44026</v>
      </c>
      <c r="C588" s="6" t="s">
        <v>2004</v>
      </c>
      <c r="D588" s="6" t="s">
        <v>395</v>
      </c>
      <c r="E588" s="6" t="s">
        <v>1965</v>
      </c>
      <c r="F588" s="6" t="s">
        <v>3229</v>
      </c>
      <c r="G588" s="8">
        <v>0.42298999999999998</v>
      </c>
      <c r="H588" s="8">
        <v>9.8942499999999995</v>
      </c>
      <c r="I588" s="6" t="s">
        <v>2477</v>
      </c>
      <c r="J588" s="6" t="s">
        <v>2459</v>
      </c>
      <c r="K588" s="6" t="s">
        <v>2468</v>
      </c>
      <c r="L588" s="6" t="s">
        <v>3486</v>
      </c>
      <c r="M588" s="6"/>
      <c r="N588" s="6" t="s">
        <v>2468</v>
      </c>
      <c r="O588" s="6" t="s">
        <v>40</v>
      </c>
      <c r="P588" s="6" t="str">
        <f>VLOOKUP(Tableau1[[#This Row],[SITES NAMES]],[1]Feuil1!$1:$1048576,8,FALSE)</f>
        <v>OK</v>
      </c>
      <c r="Q588" s="6" t="str">
        <f>VLOOKUP(Tableau1[[#This Row],[SITES NAMES]],[1]Feuil1!$1:$1048576,9,FALSE)</f>
        <v>NO</v>
      </c>
      <c r="R588" s="6" t="str">
        <f>VLOOKUP(Tableau1[[#This Row],[SITES NAMES]],[1]Feuil1!$1:$1048576,10,FALSE)</f>
        <v>NO</v>
      </c>
      <c r="S588" s="6" t="s">
        <v>2469</v>
      </c>
      <c r="T588" s="6" t="s">
        <v>2470</v>
      </c>
      <c r="U588" s="6" t="s">
        <v>2480</v>
      </c>
      <c r="V588" s="6" t="s">
        <v>2472</v>
      </c>
      <c r="W588" s="6" t="s">
        <v>2473</v>
      </c>
      <c r="X588" s="8" t="s">
        <v>3080</v>
      </c>
      <c r="Y588" s="6" t="s">
        <v>3240</v>
      </c>
      <c r="Z588" s="6" t="s">
        <v>3255</v>
      </c>
      <c r="AA588" s="37" t="s">
        <v>3712</v>
      </c>
      <c r="AB588" s="39" t="s">
        <v>3705</v>
      </c>
      <c r="AC588" s="37" t="s">
        <v>3713</v>
      </c>
      <c r="AD588" s="37" t="s">
        <v>3712</v>
      </c>
      <c r="AE588" s="37" t="s">
        <v>3712</v>
      </c>
      <c r="AF588" s="37" t="s">
        <v>3712</v>
      </c>
      <c r="AG588" s="40" t="s">
        <v>3714</v>
      </c>
      <c r="AH588" s="37" t="s">
        <v>3715</v>
      </c>
    </row>
    <row r="589" spans="1:34" ht="14.45" hidden="1" customHeight="1" x14ac:dyDescent="0.3">
      <c r="A589" s="6" t="s">
        <v>711</v>
      </c>
      <c r="B589" s="7">
        <v>43595</v>
      </c>
      <c r="C589" s="6" t="s">
        <v>710</v>
      </c>
      <c r="D589" s="6" t="s">
        <v>657</v>
      </c>
      <c r="E589" s="6" t="s">
        <v>658</v>
      </c>
      <c r="F589" s="6" t="s">
        <v>3229</v>
      </c>
      <c r="G589" s="8">
        <v>0.65517000000000003</v>
      </c>
      <c r="H589" s="8">
        <v>8.8792000000000009</v>
      </c>
      <c r="I589" s="6" t="s">
        <v>2477</v>
      </c>
      <c r="J589" s="6" t="s">
        <v>2459</v>
      </c>
      <c r="K589" s="6" t="s">
        <v>2460</v>
      </c>
      <c r="L589" s="6"/>
      <c r="M589" s="6"/>
      <c r="N589" s="6" t="s">
        <v>3268</v>
      </c>
      <c r="O589" s="6" t="s">
        <v>40</v>
      </c>
      <c r="P589" s="6" t="str">
        <f>VLOOKUP(Tableau1[[#This Row],[SITES NAMES]],[1]Feuil1!$1:$1048576,8,FALSE)</f>
        <v>OK</v>
      </c>
      <c r="Q589" s="6" t="str">
        <f>VLOOKUP(Tableau1[[#This Row],[SITES NAMES]],[1]Feuil1!$1:$1048576,9,FALSE)</f>
        <v>NO</v>
      </c>
      <c r="R589" s="6" t="str">
        <f>VLOOKUP(Tableau1[[#This Row],[SITES NAMES]],[1]Feuil1!$1:$1048576,10,FALSE)</f>
        <v>NO</v>
      </c>
      <c r="S589" s="6" t="s">
        <v>2469</v>
      </c>
      <c r="T589" s="6" t="s">
        <v>2470</v>
      </c>
      <c r="U589" s="6" t="s">
        <v>2480</v>
      </c>
      <c r="V589" s="6" t="s">
        <v>2472</v>
      </c>
      <c r="W589" s="6" t="s">
        <v>2473</v>
      </c>
      <c r="X589" s="8" t="s">
        <v>2731</v>
      </c>
      <c r="Y589" s="6" t="s">
        <v>3239</v>
      </c>
      <c r="Z589" s="6" t="s">
        <v>3253</v>
      </c>
      <c r="AA589" s="38" t="s">
        <v>3682</v>
      </c>
      <c r="AB589" s="38" t="s">
        <v>3683</v>
      </c>
      <c r="AC589" s="38" t="s">
        <v>3684</v>
      </c>
      <c r="AD589" s="38" t="s">
        <v>3682</v>
      </c>
      <c r="AE589" s="38" t="s">
        <v>3682</v>
      </c>
      <c r="AF589" s="38" t="s">
        <v>3682</v>
      </c>
      <c r="AG589" s="40" t="s">
        <v>3685</v>
      </c>
      <c r="AH589" s="37" t="s">
        <v>3686</v>
      </c>
    </row>
    <row r="590" spans="1:34" ht="14.45" hidden="1" customHeight="1" x14ac:dyDescent="0.25">
      <c r="A590" s="6" t="s">
        <v>1404</v>
      </c>
      <c r="B590" s="7">
        <v>0</v>
      </c>
      <c r="C590" s="6" t="s">
        <v>1403</v>
      </c>
      <c r="D590" s="6" t="s">
        <v>66</v>
      </c>
      <c r="E590" s="6" t="s">
        <v>3231</v>
      </c>
      <c r="F590" s="6" t="s">
        <v>3229</v>
      </c>
      <c r="G590" s="8">
        <v>1.293544</v>
      </c>
      <c r="H590" s="8">
        <v>6.1646956460000002</v>
      </c>
      <c r="I590" s="6" t="s">
        <v>2497</v>
      </c>
      <c r="J590" s="6" t="s">
        <v>2459</v>
      </c>
      <c r="K590" s="6" t="s">
        <v>2460</v>
      </c>
      <c r="L590" s="6"/>
      <c r="M590" s="6"/>
      <c r="N590" s="6" t="s">
        <v>3268</v>
      </c>
      <c r="O590" s="6" t="s">
        <v>7</v>
      </c>
      <c r="P590" s="6" t="str">
        <f>VLOOKUP(Tableau1[[#This Row],[SITES NAMES]],[1]Feuil1!$1:$1048576,8,FALSE)</f>
        <v>OK</v>
      </c>
      <c r="Q590" s="6" t="str">
        <f>VLOOKUP(Tableau1[[#This Row],[SITES NAMES]],[1]Feuil1!$1:$1048576,9,FALSE)</f>
        <v>NO</v>
      </c>
      <c r="R590" s="6" t="str">
        <f>VLOOKUP(Tableau1[[#This Row],[SITES NAMES]],[1]Feuil1!$1:$1048576,10,FALSE)</f>
        <v>NO</v>
      </c>
      <c r="S590" s="6" t="s">
        <v>2469</v>
      </c>
      <c r="T590" s="6" t="s">
        <v>2470</v>
      </c>
      <c r="U590" s="6" t="s">
        <v>2480</v>
      </c>
      <c r="V590" s="6" t="s">
        <v>2478</v>
      </c>
      <c r="W590" s="6" t="s">
        <v>2476</v>
      </c>
      <c r="X590" s="8" t="s">
        <v>2941</v>
      </c>
      <c r="Y590" s="6" t="s">
        <v>3238</v>
      </c>
      <c r="Z590" s="6"/>
      <c r="AA590" s="35" t="s">
        <v>3621</v>
      </c>
      <c r="AB590" s="35" t="s">
        <v>3608</v>
      </c>
      <c r="AC590" s="35" t="s">
        <v>3622</v>
      </c>
      <c r="AD590" s="35" t="s">
        <v>3610</v>
      </c>
      <c r="AE590" s="35" t="s">
        <v>3610</v>
      </c>
      <c r="AF590" s="35" t="s">
        <v>3611</v>
      </c>
      <c r="AG590" s="35" t="s">
        <v>3612</v>
      </c>
      <c r="AH590" s="35" t="s">
        <v>3623</v>
      </c>
    </row>
    <row r="591" spans="1:34" ht="14.45" hidden="1" customHeight="1" x14ac:dyDescent="0.25">
      <c r="A591" s="6" t="s">
        <v>1406</v>
      </c>
      <c r="B591" s="7">
        <v>0</v>
      </c>
      <c r="C591" s="6" t="s">
        <v>1405</v>
      </c>
      <c r="D591" s="6" t="s">
        <v>66</v>
      </c>
      <c r="E591" s="6" t="s">
        <v>3231</v>
      </c>
      <c r="F591" s="6" t="s">
        <v>3229</v>
      </c>
      <c r="G591" s="8">
        <v>1.279388889</v>
      </c>
      <c r="H591" s="8">
        <v>6.1657500000000001</v>
      </c>
      <c r="I591" s="14" t="s">
        <v>2497</v>
      </c>
      <c r="J591" s="6" t="s">
        <v>2459</v>
      </c>
      <c r="K591" s="6" t="s">
        <v>2460</v>
      </c>
      <c r="L591" s="6"/>
      <c r="M591" s="6"/>
      <c r="N591" s="6" t="s">
        <v>3268</v>
      </c>
      <c r="O591" s="6" t="s">
        <v>7</v>
      </c>
      <c r="P591" s="6" t="str">
        <f>VLOOKUP(Tableau1[[#This Row],[SITES NAMES]],[1]Feuil1!$1:$1048576,8,FALSE)</f>
        <v>NOK</v>
      </c>
      <c r="Q591" s="6" t="str">
        <f>VLOOKUP(Tableau1[[#This Row],[SITES NAMES]],[1]Feuil1!$1:$1048576,9,FALSE)</f>
        <v>NO</v>
      </c>
      <c r="R591" s="6" t="str">
        <f>VLOOKUP(Tableau1[[#This Row],[SITES NAMES]],[1]Feuil1!$1:$1048576,10,FALSE)</f>
        <v>NO</v>
      </c>
      <c r="S591" s="6" t="s">
        <v>2469</v>
      </c>
      <c r="T591" s="6" t="s">
        <v>2470</v>
      </c>
      <c r="U591" s="6" t="s">
        <v>2480</v>
      </c>
      <c r="V591" s="6" t="s">
        <v>2464</v>
      </c>
      <c r="W591" s="6" t="s">
        <v>2476</v>
      </c>
      <c r="X591" s="8" t="s">
        <v>2942</v>
      </c>
      <c r="Y591" s="6" t="s">
        <v>3238</v>
      </c>
      <c r="Z591" s="6"/>
      <c r="AA591" s="35" t="s">
        <v>3621</v>
      </c>
      <c r="AB591" s="35" t="s">
        <v>3608</v>
      </c>
      <c r="AC591" s="35" t="s">
        <v>3622</v>
      </c>
      <c r="AD591" s="35" t="s">
        <v>3610</v>
      </c>
      <c r="AE591" s="35" t="s">
        <v>3610</v>
      </c>
      <c r="AF591" s="35" t="s">
        <v>3611</v>
      </c>
      <c r="AG591" s="35" t="s">
        <v>3612</v>
      </c>
      <c r="AH591" s="35" t="s">
        <v>3623</v>
      </c>
    </row>
    <row r="592" spans="1:34" ht="14.45" hidden="1" customHeight="1" x14ac:dyDescent="0.25">
      <c r="A592" s="6" t="s">
        <v>1408</v>
      </c>
      <c r="B592" s="7">
        <v>0</v>
      </c>
      <c r="C592" s="6" t="s">
        <v>1407</v>
      </c>
      <c r="D592" s="6" t="s">
        <v>66</v>
      </c>
      <c r="E592" s="6" t="s">
        <v>3231</v>
      </c>
      <c r="F592" s="6" t="s">
        <v>3229</v>
      </c>
      <c r="G592" s="8">
        <v>1.27779</v>
      </c>
      <c r="H592" s="8">
        <v>6.1731985590000003</v>
      </c>
      <c r="I592" s="14" t="s">
        <v>2497</v>
      </c>
      <c r="J592" s="6" t="s">
        <v>2459</v>
      </c>
      <c r="K592" s="6" t="s">
        <v>2460</v>
      </c>
      <c r="L592" s="6"/>
      <c r="M592" s="6"/>
      <c r="N592" s="6" t="s">
        <v>3268</v>
      </c>
      <c r="O592" s="6" t="s">
        <v>7</v>
      </c>
      <c r="P592" s="6" t="str">
        <f>VLOOKUP(Tableau1[[#This Row],[SITES NAMES]],[1]Feuil1!$1:$1048576,8,FALSE)</f>
        <v>OK</v>
      </c>
      <c r="Q592" s="6" t="str">
        <f>VLOOKUP(Tableau1[[#This Row],[SITES NAMES]],[1]Feuil1!$1:$1048576,9,FALSE)</f>
        <v>NO</v>
      </c>
      <c r="R592" s="6" t="str">
        <f>VLOOKUP(Tableau1[[#This Row],[SITES NAMES]],[1]Feuil1!$1:$1048576,10,FALSE)</f>
        <v>NO</v>
      </c>
      <c r="S592" s="6" t="s">
        <v>2469</v>
      </c>
      <c r="T592" s="6" t="s">
        <v>2470</v>
      </c>
      <c r="U592" s="6" t="s">
        <v>2480</v>
      </c>
      <c r="V592" s="6" t="s">
        <v>2464</v>
      </c>
      <c r="W592" s="6" t="s">
        <v>2476</v>
      </c>
      <c r="X592" s="8" t="s">
        <v>2943</v>
      </c>
      <c r="Y592" s="6" t="s">
        <v>3238</v>
      </c>
      <c r="Z592" s="6"/>
      <c r="AA592" s="35" t="s">
        <v>3621</v>
      </c>
      <c r="AB592" s="35" t="s">
        <v>3608</v>
      </c>
      <c r="AC592" s="35" t="s">
        <v>3622</v>
      </c>
      <c r="AD592" s="35" t="s">
        <v>3610</v>
      </c>
      <c r="AE592" s="35" t="s">
        <v>3610</v>
      </c>
      <c r="AF592" s="35" t="s">
        <v>3611</v>
      </c>
      <c r="AG592" s="35" t="s">
        <v>3612</v>
      </c>
      <c r="AH592" s="35" t="s">
        <v>3623</v>
      </c>
    </row>
    <row r="593" spans="1:34" ht="14.45" hidden="1" customHeight="1" x14ac:dyDescent="0.25">
      <c r="A593" s="6" t="s">
        <v>1320</v>
      </c>
      <c r="B593" s="7">
        <v>46022</v>
      </c>
      <c r="C593" s="6" t="s">
        <v>1319</v>
      </c>
      <c r="D593" s="6" t="s">
        <v>66</v>
      </c>
      <c r="E593" s="6" t="s">
        <v>3231</v>
      </c>
      <c r="F593" s="6" t="s">
        <v>3229</v>
      </c>
      <c r="G593" s="8">
        <v>1.3234159999999999</v>
      </c>
      <c r="H593" s="8">
        <v>6.1876629999999997</v>
      </c>
      <c r="I593" s="13" t="s">
        <v>2475</v>
      </c>
      <c r="J593" s="6" t="s">
        <v>2459</v>
      </c>
      <c r="K593" s="6" t="s">
        <v>2460</v>
      </c>
      <c r="L593" s="6"/>
      <c r="M593" s="6"/>
      <c r="N593" s="6" t="s">
        <v>3268</v>
      </c>
      <c r="O593" s="6" t="s">
        <v>7</v>
      </c>
      <c r="P593" s="6"/>
      <c r="Q593" s="6"/>
      <c r="R593" s="6"/>
      <c r="S593" s="6"/>
      <c r="T593" s="6"/>
      <c r="U593" s="6"/>
      <c r="V593" s="6"/>
      <c r="W593" s="6"/>
      <c r="X593" s="8"/>
      <c r="Y593" s="6" t="s">
        <v>3238</v>
      </c>
      <c r="Z593" s="6"/>
      <c r="AA593" s="35" t="s">
        <v>3621</v>
      </c>
      <c r="AB593" s="35" t="s">
        <v>3608</v>
      </c>
      <c r="AC593" s="35" t="s">
        <v>3622</v>
      </c>
      <c r="AD593" s="35" t="s">
        <v>3610</v>
      </c>
      <c r="AE593" s="35" t="s">
        <v>3610</v>
      </c>
      <c r="AF593" s="35" t="s">
        <v>3611</v>
      </c>
      <c r="AG593" s="35" t="s">
        <v>3612</v>
      </c>
      <c r="AH593" s="35" t="s">
        <v>3623</v>
      </c>
    </row>
    <row r="594" spans="1:34" ht="14.45" hidden="1" customHeight="1" x14ac:dyDescent="0.25">
      <c r="A594" s="6" t="s">
        <v>1410</v>
      </c>
      <c r="B594" s="7">
        <v>0</v>
      </c>
      <c r="C594" s="6" t="s">
        <v>1409</v>
      </c>
      <c r="D594" s="6" t="s">
        <v>66</v>
      </c>
      <c r="E594" s="6" t="s">
        <v>3231</v>
      </c>
      <c r="F594" s="6" t="s">
        <v>3229</v>
      </c>
      <c r="G594" s="8">
        <v>1.3132699999999999</v>
      </c>
      <c r="H594" s="8">
        <v>6.1813399999999996</v>
      </c>
      <c r="I594" s="14" t="s">
        <v>2497</v>
      </c>
      <c r="J594" s="6" t="s">
        <v>2459</v>
      </c>
      <c r="K594" s="6" t="s">
        <v>2468</v>
      </c>
      <c r="L594" s="6" t="s">
        <v>3487</v>
      </c>
      <c r="M594" s="6"/>
      <c r="N594" s="6" t="s">
        <v>2468</v>
      </c>
      <c r="O594" s="6" t="s">
        <v>7</v>
      </c>
      <c r="P594" s="6" t="str">
        <f>VLOOKUP(Tableau1[[#This Row],[SITES NAMES]],[1]Feuil1!$1:$1048576,8,FALSE)</f>
        <v>OK</v>
      </c>
      <c r="Q594" s="6" t="str">
        <f>VLOOKUP(Tableau1[[#This Row],[SITES NAMES]],[1]Feuil1!$1:$1048576,9,FALSE)</f>
        <v>NO</v>
      </c>
      <c r="R594" s="6" t="str">
        <f>VLOOKUP(Tableau1[[#This Row],[SITES NAMES]],[1]Feuil1!$1:$1048576,10,FALSE)</f>
        <v>NO</v>
      </c>
      <c r="S594" s="6" t="s">
        <v>2461</v>
      </c>
      <c r="T594" s="6" t="s">
        <v>2462</v>
      </c>
      <c r="U594" s="6" t="s">
        <v>2463</v>
      </c>
      <c r="V594" s="6" t="s">
        <v>2464</v>
      </c>
      <c r="W594" s="6" t="s">
        <v>2476</v>
      </c>
      <c r="X594" s="8"/>
      <c r="Y594" s="6" t="s">
        <v>3238</v>
      </c>
      <c r="Z594" s="6"/>
      <c r="AA594" s="35" t="s">
        <v>3621</v>
      </c>
      <c r="AB594" s="35" t="s">
        <v>3608</v>
      </c>
      <c r="AC594" s="35" t="s">
        <v>3622</v>
      </c>
      <c r="AD594" s="35" t="s">
        <v>3610</v>
      </c>
      <c r="AE594" s="35" t="s">
        <v>3610</v>
      </c>
      <c r="AF594" s="35" t="s">
        <v>3611</v>
      </c>
      <c r="AG594" s="35" t="s">
        <v>3612</v>
      </c>
      <c r="AH594" s="35" t="s">
        <v>3623</v>
      </c>
    </row>
    <row r="595" spans="1:34" ht="14.45" hidden="1" customHeight="1" x14ac:dyDescent="0.3">
      <c r="A595" s="6" t="s">
        <v>713</v>
      </c>
      <c r="B595" s="7">
        <v>43811</v>
      </c>
      <c r="C595" s="6" t="s">
        <v>712</v>
      </c>
      <c r="D595" s="6" t="s">
        <v>657</v>
      </c>
      <c r="E595" s="6" t="s">
        <v>658</v>
      </c>
      <c r="F595" s="6" t="s">
        <v>3229</v>
      </c>
      <c r="G595" s="8">
        <v>0.70113000000000003</v>
      </c>
      <c r="H595" s="8">
        <v>9.2635400000000008</v>
      </c>
      <c r="I595" s="6" t="s">
        <v>2477</v>
      </c>
      <c r="J595" s="6" t="s">
        <v>2459</v>
      </c>
      <c r="K595" s="6" t="s">
        <v>2468</v>
      </c>
      <c r="L595" s="6" t="s">
        <v>706</v>
      </c>
      <c r="M595" s="6"/>
      <c r="N595" s="6" t="s">
        <v>2468</v>
      </c>
      <c r="O595" s="6" t="s">
        <v>7</v>
      </c>
      <c r="P595" s="6" t="str">
        <f>VLOOKUP(Tableau1[[#This Row],[SITES NAMES]],[1]Feuil1!$1:$1048576,8,FALSE)</f>
        <v>OK</v>
      </c>
      <c r="Q595" s="6" t="str">
        <f>VLOOKUP(Tableau1[[#This Row],[SITES NAMES]],[1]Feuil1!$1:$1048576,9,FALSE)</f>
        <v>NO</v>
      </c>
      <c r="R595" s="6" t="str">
        <f>VLOOKUP(Tableau1[[#This Row],[SITES NAMES]],[1]Feuil1!$1:$1048576,10,FALSE)</f>
        <v>NO</v>
      </c>
      <c r="S595" s="6" t="s">
        <v>2461</v>
      </c>
      <c r="T595" s="6" t="s">
        <v>2462</v>
      </c>
      <c r="U595" s="6" t="s">
        <v>2463</v>
      </c>
      <c r="V595" s="6" t="s">
        <v>2472</v>
      </c>
      <c r="W595" s="6" t="s">
        <v>2473</v>
      </c>
      <c r="X595" s="8" t="s">
        <v>2732</v>
      </c>
      <c r="Y595" s="6" t="s">
        <v>3239</v>
      </c>
      <c r="Z595" s="6" t="s">
        <v>3253</v>
      </c>
      <c r="AA595" s="38" t="s">
        <v>3682</v>
      </c>
      <c r="AB595" s="38" t="s">
        <v>3683</v>
      </c>
      <c r="AC595" s="38" t="s">
        <v>3684</v>
      </c>
      <c r="AD595" s="38" t="s">
        <v>3682</v>
      </c>
      <c r="AE595" s="38" t="s">
        <v>3682</v>
      </c>
      <c r="AF595" s="38" t="s">
        <v>3682</v>
      </c>
      <c r="AG595" s="40" t="s">
        <v>3685</v>
      </c>
      <c r="AH595" s="37" t="s">
        <v>3686</v>
      </c>
    </row>
    <row r="596" spans="1:34" ht="14.45" hidden="1" customHeight="1" x14ac:dyDescent="0.3">
      <c r="A596" s="6" t="s">
        <v>2310</v>
      </c>
      <c r="B596" s="7">
        <v>0</v>
      </c>
      <c r="C596" s="6" t="s">
        <v>2309</v>
      </c>
      <c r="D596" s="6" t="s">
        <v>320</v>
      </c>
      <c r="E596" s="6" t="s">
        <v>2274</v>
      </c>
      <c r="F596" s="6" t="s">
        <v>3229</v>
      </c>
      <c r="G596" s="8">
        <v>1.5827800000000001</v>
      </c>
      <c r="H596" s="8">
        <v>8.7541700000000002</v>
      </c>
      <c r="I596" s="6" t="s">
        <v>2486</v>
      </c>
      <c r="J596" s="6" t="s">
        <v>2459</v>
      </c>
      <c r="K596" s="6" t="s">
        <v>2460</v>
      </c>
      <c r="L596" s="6"/>
      <c r="M596" s="6"/>
      <c r="N596" s="6" t="s">
        <v>3268</v>
      </c>
      <c r="O596" s="6" t="s">
        <v>7</v>
      </c>
      <c r="P596" s="6" t="str">
        <f>VLOOKUP(Tableau1[[#This Row],[SITES NAMES]],[1]Feuil1!$1:$1048576,8,FALSE)</f>
        <v>OK</v>
      </c>
      <c r="Q596" s="6" t="str">
        <f>VLOOKUP(Tableau1[[#This Row],[SITES NAMES]],[1]Feuil1!$1:$1048576,9,FALSE)</f>
        <v>NO</v>
      </c>
      <c r="R596" s="6" t="str">
        <f>VLOOKUP(Tableau1[[#This Row],[SITES NAMES]],[1]Feuil1!$1:$1048576,10,FALSE)</f>
        <v>NO</v>
      </c>
      <c r="S596" s="6" t="s">
        <v>2469</v>
      </c>
      <c r="T596" s="6" t="s">
        <v>2470</v>
      </c>
      <c r="U596" s="6" t="s">
        <v>2480</v>
      </c>
      <c r="V596" s="6" t="s">
        <v>2478</v>
      </c>
      <c r="W596" s="6" t="s">
        <v>2465</v>
      </c>
      <c r="X596" s="8" t="s">
        <v>3192</v>
      </c>
      <c r="Y596" s="6" t="s">
        <v>3238</v>
      </c>
      <c r="Z596" s="6" t="s">
        <v>3254</v>
      </c>
      <c r="AA596" s="37" t="s">
        <v>3678</v>
      </c>
      <c r="AB596" s="39" t="s">
        <v>3665</v>
      </c>
      <c r="AC596" s="37" t="s">
        <v>3679</v>
      </c>
      <c r="AD596" s="37" t="s">
        <v>3678</v>
      </c>
      <c r="AE596" s="37" t="s">
        <v>3680</v>
      </c>
      <c r="AF596" s="39" t="s">
        <v>3676</v>
      </c>
      <c r="AG596" s="37" t="s">
        <v>3670</v>
      </c>
      <c r="AH596" s="37" t="s">
        <v>3681</v>
      </c>
    </row>
    <row r="597" spans="1:34" ht="14.45" hidden="1" customHeight="1" x14ac:dyDescent="0.3">
      <c r="A597" s="6" t="s">
        <v>307</v>
      </c>
      <c r="B597" s="7">
        <v>0</v>
      </c>
      <c r="C597" s="6" t="s">
        <v>306</v>
      </c>
      <c r="D597" s="6" t="s">
        <v>132</v>
      </c>
      <c r="E597" s="6" t="s">
        <v>251</v>
      </c>
      <c r="F597" s="6" t="s">
        <v>3229</v>
      </c>
      <c r="G597" s="8">
        <v>0.86023000000000005</v>
      </c>
      <c r="H597" s="8">
        <v>7.9251399999999999</v>
      </c>
      <c r="I597" s="6" t="s">
        <v>2477</v>
      </c>
      <c r="J597" s="6" t="s">
        <v>2459</v>
      </c>
      <c r="K597" s="6" t="s">
        <v>2468</v>
      </c>
      <c r="L597" s="6"/>
      <c r="M597" s="6"/>
      <c r="N597" s="6" t="s">
        <v>2468</v>
      </c>
      <c r="O597" s="6" t="s">
        <v>40</v>
      </c>
      <c r="P597" s="6" t="str">
        <f>VLOOKUP(Tableau1[[#This Row],[SITES NAMES]],[1]Feuil1!$1:$1048576,8,FALSE)</f>
        <v>OK</v>
      </c>
      <c r="Q597" s="6" t="str">
        <f>VLOOKUP(Tableau1[[#This Row],[SITES NAMES]],[1]Feuil1!$1:$1048576,9,FALSE)</f>
        <v>NO</v>
      </c>
      <c r="R597" s="6" t="str">
        <f>VLOOKUP(Tableau1[[#This Row],[SITES NAMES]],[1]Feuil1!$1:$1048576,10,FALSE)</f>
        <v>NO</v>
      </c>
      <c r="S597" s="6" t="s">
        <v>2469</v>
      </c>
      <c r="T597" s="6" t="s">
        <v>2470</v>
      </c>
      <c r="U597" s="6" t="s">
        <v>2480</v>
      </c>
      <c r="V597" s="6" t="s">
        <v>2472</v>
      </c>
      <c r="W597" s="6" t="s">
        <v>2473</v>
      </c>
      <c r="X597" s="8" t="s">
        <v>2585</v>
      </c>
      <c r="Y597" s="6" t="s">
        <v>3238</v>
      </c>
      <c r="Z597" s="6" t="s">
        <v>3256</v>
      </c>
      <c r="AA597" s="37" t="s">
        <v>3651</v>
      </c>
      <c r="AB597" s="39" t="s">
        <v>3644</v>
      </c>
      <c r="AC597" s="45" t="s">
        <v>3652</v>
      </c>
      <c r="AD597" s="39" t="s">
        <v>3646</v>
      </c>
      <c r="AE597" s="37" t="s">
        <v>3653</v>
      </c>
      <c r="AF597" s="37" t="s">
        <v>3654</v>
      </c>
      <c r="AG597" s="37" t="s">
        <v>3649</v>
      </c>
      <c r="AH597" s="37" t="s">
        <v>3655</v>
      </c>
    </row>
    <row r="598" spans="1:34" ht="14.45" hidden="1" customHeight="1" x14ac:dyDescent="0.3">
      <c r="A598" s="6" t="s">
        <v>2007</v>
      </c>
      <c r="B598" s="7">
        <v>45022</v>
      </c>
      <c r="C598" s="6" t="s">
        <v>2006</v>
      </c>
      <c r="D598" s="6" t="s">
        <v>395</v>
      </c>
      <c r="E598" s="6" t="s">
        <v>1965</v>
      </c>
      <c r="F598" s="6" t="s">
        <v>3229</v>
      </c>
      <c r="G598" s="8">
        <v>0.63702999999999999</v>
      </c>
      <c r="H598" s="8">
        <v>10.0235</v>
      </c>
      <c r="I598" s="6" t="s">
        <v>2477</v>
      </c>
      <c r="J598" s="6" t="s">
        <v>2459</v>
      </c>
      <c r="K598" s="6" t="s">
        <v>2468</v>
      </c>
      <c r="L598" s="6" t="s">
        <v>3488</v>
      </c>
      <c r="M598" s="6"/>
      <c r="N598" s="6" t="s">
        <v>2468</v>
      </c>
      <c r="O598" s="6" t="s">
        <v>40</v>
      </c>
      <c r="P598" s="6" t="str">
        <f>VLOOKUP(Tableau1[[#This Row],[SITES NAMES]],[1]Feuil1!$1:$1048576,8,FALSE)</f>
        <v>OK</v>
      </c>
      <c r="Q598" s="6" t="str">
        <f>VLOOKUP(Tableau1[[#This Row],[SITES NAMES]],[1]Feuil1!$1:$1048576,9,FALSE)</f>
        <v>NO</v>
      </c>
      <c r="R598" s="6" t="str">
        <f>VLOOKUP(Tableau1[[#This Row],[SITES NAMES]],[1]Feuil1!$1:$1048576,10,FALSE)</f>
        <v>YES</v>
      </c>
      <c r="S598" s="6" t="s">
        <v>2461</v>
      </c>
      <c r="T598" s="6" t="s">
        <v>2462</v>
      </c>
      <c r="U598" s="6" t="s">
        <v>2463</v>
      </c>
      <c r="V598" s="6" t="s">
        <v>2472</v>
      </c>
      <c r="W598" s="6" t="s">
        <v>2473</v>
      </c>
      <c r="X598" s="8">
        <v>70997371</v>
      </c>
      <c r="Y598" s="6" t="s">
        <v>3240</v>
      </c>
      <c r="Z598" s="6" t="s">
        <v>3255</v>
      </c>
      <c r="AA598" s="37" t="s">
        <v>3712</v>
      </c>
      <c r="AB598" s="39" t="s">
        <v>3705</v>
      </c>
      <c r="AC598" s="37" t="s">
        <v>3713</v>
      </c>
      <c r="AD598" s="37" t="s">
        <v>3712</v>
      </c>
      <c r="AE598" s="37" t="s">
        <v>3712</v>
      </c>
      <c r="AF598" s="37" t="s">
        <v>3712</v>
      </c>
      <c r="AG598" s="40" t="s">
        <v>3714</v>
      </c>
      <c r="AH598" s="37" t="s">
        <v>3715</v>
      </c>
    </row>
    <row r="599" spans="1:34" ht="14.45" hidden="1" customHeight="1" x14ac:dyDescent="0.3">
      <c r="A599" s="6" t="s">
        <v>2140</v>
      </c>
      <c r="B599" s="7">
        <v>0</v>
      </c>
      <c r="C599" s="6" t="s">
        <v>2139</v>
      </c>
      <c r="D599" s="6" t="s">
        <v>320</v>
      </c>
      <c r="E599" s="6" t="s">
        <v>2141</v>
      </c>
      <c r="F599" s="6" t="s">
        <v>3229</v>
      </c>
      <c r="G599" s="8">
        <v>1.0059549999999999</v>
      </c>
      <c r="H599" s="8">
        <v>8.6157679999999992</v>
      </c>
      <c r="I599" s="6" t="s">
        <v>2488</v>
      </c>
      <c r="J599" s="6" t="s">
        <v>2459</v>
      </c>
      <c r="K599" s="6" t="s">
        <v>2460</v>
      </c>
      <c r="L599" s="6"/>
      <c r="M599" s="6"/>
      <c r="N599" s="6" t="s">
        <v>3268</v>
      </c>
      <c r="O599" s="6" t="s">
        <v>7</v>
      </c>
      <c r="P599" s="6" t="str">
        <f>VLOOKUP(Tableau1[[#This Row],[SITES NAMES]],[1]Feuil1!$1:$1048576,8,FALSE)</f>
        <v>OK</v>
      </c>
      <c r="Q599" s="6" t="str">
        <f>VLOOKUP(Tableau1[[#This Row],[SITES NAMES]],[1]Feuil1!$1:$1048576,9,FALSE)</f>
        <v>NO</v>
      </c>
      <c r="R599" s="6" t="str">
        <f>VLOOKUP(Tableau1[[#This Row],[SITES NAMES]],[1]Feuil1!$1:$1048576,10,FALSE)</f>
        <v>NO</v>
      </c>
      <c r="S599" s="6" t="s">
        <v>2461</v>
      </c>
      <c r="T599" s="6" t="s">
        <v>2462</v>
      </c>
      <c r="U599" s="6" t="s">
        <v>2463</v>
      </c>
      <c r="V599" s="6" t="s">
        <v>2472</v>
      </c>
      <c r="W599" s="6" t="s">
        <v>2473</v>
      </c>
      <c r="X599" s="8" t="s">
        <v>3132</v>
      </c>
      <c r="Y599" s="6" t="s">
        <v>3238</v>
      </c>
      <c r="Z599" s="6" t="s">
        <v>3254</v>
      </c>
      <c r="AA599" s="37" t="s">
        <v>3672</v>
      </c>
      <c r="AB599" s="39" t="s">
        <v>3665</v>
      </c>
      <c r="AC599" s="37" t="s">
        <v>3673</v>
      </c>
      <c r="AD599" s="37" t="s">
        <v>3674</v>
      </c>
      <c r="AE599" s="37" t="s">
        <v>3675</v>
      </c>
      <c r="AF599" s="39" t="s">
        <v>3676</v>
      </c>
      <c r="AG599" s="37" t="s">
        <v>3670</v>
      </c>
      <c r="AH599" s="37" t="s">
        <v>3677</v>
      </c>
    </row>
    <row r="600" spans="1:34" ht="14.45" hidden="1" customHeight="1" x14ac:dyDescent="0.3">
      <c r="A600" s="6" t="s">
        <v>2009</v>
      </c>
      <c r="B600" s="7">
        <v>44914</v>
      </c>
      <c r="C600" s="6" t="s">
        <v>2008</v>
      </c>
      <c r="D600" s="6" t="s">
        <v>395</v>
      </c>
      <c r="E600" s="6" t="s">
        <v>1965</v>
      </c>
      <c r="F600" s="6" t="s">
        <v>3229</v>
      </c>
      <c r="G600" s="8">
        <v>0.36758299999999999</v>
      </c>
      <c r="H600" s="8">
        <v>10.6648</v>
      </c>
      <c r="I600" s="6" t="s">
        <v>2477</v>
      </c>
      <c r="J600" s="6" t="s">
        <v>2459</v>
      </c>
      <c r="K600" s="6" t="s">
        <v>2468</v>
      </c>
      <c r="L600" s="6" t="s">
        <v>3489</v>
      </c>
      <c r="M600" s="6"/>
      <c r="N600" s="6" t="s">
        <v>2468</v>
      </c>
      <c r="O600" s="6" t="s">
        <v>994</v>
      </c>
      <c r="P600" s="6"/>
      <c r="Q600" s="6" t="str">
        <f>VLOOKUP(Tableau1[[#This Row],[SITES NAMES]],[1]Feuil1!$1:$1048576,9,FALSE)</f>
        <v>NO</v>
      </c>
      <c r="R600" s="6" t="str">
        <f>VLOOKUP(Tableau1[[#This Row],[SITES NAMES]],[1]Feuil1!$1:$1048576,10,FALSE)</f>
        <v>NO</v>
      </c>
      <c r="S600" s="6" t="s">
        <v>2461</v>
      </c>
      <c r="T600" s="6" t="s">
        <v>2462</v>
      </c>
      <c r="U600" s="6" t="s">
        <v>2463</v>
      </c>
      <c r="V600" s="6" t="s">
        <v>2472</v>
      </c>
      <c r="W600" s="6" t="s">
        <v>2473</v>
      </c>
      <c r="X600" s="8">
        <v>70997260</v>
      </c>
      <c r="Y600" s="6" t="s">
        <v>3240</v>
      </c>
      <c r="Z600" s="6" t="s">
        <v>3255</v>
      </c>
      <c r="AA600" s="37" t="s">
        <v>3712</v>
      </c>
      <c r="AB600" s="39" t="s">
        <v>3705</v>
      </c>
      <c r="AC600" s="37" t="s">
        <v>3713</v>
      </c>
      <c r="AD600" s="37" t="s">
        <v>3712</v>
      </c>
      <c r="AE600" s="37" t="s">
        <v>3712</v>
      </c>
      <c r="AF600" s="37" t="s">
        <v>3712</v>
      </c>
      <c r="AG600" s="40" t="s">
        <v>3714</v>
      </c>
      <c r="AH600" s="37" t="s">
        <v>3715</v>
      </c>
    </row>
    <row r="601" spans="1:34" ht="14.45" hidden="1" customHeight="1" x14ac:dyDescent="0.3">
      <c r="A601" s="6" t="s">
        <v>1082</v>
      </c>
      <c r="B601" s="7">
        <v>44864</v>
      </c>
      <c r="C601" s="6" t="s">
        <v>1081</v>
      </c>
      <c r="D601" s="6" t="s">
        <v>5</v>
      </c>
      <c r="E601" s="6" t="s">
        <v>1003</v>
      </c>
      <c r="F601" s="6" t="s">
        <v>3229</v>
      </c>
      <c r="G601" s="8">
        <v>0.95284999999999997</v>
      </c>
      <c r="H601" s="8">
        <v>7.0099200000000002</v>
      </c>
      <c r="I601" s="6" t="s">
        <v>2477</v>
      </c>
      <c r="J601" s="6" t="s">
        <v>2459</v>
      </c>
      <c r="K601" s="6" t="s">
        <v>2468</v>
      </c>
      <c r="L601" s="6" t="s">
        <v>3490</v>
      </c>
      <c r="M601" s="6"/>
      <c r="N601" s="6" t="s">
        <v>2468</v>
      </c>
      <c r="O601" s="6" t="s">
        <v>37</v>
      </c>
      <c r="P601" s="6" t="str">
        <f>VLOOKUP(Tableau1[[#This Row],[SITES NAMES]],[1]Feuil1!$1:$1048576,8,FALSE)</f>
        <v>OK</v>
      </c>
      <c r="Q601" s="6" t="str">
        <f>VLOOKUP(Tableau1[[#This Row],[SITES NAMES]],[1]Feuil1!$1:$1048576,9,FALSE)</f>
        <v>NO</v>
      </c>
      <c r="R601" s="6" t="str">
        <f>VLOOKUP(Tableau1[[#This Row],[SITES NAMES]],[1]Feuil1!$1:$1048576,10,FALSE)</f>
        <v>YES</v>
      </c>
      <c r="S601" s="6" t="s">
        <v>2461</v>
      </c>
      <c r="T601" s="6" t="s">
        <v>2462</v>
      </c>
      <c r="U601" s="6" t="s">
        <v>2463</v>
      </c>
      <c r="V601" s="6" t="s">
        <v>2472</v>
      </c>
      <c r="W601" s="6" t="s">
        <v>2473</v>
      </c>
      <c r="X601" s="8"/>
      <c r="Y601" s="6" t="s">
        <v>3241</v>
      </c>
      <c r="Z601" s="6"/>
      <c r="AA601" s="37" t="s">
        <v>3634</v>
      </c>
      <c r="AB601" s="38" t="s">
        <v>3627</v>
      </c>
      <c r="AC601" s="37" t="s">
        <v>3635</v>
      </c>
      <c r="AD601" s="37" t="s">
        <v>3636</v>
      </c>
      <c r="AE601" s="37" t="s">
        <v>3637</v>
      </c>
      <c r="AF601" s="37" t="s">
        <v>3636</v>
      </c>
      <c r="AG601" s="37" t="s">
        <v>3638</v>
      </c>
      <c r="AH601" s="37" t="s">
        <v>3639</v>
      </c>
    </row>
    <row r="602" spans="1:34" ht="15.75" hidden="1" x14ac:dyDescent="0.3">
      <c r="A602" s="6" t="s">
        <v>758</v>
      </c>
      <c r="B602" s="7">
        <v>0</v>
      </c>
      <c r="C602" s="6" t="s">
        <v>759</v>
      </c>
      <c r="D602" s="6" t="s">
        <v>657</v>
      </c>
      <c r="E602" s="6" t="s">
        <v>758</v>
      </c>
      <c r="F602" s="18" t="s">
        <v>3230</v>
      </c>
      <c r="G602" s="8">
        <v>1.0467900000000001</v>
      </c>
      <c r="H602" s="8">
        <v>9.95458</v>
      </c>
      <c r="I602" s="6" t="s">
        <v>2486</v>
      </c>
      <c r="J602" s="6" t="s">
        <v>2459</v>
      </c>
      <c r="K602" s="6" t="s">
        <v>2460</v>
      </c>
      <c r="L602" s="6"/>
      <c r="M602" s="6"/>
      <c r="N602" s="21" t="s">
        <v>3269</v>
      </c>
      <c r="O602" s="6" t="s">
        <v>291</v>
      </c>
      <c r="P602" s="6" t="str">
        <f>VLOOKUP(Tableau1[[#This Row],[SITES NAMES]],[1]Feuil1!$1:$1048576,8,FALSE)</f>
        <v>OK</v>
      </c>
      <c r="Q602" s="6" t="str">
        <f>VLOOKUP(Tableau1[[#This Row],[SITES NAMES]],[1]Feuil1!$1:$1048576,9,FALSE)</f>
        <v>NO</v>
      </c>
      <c r="R602" s="6" t="str">
        <f>VLOOKUP(Tableau1[[#This Row],[SITES NAMES]],[1]Feuil1!$1:$1048576,10,FALSE)</f>
        <v>NO</v>
      </c>
      <c r="S602" s="6" t="s">
        <v>2461</v>
      </c>
      <c r="T602" s="6" t="s">
        <v>2462</v>
      </c>
      <c r="U602" s="6" t="s">
        <v>2463</v>
      </c>
      <c r="V602" s="6" t="s">
        <v>2498</v>
      </c>
      <c r="W602" s="6" t="s">
        <v>2476</v>
      </c>
      <c r="X602" s="8" t="s">
        <v>2755</v>
      </c>
      <c r="Y602" s="6" t="s">
        <v>3239</v>
      </c>
      <c r="Z602" s="6" t="s">
        <v>3253</v>
      </c>
      <c r="AA602" s="37" t="s">
        <v>3687</v>
      </c>
      <c r="AB602" s="38" t="s">
        <v>3683</v>
      </c>
      <c r="AC602" s="37" t="s">
        <v>3688</v>
      </c>
      <c r="AD602" s="37" t="s">
        <v>3687</v>
      </c>
      <c r="AE602" s="37" t="s">
        <v>3689</v>
      </c>
      <c r="AF602" s="39" t="s">
        <v>3690</v>
      </c>
      <c r="AG602" s="40" t="s">
        <v>3685</v>
      </c>
      <c r="AH602" s="37" t="s">
        <v>3691</v>
      </c>
    </row>
    <row r="603" spans="1:34" ht="14.45" hidden="1" customHeight="1" x14ac:dyDescent="0.3">
      <c r="A603" s="6" t="s">
        <v>779</v>
      </c>
      <c r="B603" s="7">
        <v>45091</v>
      </c>
      <c r="C603" s="6" t="s">
        <v>778</v>
      </c>
      <c r="D603" s="6" t="s">
        <v>657</v>
      </c>
      <c r="E603" s="6" t="s">
        <v>758</v>
      </c>
      <c r="F603" s="6" t="s">
        <v>3229</v>
      </c>
      <c r="G603" s="8">
        <v>1.05246</v>
      </c>
      <c r="H603" s="8">
        <v>9.9620899999999999</v>
      </c>
      <c r="I603" s="6" t="s">
        <v>2479</v>
      </c>
      <c r="J603" s="6" t="s">
        <v>2459</v>
      </c>
      <c r="K603" s="6" t="s">
        <v>2468</v>
      </c>
      <c r="L603" s="6" t="s">
        <v>3342</v>
      </c>
      <c r="M603" s="6"/>
      <c r="N603" s="6" t="s">
        <v>2468</v>
      </c>
      <c r="O603" s="6" t="s">
        <v>7</v>
      </c>
      <c r="P603" s="6" t="str">
        <f>VLOOKUP(Tableau1[[#This Row],[SITES NAMES]],[1]Feuil1!$1:$1048576,8,FALSE)</f>
        <v>OK</v>
      </c>
      <c r="Q603" s="6" t="str">
        <f>VLOOKUP(Tableau1[[#This Row],[SITES NAMES]],[1]Feuil1!$1:$1048576,9,FALSE)</f>
        <v>NO</v>
      </c>
      <c r="R603" s="6" t="str">
        <f>VLOOKUP(Tableau1[[#This Row],[SITES NAMES]],[1]Feuil1!$1:$1048576,10,FALSE)</f>
        <v>NO</v>
      </c>
      <c r="S603" s="6" t="s">
        <v>2461</v>
      </c>
      <c r="T603" s="6" t="s">
        <v>2462</v>
      </c>
      <c r="U603" s="6" t="s">
        <v>2463</v>
      </c>
      <c r="V603" s="6" t="s">
        <v>2472</v>
      </c>
      <c r="W603" s="6" t="s">
        <v>2476</v>
      </c>
      <c r="X603" s="8"/>
      <c r="Y603" s="6" t="s">
        <v>3239</v>
      </c>
      <c r="Z603" s="6" t="s">
        <v>3253</v>
      </c>
      <c r="AA603" s="37" t="s">
        <v>3687</v>
      </c>
      <c r="AB603" s="38" t="s">
        <v>3683</v>
      </c>
      <c r="AC603" s="37" t="s">
        <v>3688</v>
      </c>
      <c r="AD603" s="37" t="s">
        <v>3687</v>
      </c>
      <c r="AE603" s="37" t="s">
        <v>3689</v>
      </c>
      <c r="AF603" s="39" t="s">
        <v>3690</v>
      </c>
      <c r="AG603" s="40" t="s">
        <v>3685</v>
      </c>
      <c r="AH603" s="37" t="s">
        <v>3691</v>
      </c>
    </row>
    <row r="604" spans="1:34" ht="14.45" hidden="1" customHeight="1" x14ac:dyDescent="0.3">
      <c r="A604" s="6" t="s">
        <v>781</v>
      </c>
      <c r="B604" s="7">
        <v>45149</v>
      </c>
      <c r="C604" s="6" t="s">
        <v>780</v>
      </c>
      <c r="D604" s="6" t="s">
        <v>657</v>
      </c>
      <c r="E604" s="6" t="s">
        <v>758</v>
      </c>
      <c r="F604" s="6" t="s">
        <v>3229</v>
      </c>
      <c r="G604" s="8">
        <v>1.081297</v>
      </c>
      <c r="H604" s="8">
        <v>9.9354990000000001</v>
      </c>
      <c r="I604" s="6" t="s">
        <v>2477</v>
      </c>
      <c r="J604" s="6" t="s">
        <v>2459</v>
      </c>
      <c r="K604" s="6" t="s">
        <v>2468</v>
      </c>
      <c r="L604" s="6" t="s">
        <v>3342</v>
      </c>
      <c r="M604" s="6"/>
      <c r="N604" s="6" t="s">
        <v>2468</v>
      </c>
      <c r="O604" s="6" t="s">
        <v>37</v>
      </c>
      <c r="P604" s="6" t="str">
        <f>VLOOKUP(Tableau1[[#This Row],[SITES NAMES]],[1]Feuil1!$1:$1048576,8,FALSE)</f>
        <v>OK</v>
      </c>
      <c r="Q604" s="6" t="str">
        <f>VLOOKUP(Tableau1[[#This Row],[SITES NAMES]],[1]Feuil1!$1:$1048576,9,FALSE)</f>
        <v>NO</v>
      </c>
      <c r="R604" s="6" t="str">
        <f>VLOOKUP(Tableau1[[#This Row],[SITES NAMES]],[1]Feuil1!$1:$1048576,10,FALSE)</f>
        <v>NO</v>
      </c>
      <c r="S604" s="6" t="s">
        <v>2461</v>
      </c>
      <c r="T604" s="6" t="s">
        <v>2462</v>
      </c>
      <c r="U604" s="6" t="s">
        <v>2463</v>
      </c>
      <c r="V604" s="6" t="s">
        <v>2472</v>
      </c>
      <c r="W604" s="6" t="s">
        <v>2476</v>
      </c>
      <c r="X604" s="8">
        <v>70997305</v>
      </c>
      <c r="Y604" s="6" t="s">
        <v>3239</v>
      </c>
      <c r="Z604" s="6" t="s">
        <v>3253</v>
      </c>
      <c r="AA604" s="37" t="s">
        <v>3687</v>
      </c>
      <c r="AB604" s="38" t="s">
        <v>3683</v>
      </c>
      <c r="AC604" s="37" t="s">
        <v>3688</v>
      </c>
      <c r="AD604" s="37" t="s">
        <v>3687</v>
      </c>
      <c r="AE604" s="37" t="s">
        <v>3689</v>
      </c>
      <c r="AF604" s="39" t="s">
        <v>3690</v>
      </c>
      <c r="AG604" s="40" t="s">
        <v>3685</v>
      </c>
      <c r="AH604" s="37" t="s">
        <v>3691</v>
      </c>
    </row>
    <row r="605" spans="1:34" ht="14.45" hidden="1" customHeight="1" x14ac:dyDescent="0.3">
      <c r="A605" s="6" t="s">
        <v>929</v>
      </c>
      <c r="B605" s="7">
        <v>46022</v>
      </c>
      <c r="C605" s="6" t="s">
        <v>928</v>
      </c>
      <c r="D605" s="6" t="s">
        <v>657</v>
      </c>
      <c r="E605" s="6" t="s">
        <v>3237</v>
      </c>
      <c r="F605" s="6" t="s">
        <v>3229</v>
      </c>
      <c r="G605" s="8">
        <v>1.2146300000000001</v>
      </c>
      <c r="H605" s="8">
        <v>9.5265299999999993</v>
      </c>
      <c r="I605" s="6" t="e">
        <v>#N/A</v>
      </c>
      <c r="J605" s="6" t="s">
        <v>2459</v>
      </c>
      <c r="K605" s="6" t="s">
        <v>2468</v>
      </c>
      <c r="L605" s="6" t="s">
        <v>3491</v>
      </c>
      <c r="M605" s="6"/>
      <c r="N605" s="6" t="s">
        <v>2468</v>
      </c>
      <c r="O605" s="6" t="s">
        <v>7</v>
      </c>
      <c r="P605" s="6"/>
      <c r="Q605" s="6"/>
      <c r="R605" s="6"/>
      <c r="S605" s="6"/>
      <c r="T605" s="6"/>
      <c r="U605" s="6"/>
      <c r="V605" s="6"/>
      <c r="W605" s="6"/>
      <c r="X605" s="8"/>
      <c r="Y605" s="6" t="s">
        <v>3239</v>
      </c>
      <c r="Z605" s="6" t="s">
        <v>3253</v>
      </c>
      <c r="AA605" s="37" t="s">
        <v>3692</v>
      </c>
      <c r="AB605" s="38" t="s">
        <v>3683</v>
      </c>
      <c r="AC605" s="39" t="s">
        <v>3693</v>
      </c>
      <c r="AD605" s="39" t="s">
        <v>3694</v>
      </c>
      <c r="AE605" s="37" t="s">
        <v>3695</v>
      </c>
      <c r="AF605" s="39" t="s">
        <v>3696</v>
      </c>
      <c r="AG605" s="40" t="s">
        <v>3685</v>
      </c>
      <c r="AH605" s="37" t="s">
        <v>3697</v>
      </c>
    </row>
    <row r="606" spans="1:34" ht="14.45" hidden="1" customHeight="1" x14ac:dyDescent="0.3">
      <c r="A606" s="6" t="s">
        <v>845</v>
      </c>
      <c r="B606" s="7">
        <v>0</v>
      </c>
      <c r="C606" s="6" t="s">
        <v>844</v>
      </c>
      <c r="D606" s="6" t="s">
        <v>657</v>
      </c>
      <c r="E606" s="6" t="s">
        <v>3235</v>
      </c>
      <c r="F606" s="6" t="s">
        <v>3229</v>
      </c>
      <c r="G606" s="8">
        <v>1.2115199999999999</v>
      </c>
      <c r="H606" s="8">
        <v>9.5435400000000001</v>
      </c>
      <c r="I606" s="6" t="s">
        <v>2497</v>
      </c>
      <c r="J606" s="6" t="s">
        <v>2459</v>
      </c>
      <c r="K606" s="6" t="s">
        <v>2460</v>
      </c>
      <c r="L606" s="6"/>
      <c r="M606" s="6"/>
      <c r="N606" s="6" t="s">
        <v>3268</v>
      </c>
      <c r="O606" s="6" t="s">
        <v>7</v>
      </c>
      <c r="P606" s="6" t="str">
        <f>VLOOKUP(Tableau1[[#This Row],[SITES NAMES]],[1]Feuil1!$1:$1048576,8,FALSE)</f>
        <v>NOK</v>
      </c>
      <c r="Q606" s="6" t="str">
        <f>VLOOKUP(Tableau1[[#This Row],[SITES NAMES]],[1]Feuil1!$1:$1048576,9,FALSE)</f>
        <v>NO</v>
      </c>
      <c r="R606" s="6" t="str">
        <f>VLOOKUP(Tableau1[[#This Row],[SITES NAMES]],[1]Feuil1!$1:$1048576,10,FALSE)</f>
        <v>NO</v>
      </c>
      <c r="S606" s="6" t="s">
        <v>2461</v>
      </c>
      <c r="T606" s="6" t="s">
        <v>2462</v>
      </c>
      <c r="U606" s="6" t="s">
        <v>2463</v>
      </c>
      <c r="V606" s="6" t="s">
        <v>2464</v>
      </c>
      <c r="W606" s="6" t="s">
        <v>2476</v>
      </c>
      <c r="X606" s="8"/>
      <c r="Y606" s="6" t="s">
        <v>3239</v>
      </c>
      <c r="Z606" s="6" t="s">
        <v>3253</v>
      </c>
      <c r="AA606" s="37" t="s">
        <v>3698</v>
      </c>
      <c r="AB606" s="38" t="s">
        <v>3683</v>
      </c>
      <c r="AC606" s="39" t="s">
        <v>3699</v>
      </c>
      <c r="AD606" s="39" t="s">
        <v>3700</v>
      </c>
      <c r="AE606" s="37" t="s">
        <v>3701</v>
      </c>
      <c r="AF606" s="39" t="s">
        <v>3702</v>
      </c>
      <c r="AG606" s="40" t="s">
        <v>3685</v>
      </c>
      <c r="AH606" s="37" t="s">
        <v>3703</v>
      </c>
    </row>
    <row r="607" spans="1:34" ht="14.45" hidden="1" customHeight="1" x14ac:dyDescent="0.3">
      <c r="A607" s="6" t="s">
        <v>923</v>
      </c>
      <c r="B607" s="7">
        <v>46022</v>
      </c>
      <c r="C607" s="6" t="s">
        <v>922</v>
      </c>
      <c r="D607" s="6" t="s">
        <v>657</v>
      </c>
      <c r="E607" s="6" t="s">
        <v>3235</v>
      </c>
      <c r="F607" s="6" t="s">
        <v>3229</v>
      </c>
      <c r="G607" s="8">
        <v>1.194518</v>
      </c>
      <c r="H607" s="8">
        <v>9.5314940000000004</v>
      </c>
      <c r="I607" s="15" t="s">
        <v>2479</v>
      </c>
      <c r="J607" s="6" t="s">
        <v>2459</v>
      </c>
      <c r="K607" s="6" t="s">
        <v>2468</v>
      </c>
      <c r="L607" s="6" t="s">
        <v>981</v>
      </c>
      <c r="M607" s="6"/>
      <c r="N607" s="6" t="s">
        <v>2468</v>
      </c>
      <c r="O607" s="6" t="s">
        <v>7</v>
      </c>
      <c r="P607" s="6"/>
      <c r="Q607" s="6"/>
      <c r="R607" s="6"/>
      <c r="S607" s="6"/>
      <c r="T607" s="6"/>
      <c r="U607" s="6"/>
      <c r="V607" s="6"/>
      <c r="W607" s="6"/>
      <c r="X607" s="8"/>
      <c r="Y607" s="6" t="s">
        <v>3239</v>
      </c>
      <c r="Z607" s="6" t="s">
        <v>3253</v>
      </c>
      <c r="AA607" s="37" t="s">
        <v>3698</v>
      </c>
      <c r="AB607" s="38" t="s">
        <v>3683</v>
      </c>
      <c r="AC607" s="39" t="s">
        <v>3699</v>
      </c>
      <c r="AD607" s="39" t="s">
        <v>3700</v>
      </c>
      <c r="AE607" s="37" t="s">
        <v>3701</v>
      </c>
      <c r="AF607" s="39" t="s">
        <v>3702</v>
      </c>
      <c r="AG607" s="40" t="s">
        <v>3685</v>
      </c>
      <c r="AH607" s="37" t="s">
        <v>3703</v>
      </c>
    </row>
    <row r="608" spans="1:34" ht="14.45" hidden="1" customHeight="1" x14ac:dyDescent="0.3">
      <c r="A608" s="6" t="s">
        <v>957</v>
      </c>
      <c r="B608" s="7">
        <v>0</v>
      </c>
      <c r="C608" s="6" t="s">
        <v>956</v>
      </c>
      <c r="D608" s="6" t="s">
        <v>657</v>
      </c>
      <c r="E608" s="6" t="s">
        <v>3235</v>
      </c>
      <c r="F608" s="6" t="s">
        <v>3229</v>
      </c>
      <c r="G608" s="8">
        <v>1.20784</v>
      </c>
      <c r="H608" s="8">
        <v>9.5118899999999993</v>
      </c>
      <c r="I608" s="6" t="s">
        <v>2497</v>
      </c>
      <c r="J608" s="6" t="s">
        <v>2459</v>
      </c>
      <c r="K608" s="6" t="s">
        <v>2460</v>
      </c>
      <c r="L608" s="6" t="s">
        <v>961</v>
      </c>
      <c r="M608" s="6"/>
      <c r="N608" s="6" t="s">
        <v>3268</v>
      </c>
      <c r="O608" s="6" t="s">
        <v>7</v>
      </c>
      <c r="P608" s="6" t="str">
        <f>VLOOKUP(Tableau1[[#This Row],[SITES NAMES]],[1]Feuil1!$1:$1048576,8,FALSE)</f>
        <v>NOK</v>
      </c>
      <c r="Q608" s="6" t="str">
        <f>VLOOKUP(Tableau1[[#This Row],[SITES NAMES]],[1]Feuil1!$1:$1048576,9,FALSE)</f>
        <v>NO</v>
      </c>
      <c r="R608" s="6" t="str">
        <f>VLOOKUP(Tableau1[[#This Row],[SITES NAMES]],[1]Feuil1!$1:$1048576,10,FALSE)</f>
        <v>NO</v>
      </c>
      <c r="S608" s="6" t="s">
        <v>2469</v>
      </c>
      <c r="T608" s="6" t="s">
        <v>2470</v>
      </c>
      <c r="U608" s="6" t="s">
        <v>2480</v>
      </c>
      <c r="V608" s="6" t="s">
        <v>2464</v>
      </c>
      <c r="W608" s="6" t="s">
        <v>2476</v>
      </c>
      <c r="X608" s="8" t="s">
        <v>2821</v>
      </c>
      <c r="Y608" s="6" t="s">
        <v>3239</v>
      </c>
      <c r="Z608" s="6" t="s">
        <v>3253</v>
      </c>
      <c r="AA608" s="37" t="s">
        <v>3698</v>
      </c>
      <c r="AB608" s="38" t="s">
        <v>3683</v>
      </c>
      <c r="AC608" s="39" t="s">
        <v>3699</v>
      </c>
      <c r="AD608" s="39" t="s">
        <v>3700</v>
      </c>
      <c r="AE608" s="37" t="s">
        <v>3701</v>
      </c>
      <c r="AF608" s="39" t="s">
        <v>3702</v>
      </c>
      <c r="AG608" s="40" t="s">
        <v>3685</v>
      </c>
      <c r="AH608" s="37" t="s">
        <v>3703</v>
      </c>
    </row>
    <row r="609" spans="1:34" ht="14.45" hidden="1" customHeight="1" x14ac:dyDescent="0.3">
      <c r="A609" s="6" t="s">
        <v>959</v>
      </c>
      <c r="B609" s="7">
        <v>44136</v>
      </c>
      <c r="C609" s="6" t="s">
        <v>958</v>
      </c>
      <c r="D609" s="6" t="s">
        <v>657</v>
      </c>
      <c r="E609" s="6" t="s">
        <v>3235</v>
      </c>
      <c r="F609" s="6" t="s">
        <v>3229</v>
      </c>
      <c r="G609" s="8">
        <v>1.18004</v>
      </c>
      <c r="H609" s="8">
        <v>9.5265400000000007</v>
      </c>
      <c r="I609" s="6" t="s">
        <v>2486</v>
      </c>
      <c r="J609" s="6" t="s">
        <v>2459</v>
      </c>
      <c r="K609" s="6" t="s">
        <v>2460</v>
      </c>
      <c r="L609" s="6"/>
      <c r="M609" s="6"/>
      <c r="N609" s="6" t="s">
        <v>3268</v>
      </c>
      <c r="O609" s="6" t="s">
        <v>7</v>
      </c>
      <c r="P609" s="6" t="str">
        <f>VLOOKUP(Tableau1[[#This Row],[SITES NAMES]],[1]Feuil1!$1:$1048576,8,FALSE)</f>
        <v>NOK</v>
      </c>
      <c r="Q609" s="6" t="str">
        <f>VLOOKUP(Tableau1[[#This Row],[SITES NAMES]],[1]Feuil1!$1:$1048576,9,FALSE)</f>
        <v>NO</v>
      </c>
      <c r="R609" s="6" t="str">
        <f>VLOOKUP(Tableau1[[#This Row],[SITES NAMES]],[1]Feuil1!$1:$1048576,10,FALSE)</f>
        <v>NO</v>
      </c>
      <c r="S609" s="6" t="s">
        <v>2461</v>
      </c>
      <c r="T609" s="6" t="s">
        <v>2462</v>
      </c>
      <c r="U609" s="6" t="s">
        <v>2463</v>
      </c>
      <c r="V609" s="6" t="s">
        <v>2464</v>
      </c>
      <c r="W609" s="6" t="s">
        <v>2476</v>
      </c>
      <c r="X609" s="8" t="s">
        <v>2822</v>
      </c>
      <c r="Y609" s="6" t="s">
        <v>3239</v>
      </c>
      <c r="Z609" s="6" t="s">
        <v>3253</v>
      </c>
      <c r="AA609" s="37" t="s">
        <v>3698</v>
      </c>
      <c r="AB609" s="38" t="s">
        <v>3683</v>
      </c>
      <c r="AC609" s="39" t="s">
        <v>3699</v>
      </c>
      <c r="AD609" s="39" t="s">
        <v>3700</v>
      </c>
      <c r="AE609" s="37" t="s">
        <v>3701</v>
      </c>
      <c r="AF609" s="39" t="s">
        <v>3702</v>
      </c>
      <c r="AG609" s="40" t="s">
        <v>3685</v>
      </c>
      <c r="AH609" s="37" t="s">
        <v>3703</v>
      </c>
    </row>
    <row r="610" spans="1:34" ht="14.45" hidden="1" customHeight="1" x14ac:dyDescent="0.3">
      <c r="A610" s="6" t="s">
        <v>847</v>
      </c>
      <c r="B610" s="7">
        <v>45085</v>
      </c>
      <c r="C610" s="6" t="s">
        <v>846</v>
      </c>
      <c r="D610" s="6" t="s">
        <v>657</v>
      </c>
      <c r="E610" s="6" t="s">
        <v>3237</v>
      </c>
      <c r="F610" s="6" t="s">
        <v>3229</v>
      </c>
      <c r="G610" s="8">
        <v>1.17774</v>
      </c>
      <c r="H610" s="8">
        <v>9.5923700000000007</v>
      </c>
      <c r="I610" s="6" t="s">
        <v>2479</v>
      </c>
      <c r="J610" s="6" t="s">
        <v>2459</v>
      </c>
      <c r="K610" s="6" t="s">
        <v>2460</v>
      </c>
      <c r="L610" s="6" t="s">
        <v>849</v>
      </c>
      <c r="M610" s="6"/>
      <c r="N610" s="6" t="s">
        <v>3268</v>
      </c>
      <c r="O610" s="6" t="s">
        <v>7</v>
      </c>
      <c r="P610" s="6" t="str">
        <f>VLOOKUP(Tableau1[[#This Row],[SITES NAMES]],[1]Feuil1!$1:$1048576,8,FALSE)</f>
        <v>OK</v>
      </c>
      <c r="Q610" s="6" t="str">
        <f>VLOOKUP(Tableau1[[#This Row],[SITES NAMES]],[1]Feuil1!$1:$1048576,9,FALSE)</f>
        <v>NO</v>
      </c>
      <c r="R610" s="6" t="str">
        <f>VLOOKUP(Tableau1[[#This Row],[SITES NAMES]],[1]Feuil1!$1:$1048576,10,FALSE)</f>
        <v>NO</v>
      </c>
      <c r="S610" s="6" t="s">
        <v>2461</v>
      </c>
      <c r="T610" s="6" t="s">
        <v>2462</v>
      </c>
      <c r="U610" s="6" t="s">
        <v>2463</v>
      </c>
      <c r="V610" s="6" t="s">
        <v>2464</v>
      </c>
      <c r="W610" s="6" t="s">
        <v>2465</v>
      </c>
      <c r="X610" s="8">
        <v>70997296</v>
      </c>
      <c r="Y610" s="6" t="s">
        <v>3239</v>
      </c>
      <c r="Z610" s="6" t="s">
        <v>3253</v>
      </c>
      <c r="AA610" s="37" t="s">
        <v>3692</v>
      </c>
      <c r="AB610" s="38" t="s">
        <v>3683</v>
      </c>
      <c r="AC610" s="39" t="s">
        <v>3693</v>
      </c>
      <c r="AD610" s="39" t="s">
        <v>3694</v>
      </c>
      <c r="AE610" s="37" t="s">
        <v>3695</v>
      </c>
      <c r="AF610" s="39" t="s">
        <v>3696</v>
      </c>
      <c r="AG610" s="40" t="s">
        <v>3685</v>
      </c>
      <c r="AH610" s="37" t="s">
        <v>3697</v>
      </c>
    </row>
    <row r="611" spans="1:34" ht="15.75" hidden="1" x14ac:dyDescent="0.3">
      <c r="A611" s="6" t="s">
        <v>961</v>
      </c>
      <c r="B611" s="7">
        <v>0</v>
      </c>
      <c r="C611" s="6" t="s">
        <v>960</v>
      </c>
      <c r="D611" s="6" t="s">
        <v>657</v>
      </c>
      <c r="E611" s="6" t="s">
        <v>3235</v>
      </c>
      <c r="F611" s="6" t="s">
        <v>3229</v>
      </c>
      <c r="G611" s="8">
        <v>1.17411</v>
      </c>
      <c r="H611" s="8">
        <v>9.5499399999999994</v>
      </c>
      <c r="I611" s="6" t="s">
        <v>2497</v>
      </c>
      <c r="J611" s="6" t="s">
        <v>2459</v>
      </c>
      <c r="K611" s="6" t="s">
        <v>2460</v>
      </c>
      <c r="L611" s="6"/>
      <c r="M611" s="6"/>
      <c r="N611" s="21" t="s">
        <v>3269</v>
      </c>
      <c r="O611" s="6" t="s">
        <v>7</v>
      </c>
      <c r="P611" s="6" t="str">
        <f>VLOOKUP(Tableau1[[#This Row],[SITES NAMES]],[1]Feuil1!$1:$1048576,8,FALSE)</f>
        <v>OK</v>
      </c>
      <c r="Q611" s="6" t="str">
        <f>VLOOKUP(Tableau1[[#This Row],[SITES NAMES]],[1]Feuil1!$1:$1048576,9,FALSE)</f>
        <v>NO</v>
      </c>
      <c r="R611" s="6" t="str">
        <f>VLOOKUP(Tableau1[[#This Row],[SITES NAMES]],[1]Feuil1!$1:$1048576,10,FALSE)</f>
        <v>NO</v>
      </c>
      <c r="S611" s="6" t="s">
        <v>2469</v>
      </c>
      <c r="T611" s="6" t="s">
        <v>2470</v>
      </c>
      <c r="U611" s="6" t="s">
        <v>2480</v>
      </c>
      <c r="V611" s="6" t="s">
        <v>2498</v>
      </c>
      <c r="W611" s="6" t="s">
        <v>2476</v>
      </c>
      <c r="X611" s="8"/>
      <c r="Y611" s="6" t="s">
        <v>3239</v>
      </c>
      <c r="Z611" s="6" t="s">
        <v>3253</v>
      </c>
      <c r="AA611" s="37" t="s">
        <v>3698</v>
      </c>
      <c r="AB611" s="38" t="s">
        <v>3683</v>
      </c>
      <c r="AC611" s="39" t="s">
        <v>3699</v>
      </c>
      <c r="AD611" s="39" t="s">
        <v>3700</v>
      </c>
      <c r="AE611" s="37" t="s">
        <v>3701</v>
      </c>
      <c r="AF611" s="39" t="s">
        <v>3702</v>
      </c>
      <c r="AG611" s="40" t="s">
        <v>3685</v>
      </c>
      <c r="AH611" s="37" t="s">
        <v>3703</v>
      </c>
    </row>
    <row r="612" spans="1:34" ht="14.45" hidden="1" customHeight="1" x14ac:dyDescent="0.3">
      <c r="A612" s="6" t="s">
        <v>925</v>
      </c>
      <c r="B612" s="7">
        <v>46022</v>
      </c>
      <c r="C612" s="6" t="s">
        <v>924</v>
      </c>
      <c r="D612" s="6" t="s">
        <v>657</v>
      </c>
      <c r="E612" s="6" t="s">
        <v>3235</v>
      </c>
      <c r="F612" s="6" t="s">
        <v>3229</v>
      </c>
      <c r="G612" s="8">
        <v>1.185983</v>
      </c>
      <c r="H612" s="8">
        <v>9.5611350000000002</v>
      </c>
      <c r="I612" s="15" t="s">
        <v>2475</v>
      </c>
      <c r="J612" s="6" t="s">
        <v>2459</v>
      </c>
      <c r="K612" s="6" t="s">
        <v>2468</v>
      </c>
      <c r="L612" s="6" t="s">
        <v>3492</v>
      </c>
      <c r="M612" s="6"/>
      <c r="N612" s="6" t="s">
        <v>2468</v>
      </c>
      <c r="O612" s="6" t="s">
        <v>7</v>
      </c>
      <c r="P612" s="6"/>
      <c r="Q612" s="6"/>
      <c r="R612" s="6"/>
      <c r="S612" s="6"/>
      <c r="T612" s="6"/>
      <c r="U612" s="6"/>
      <c r="V612" s="6"/>
      <c r="W612" s="6"/>
      <c r="X612" s="8"/>
      <c r="Y612" s="6" t="s">
        <v>3239</v>
      </c>
      <c r="Z612" s="6" t="s">
        <v>3253</v>
      </c>
      <c r="AA612" s="37" t="s">
        <v>3698</v>
      </c>
      <c r="AB612" s="38" t="s">
        <v>3683</v>
      </c>
      <c r="AC612" s="39" t="s">
        <v>3699</v>
      </c>
      <c r="AD612" s="39" t="s">
        <v>3700</v>
      </c>
      <c r="AE612" s="37" t="s">
        <v>3701</v>
      </c>
      <c r="AF612" s="39" t="s">
        <v>3702</v>
      </c>
      <c r="AG612" s="40" t="s">
        <v>3685</v>
      </c>
      <c r="AH612" s="37" t="s">
        <v>3703</v>
      </c>
    </row>
    <row r="613" spans="1:34" ht="14.45" hidden="1" customHeight="1" x14ac:dyDescent="0.3">
      <c r="A613" s="6" t="s">
        <v>849</v>
      </c>
      <c r="B613" s="7">
        <v>46022</v>
      </c>
      <c r="C613" s="6" t="s">
        <v>848</v>
      </c>
      <c r="D613" s="6" t="s">
        <v>657</v>
      </c>
      <c r="E613" s="6" t="s">
        <v>3237</v>
      </c>
      <c r="F613" s="6" t="s">
        <v>3229</v>
      </c>
      <c r="G613" s="8">
        <v>1.1742999999999999</v>
      </c>
      <c r="H613" s="8">
        <v>9.5498999999999992</v>
      </c>
      <c r="I613" s="6" t="e">
        <v>#N/A</v>
      </c>
      <c r="J613" s="6" t="s">
        <v>2459</v>
      </c>
      <c r="K613" s="6" t="s">
        <v>2460</v>
      </c>
      <c r="L613" s="6"/>
      <c r="M613" s="6"/>
      <c r="N613" s="6" t="s">
        <v>3268</v>
      </c>
      <c r="O613" s="6" t="s">
        <v>7</v>
      </c>
      <c r="P613" s="6"/>
      <c r="Q613" s="6"/>
      <c r="R613" s="6"/>
      <c r="S613" s="6"/>
      <c r="T613" s="6"/>
      <c r="U613" s="6"/>
      <c r="V613" s="6"/>
      <c r="W613" s="6"/>
      <c r="X613" s="8"/>
      <c r="Y613" s="6" t="s">
        <v>3239</v>
      </c>
      <c r="Z613" s="6" t="s">
        <v>3253</v>
      </c>
      <c r="AA613" s="37" t="s">
        <v>3692</v>
      </c>
      <c r="AB613" s="38" t="s">
        <v>3683</v>
      </c>
      <c r="AC613" s="39" t="s">
        <v>3693</v>
      </c>
      <c r="AD613" s="39" t="s">
        <v>3694</v>
      </c>
      <c r="AE613" s="37" t="s">
        <v>3695</v>
      </c>
      <c r="AF613" s="39" t="s">
        <v>3696</v>
      </c>
      <c r="AG613" s="40" t="s">
        <v>3685</v>
      </c>
      <c r="AH613" s="37" t="s">
        <v>3697</v>
      </c>
    </row>
    <row r="614" spans="1:34" ht="14.45" hidden="1" customHeight="1" x14ac:dyDescent="0.3">
      <c r="A614" s="6" t="s">
        <v>911</v>
      </c>
      <c r="B614" s="7">
        <v>0</v>
      </c>
      <c r="C614" s="6" t="s">
        <v>910</v>
      </c>
      <c r="D614" s="6" t="s">
        <v>657</v>
      </c>
      <c r="E614" s="6" t="s">
        <v>3235</v>
      </c>
      <c r="F614" s="6" t="s">
        <v>3229</v>
      </c>
      <c r="G614" s="8">
        <v>1.162172</v>
      </c>
      <c r="H614" s="8">
        <v>9.5391049999999993</v>
      </c>
      <c r="I614" s="6" t="s">
        <v>2486</v>
      </c>
      <c r="J614" s="6" t="s">
        <v>2459</v>
      </c>
      <c r="K614" s="6" t="s">
        <v>2460</v>
      </c>
      <c r="L614" s="6"/>
      <c r="M614" s="6"/>
      <c r="N614" s="6" t="s">
        <v>3268</v>
      </c>
      <c r="O614" s="6" t="s">
        <v>7</v>
      </c>
      <c r="P614" s="6" t="str">
        <f>VLOOKUP(Tableau1[[#This Row],[SITES NAMES]],[1]Feuil1!$1:$1048576,8,FALSE)</f>
        <v>NOK</v>
      </c>
      <c r="Q614" s="6" t="str">
        <f>VLOOKUP(Tableau1[[#This Row],[SITES NAMES]],[1]Feuil1!$1:$1048576,9,FALSE)</f>
        <v>NO</v>
      </c>
      <c r="R614" s="6" t="str">
        <f>VLOOKUP(Tableau1[[#This Row],[SITES NAMES]],[1]Feuil1!$1:$1048576,10,FALSE)</f>
        <v>YES</v>
      </c>
      <c r="S614" s="6" t="s">
        <v>2469</v>
      </c>
      <c r="T614" s="6" t="s">
        <v>2470</v>
      </c>
      <c r="U614" s="6" t="s">
        <v>2463</v>
      </c>
      <c r="V614" s="6" t="s">
        <v>2464</v>
      </c>
      <c r="W614" s="6" t="s">
        <v>2476</v>
      </c>
      <c r="X614" s="8" t="s">
        <v>2810</v>
      </c>
      <c r="Y614" s="6" t="s">
        <v>3239</v>
      </c>
      <c r="Z614" s="6" t="s">
        <v>3253</v>
      </c>
      <c r="AA614" s="37" t="s">
        <v>3698</v>
      </c>
      <c r="AB614" s="38" t="s">
        <v>3683</v>
      </c>
      <c r="AC614" s="39" t="s">
        <v>3699</v>
      </c>
      <c r="AD614" s="39" t="s">
        <v>3700</v>
      </c>
      <c r="AE614" s="37" t="s">
        <v>3701</v>
      </c>
      <c r="AF614" s="39" t="s">
        <v>3702</v>
      </c>
      <c r="AG614" s="40" t="s">
        <v>3685</v>
      </c>
      <c r="AH614" s="37" t="s">
        <v>3703</v>
      </c>
    </row>
    <row r="615" spans="1:34" ht="14.45" hidden="1" customHeight="1" x14ac:dyDescent="0.3">
      <c r="A615" s="6" t="s">
        <v>825</v>
      </c>
      <c r="B615" s="7">
        <v>46022</v>
      </c>
      <c r="C615" s="6" t="s">
        <v>824</v>
      </c>
      <c r="D615" s="6" t="s">
        <v>657</v>
      </c>
      <c r="E615" s="6" t="s">
        <v>3237</v>
      </c>
      <c r="F615" s="6" t="s">
        <v>3229</v>
      </c>
      <c r="G615" s="8">
        <v>1.2150609999999999</v>
      </c>
      <c r="H615" s="8">
        <v>9.5672409999999992</v>
      </c>
      <c r="I615" s="15" t="s">
        <v>2475</v>
      </c>
      <c r="J615" s="6" t="s">
        <v>2459</v>
      </c>
      <c r="K615" s="6" t="s">
        <v>2468</v>
      </c>
      <c r="L615" s="6"/>
      <c r="M615" s="6"/>
      <c r="N615" s="6" t="s">
        <v>2468</v>
      </c>
      <c r="O615" s="6" t="s">
        <v>37</v>
      </c>
      <c r="P615" s="6"/>
      <c r="Q615" s="6"/>
      <c r="R615" s="6"/>
      <c r="S615" s="6"/>
      <c r="T615" s="6"/>
      <c r="U615" s="6"/>
      <c r="V615" s="6"/>
      <c r="W615" s="6"/>
      <c r="X615" s="8"/>
      <c r="Y615" s="6" t="s">
        <v>3239</v>
      </c>
      <c r="Z615" s="6" t="s">
        <v>3253</v>
      </c>
      <c r="AA615" s="37" t="s">
        <v>3692</v>
      </c>
      <c r="AB615" s="38" t="s">
        <v>3683</v>
      </c>
      <c r="AC615" s="39" t="s">
        <v>3693</v>
      </c>
      <c r="AD615" s="39" t="s">
        <v>3694</v>
      </c>
      <c r="AE615" s="37" t="s">
        <v>3695</v>
      </c>
      <c r="AF615" s="39" t="s">
        <v>3696</v>
      </c>
      <c r="AG615" s="40" t="s">
        <v>3685</v>
      </c>
      <c r="AH615" s="37" t="s">
        <v>3697</v>
      </c>
    </row>
    <row r="616" spans="1:34" ht="14.45" hidden="1" customHeight="1" x14ac:dyDescent="0.3">
      <c r="A616" s="6" t="s">
        <v>851</v>
      </c>
      <c r="B616" s="7">
        <v>0</v>
      </c>
      <c r="C616" s="6" t="s">
        <v>850</v>
      </c>
      <c r="D616" s="6" t="s">
        <v>657</v>
      </c>
      <c r="E616" s="6" t="s">
        <v>3237</v>
      </c>
      <c r="F616" s="6" t="s">
        <v>3229</v>
      </c>
      <c r="G616" s="8">
        <v>1.19364</v>
      </c>
      <c r="H616" s="8">
        <v>9.5620600000000007</v>
      </c>
      <c r="I616" s="6" t="s">
        <v>2497</v>
      </c>
      <c r="J616" s="6" t="s">
        <v>2459</v>
      </c>
      <c r="K616" s="6" t="s">
        <v>2460</v>
      </c>
      <c r="L616" s="6"/>
      <c r="M616" s="6"/>
      <c r="N616" s="6" t="s">
        <v>3268</v>
      </c>
      <c r="O616" s="6" t="s">
        <v>7</v>
      </c>
      <c r="P616" s="6" t="str">
        <f>VLOOKUP(Tableau1[[#This Row],[SITES NAMES]],[1]Feuil1!$1:$1048576,8,FALSE)</f>
        <v>NOK</v>
      </c>
      <c r="Q616" s="6" t="str">
        <f>VLOOKUP(Tableau1[[#This Row],[SITES NAMES]],[1]Feuil1!$1:$1048576,9,FALSE)</f>
        <v>NO</v>
      </c>
      <c r="R616" s="6" t="str">
        <f>VLOOKUP(Tableau1[[#This Row],[SITES NAMES]],[1]Feuil1!$1:$1048576,10,FALSE)</f>
        <v>NO</v>
      </c>
      <c r="S616" s="6" t="s">
        <v>2461</v>
      </c>
      <c r="T616" s="6" t="s">
        <v>2462</v>
      </c>
      <c r="U616" s="6" t="s">
        <v>2463</v>
      </c>
      <c r="V616" s="6" t="s">
        <v>2478</v>
      </c>
      <c r="W616" s="6" t="s">
        <v>2476</v>
      </c>
      <c r="X616" s="8" t="s">
        <v>2784</v>
      </c>
      <c r="Y616" s="6" t="s">
        <v>3239</v>
      </c>
      <c r="Z616" s="6" t="s">
        <v>3253</v>
      </c>
      <c r="AA616" s="37" t="s">
        <v>3692</v>
      </c>
      <c r="AB616" s="38" t="s">
        <v>3683</v>
      </c>
      <c r="AC616" s="39" t="s">
        <v>3693</v>
      </c>
      <c r="AD616" s="39" t="s">
        <v>3694</v>
      </c>
      <c r="AE616" s="37" t="s">
        <v>3695</v>
      </c>
      <c r="AF616" s="39" t="s">
        <v>3696</v>
      </c>
      <c r="AG616" s="40" t="s">
        <v>3685</v>
      </c>
      <c r="AH616" s="37" t="s">
        <v>3697</v>
      </c>
    </row>
    <row r="617" spans="1:34" ht="14.45" hidden="1" customHeight="1" x14ac:dyDescent="0.3">
      <c r="A617" s="6" t="s">
        <v>921</v>
      </c>
      <c r="B617" s="7">
        <v>46022</v>
      </c>
      <c r="C617" s="6" t="s">
        <v>920</v>
      </c>
      <c r="D617" s="6" t="s">
        <v>657</v>
      </c>
      <c r="E617" s="6" t="s">
        <v>3235</v>
      </c>
      <c r="F617" s="6" t="s">
        <v>3229</v>
      </c>
      <c r="G617" s="8">
        <v>1.194377</v>
      </c>
      <c r="H617" s="8">
        <v>9.5937319999999993</v>
      </c>
      <c r="I617" s="15" t="s">
        <v>2479</v>
      </c>
      <c r="J617" s="6" t="s">
        <v>2459</v>
      </c>
      <c r="K617" s="6" t="s">
        <v>2468</v>
      </c>
      <c r="L617" s="6"/>
      <c r="M617" s="6"/>
      <c r="N617" s="6" t="s">
        <v>2468</v>
      </c>
      <c r="O617" s="6" t="s">
        <v>7</v>
      </c>
      <c r="P617" s="6"/>
      <c r="Q617" s="6"/>
      <c r="R617" s="6"/>
      <c r="S617" s="6"/>
      <c r="T617" s="6"/>
      <c r="U617" s="6"/>
      <c r="V617" s="6"/>
      <c r="W617" s="6"/>
      <c r="X617" s="8"/>
      <c r="Y617" s="6" t="s">
        <v>3239</v>
      </c>
      <c r="Z617" s="6" t="s">
        <v>3253</v>
      </c>
      <c r="AA617" s="37" t="s">
        <v>3698</v>
      </c>
      <c r="AB617" s="38" t="s">
        <v>3683</v>
      </c>
      <c r="AC617" s="39" t="s">
        <v>3699</v>
      </c>
      <c r="AD617" s="39" t="s">
        <v>3700</v>
      </c>
      <c r="AE617" s="37" t="s">
        <v>3701</v>
      </c>
      <c r="AF617" s="39" t="s">
        <v>3702</v>
      </c>
      <c r="AG617" s="40" t="s">
        <v>3685</v>
      </c>
      <c r="AH617" s="37" t="s">
        <v>3703</v>
      </c>
    </row>
    <row r="618" spans="1:34" ht="14.45" hidden="1" customHeight="1" x14ac:dyDescent="0.3">
      <c r="A618" s="6" t="s">
        <v>807</v>
      </c>
      <c r="B618" s="7">
        <v>44859</v>
      </c>
      <c r="C618" s="6" t="s">
        <v>806</v>
      </c>
      <c r="D618" s="6" t="s">
        <v>657</v>
      </c>
      <c r="E618" s="6" t="s">
        <v>3237</v>
      </c>
      <c r="F618" s="6" t="s">
        <v>3229</v>
      </c>
      <c r="G618" s="8">
        <v>1.2226300000000001</v>
      </c>
      <c r="H618" s="8">
        <v>9.5642099999999992</v>
      </c>
      <c r="I618" s="6" t="s">
        <v>2479</v>
      </c>
      <c r="J618" s="6" t="s">
        <v>2459</v>
      </c>
      <c r="K618" s="6" t="s">
        <v>2468</v>
      </c>
      <c r="L618" s="6" t="s">
        <v>3493</v>
      </c>
      <c r="M618" s="6"/>
      <c r="N618" s="6" t="s">
        <v>2468</v>
      </c>
      <c r="O618" s="6" t="s">
        <v>7</v>
      </c>
      <c r="P618" s="6" t="str">
        <f>VLOOKUP(Tableau1[[#This Row],[SITES NAMES]],[1]Feuil1!$1:$1048576,8,FALSE)</f>
        <v>OK</v>
      </c>
      <c r="Q618" s="6" t="str">
        <f>VLOOKUP(Tableau1[[#This Row],[SITES NAMES]],[1]Feuil1!$1:$1048576,9,FALSE)</f>
        <v>NO</v>
      </c>
      <c r="R618" s="6" t="str">
        <f>VLOOKUP(Tableau1[[#This Row],[SITES NAMES]],[1]Feuil1!$1:$1048576,10,FALSE)</f>
        <v>YES</v>
      </c>
      <c r="S618" s="6" t="s">
        <v>2461</v>
      </c>
      <c r="T618" s="6" t="s">
        <v>2462</v>
      </c>
      <c r="U618" s="6" t="s">
        <v>2463</v>
      </c>
      <c r="V618" s="6" t="s">
        <v>2464</v>
      </c>
      <c r="W618" s="6" t="s">
        <v>2465</v>
      </c>
      <c r="X618" s="8"/>
      <c r="Y618" s="6" t="s">
        <v>3239</v>
      </c>
      <c r="Z618" s="6" t="s">
        <v>3253</v>
      </c>
      <c r="AA618" s="37" t="s">
        <v>3692</v>
      </c>
      <c r="AB618" s="38" t="s">
        <v>3683</v>
      </c>
      <c r="AC618" s="39" t="s">
        <v>3693</v>
      </c>
      <c r="AD618" s="39" t="s">
        <v>3694</v>
      </c>
      <c r="AE618" s="37" t="s">
        <v>3695</v>
      </c>
      <c r="AF618" s="39" t="s">
        <v>3696</v>
      </c>
      <c r="AG618" s="40" t="s">
        <v>3685</v>
      </c>
      <c r="AH618" s="37" t="s">
        <v>3697</v>
      </c>
    </row>
    <row r="619" spans="1:34" ht="14.45" hidden="1" customHeight="1" x14ac:dyDescent="0.3">
      <c r="A619" s="6" t="s">
        <v>927</v>
      </c>
      <c r="B619" s="7">
        <v>46022</v>
      </c>
      <c r="C619" s="6" t="s">
        <v>926</v>
      </c>
      <c r="D619" s="6" t="s">
        <v>657</v>
      </c>
      <c r="E619" s="6" t="s">
        <v>3235</v>
      </c>
      <c r="F619" s="6" t="s">
        <v>3229</v>
      </c>
      <c r="G619" s="8">
        <v>1.1629640000000001</v>
      </c>
      <c r="H619" s="8">
        <v>9.5566770000000005</v>
      </c>
      <c r="I619" s="15" t="s">
        <v>2475</v>
      </c>
      <c r="J619" s="6" t="s">
        <v>2459</v>
      </c>
      <c r="K619" s="6" t="s">
        <v>2468</v>
      </c>
      <c r="L619" s="6"/>
      <c r="M619" s="6"/>
      <c r="N619" s="6" t="s">
        <v>2468</v>
      </c>
      <c r="O619" s="6" t="s">
        <v>7</v>
      </c>
      <c r="P619" s="6"/>
      <c r="Q619" s="6"/>
      <c r="R619" s="6"/>
      <c r="S619" s="6"/>
      <c r="T619" s="6"/>
      <c r="U619" s="6"/>
      <c r="V619" s="6"/>
      <c r="W619" s="6"/>
      <c r="X619" s="8"/>
      <c r="Y619" s="6" t="s">
        <v>3239</v>
      </c>
      <c r="Z619" s="6" t="s">
        <v>3253</v>
      </c>
      <c r="AA619" s="37" t="s">
        <v>3698</v>
      </c>
      <c r="AB619" s="38" t="s">
        <v>3683</v>
      </c>
      <c r="AC619" s="39" t="s">
        <v>3699</v>
      </c>
      <c r="AD619" s="39" t="s">
        <v>3700</v>
      </c>
      <c r="AE619" s="37" t="s">
        <v>3701</v>
      </c>
      <c r="AF619" s="39" t="s">
        <v>3702</v>
      </c>
      <c r="AG619" s="40" t="s">
        <v>3685</v>
      </c>
      <c r="AH619" s="37" t="s">
        <v>3703</v>
      </c>
    </row>
    <row r="620" spans="1:34" ht="14.45" hidden="1" customHeight="1" x14ac:dyDescent="0.3">
      <c r="A620" s="6" t="s">
        <v>963</v>
      </c>
      <c r="B620" s="7" t="s">
        <v>2514</v>
      </c>
      <c r="C620" s="6" t="s">
        <v>962</v>
      </c>
      <c r="D620" s="6" t="s">
        <v>657</v>
      </c>
      <c r="E620" s="6" t="s">
        <v>3235</v>
      </c>
      <c r="F620" s="6" t="s">
        <v>3229</v>
      </c>
      <c r="G620" s="8">
        <v>1.1901900000000001</v>
      </c>
      <c r="H620" s="8">
        <v>9.5459999999999994</v>
      </c>
      <c r="I620" s="6" t="s">
        <v>2497</v>
      </c>
      <c r="J620" s="6" t="s">
        <v>2459</v>
      </c>
      <c r="K620" s="6" t="s">
        <v>2460</v>
      </c>
      <c r="L620" s="6"/>
      <c r="M620" s="6"/>
      <c r="N620" s="6" t="s">
        <v>3268</v>
      </c>
      <c r="O620" s="6" t="s">
        <v>7</v>
      </c>
      <c r="P620" s="6"/>
      <c r="Q620" s="6" t="str">
        <f>VLOOKUP(Tableau1[[#This Row],[SITES NAMES]],[1]Feuil1!$1:$1048576,9,FALSE)</f>
        <v>NO</v>
      </c>
      <c r="R620" s="6" t="str">
        <f>VLOOKUP(Tableau1[[#This Row],[SITES NAMES]],[1]Feuil1!$1:$1048576,10,FALSE)</f>
        <v>NO</v>
      </c>
      <c r="S620" s="6" t="s">
        <v>2469</v>
      </c>
      <c r="T620" s="6" t="s">
        <v>2470</v>
      </c>
      <c r="U620" s="6" t="s">
        <v>2463</v>
      </c>
      <c r="V620" s="6" t="s">
        <v>2464</v>
      </c>
      <c r="W620" s="6" t="s">
        <v>2476</v>
      </c>
      <c r="X620" s="8" t="s">
        <v>2823</v>
      </c>
      <c r="Y620" s="6" t="s">
        <v>3239</v>
      </c>
      <c r="Z620" s="6" t="s">
        <v>3253</v>
      </c>
      <c r="AA620" s="37" t="s">
        <v>3698</v>
      </c>
      <c r="AB620" s="38" t="s">
        <v>3683</v>
      </c>
      <c r="AC620" s="39" t="s">
        <v>3699</v>
      </c>
      <c r="AD620" s="39" t="s">
        <v>3700</v>
      </c>
      <c r="AE620" s="37" t="s">
        <v>3701</v>
      </c>
      <c r="AF620" s="39" t="s">
        <v>3702</v>
      </c>
      <c r="AG620" s="40" t="s">
        <v>3685</v>
      </c>
      <c r="AH620" s="37" t="s">
        <v>3703</v>
      </c>
    </row>
    <row r="621" spans="1:34" ht="14.45" hidden="1" customHeight="1" x14ac:dyDescent="0.3">
      <c r="A621" s="6" t="s">
        <v>809</v>
      </c>
      <c r="B621" s="7">
        <v>43281</v>
      </c>
      <c r="C621" s="6" t="s">
        <v>808</v>
      </c>
      <c r="D621" s="6" t="s">
        <v>657</v>
      </c>
      <c r="E621" s="6" t="s">
        <v>3237</v>
      </c>
      <c r="F621" s="6" t="s">
        <v>3229</v>
      </c>
      <c r="G621" s="8">
        <v>1.19469</v>
      </c>
      <c r="H621" s="8">
        <v>9.5769400000000005</v>
      </c>
      <c r="I621" s="6" t="s">
        <v>2486</v>
      </c>
      <c r="J621" s="6" t="s">
        <v>2459</v>
      </c>
      <c r="K621" s="6" t="s">
        <v>2460</v>
      </c>
      <c r="L621" s="6"/>
      <c r="M621" s="6"/>
      <c r="N621" s="6" t="s">
        <v>3268</v>
      </c>
      <c r="O621" s="6" t="s">
        <v>7</v>
      </c>
      <c r="P621" s="6" t="str">
        <f>VLOOKUP(Tableau1[[#This Row],[SITES NAMES]],[1]Feuil1!$1:$1048576,8,FALSE)</f>
        <v>OK</v>
      </c>
      <c r="Q621" s="6" t="str">
        <f>VLOOKUP(Tableau1[[#This Row],[SITES NAMES]],[1]Feuil1!$1:$1048576,9,FALSE)</f>
        <v>NO</v>
      </c>
      <c r="R621" s="6" t="str">
        <f>VLOOKUP(Tableau1[[#This Row],[SITES NAMES]],[1]Feuil1!$1:$1048576,10,FALSE)</f>
        <v>NO</v>
      </c>
      <c r="S621" s="6" t="s">
        <v>2461</v>
      </c>
      <c r="T621" s="6" t="s">
        <v>2462</v>
      </c>
      <c r="U621" s="6" t="s">
        <v>2463</v>
      </c>
      <c r="V621" s="6" t="s">
        <v>2478</v>
      </c>
      <c r="W621" s="6" t="s">
        <v>2476</v>
      </c>
      <c r="X621" s="8" t="s">
        <v>2774</v>
      </c>
      <c r="Y621" s="6" t="s">
        <v>3239</v>
      </c>
      <c r="Z621" s="6" t="s">
        <v>3253</v>
      </c>
      <c r="AA621" s="37" t="s">
        <v>3692</v>
      </c>
      <c r="AB621" s="38" t="s">
        <v>3683</v>
      </c>
      <c r="AC621" s="39" t="s">
        <v>3693</v>
      </c>
      <c r="AD621" s="39" t="s">
        <v>3694</v>
      </c>
      <c r="AE621" s="37" t="s">
        <v>3695</v>
      </c>
      <c r="AF621" s="39" t="s">
        <v>3696</v>
      </c>
      <c r="AG621" s="40" t="s">
        <v>3685</v>
      </c>
      <c r="AH621" s="37" t="s">
        <v>3697</v>
      </c>
    </row>
    <row r="622" spans="1:34" ht="14.45" hidden="1" customHeight="1" x14ac:dyDescent="0.3">
      <c r="A622" s="6" t="s">
        <v>853</v>
      </c>
      <c r="B622" s="7">
        <v>45278</v>
      </c>
      <c r="C622" s="6" t="s">
        <v>852</v>
      </c>
      <c r="D622" s="6" t="s">
        <v>657</v>
      </c>
      <c r="E622" s="6" t="s">
        <v>3237</v>
      </c>
      <c r="F622" s="6" t="s">
        <v>3229</v>
      </c>
      <c r="G622" s="8">
        <v>1.1964349999999999</v>
      </c>
      <c r="H622" s="8">
        <v>9.538983</v>
      </c>
      <c r="I622" s="6" t="s">
        <v>2475</v>
      </c>
      <c r="J622" s="6" t="s">
        <v>2459</v>
      </c>
      <c r="K622" s="6" t="s">
        <v>2460</v>
      </c>
      <c r="L622" s="6"/>
      <c r="M622" s="6"/>
      <c r="N622" s="6" t="s">
        <v>3268</v>
      </c>
      <c r="O622" s="6" t="s">
        <v>7</v>
      </c>
      <c r="P622" s="6" t="str">
        <f>VLOOKUP(Tableau1[[#This Row],[SITES NAMES]],[1]Feuil1!$1:$1048576,8,FALSE)</f>
        <v>OK</v>
      </c>
      <c r="Q622" s="6" t="str">
        <f>VLOOKUP(Tableau1[[#This Row],[SITES NAMES]],[1]Feuil1!$1:$1048576,9,FALSE)</f>
        <v>NO</v>
      </c>
      <c r="R622" s="6"/>
      <c r="S622" s="6" t="s">
        <v>2461</v>
      </c>
      <c r="T622" s="6" t="s">
        <v>2462</v>
      </c>
      <c r="U622" s="6" t="s">
        <v>2463</v>
      </c>
      <c r="V622" s="6" t="s">
        <v>2478</v>
      </c>
      <c r="W622" s="6" t="s">
        <v>2785</v>
      </c>
      <c r="X622" s="8"/>
      <c r="Y622" s="6" t="s">
        <v>3239</v>
      </c>
      <c r="Z622" s="6" t="s">
        <v>3253</v>
      </c>
      <c r="AA622" s="37" t="s">
        <v>3692</v>
      </c>
      <c r="AB622" s="38" t="s">
        <v>3683</v>
      </c>
      <c r="AC622" s="39" t="s">
        <v>3693</v>
      </c>
      <c r="AD622" s="39" t="s">
        <v>3694</v>
      </c>
      <c r="AE622" s="37" t="s">
        <v>3695</v>
      </c>
      <c r="AF622" s="39" t="s">
        <v>3696</v>
      </c>
      <c r="AG622" s="40" t="s">
        <v>3685</v>
      </c>
      <c r="AH622" s="37" t="s">
        <v>3697</v>
      </c>
    </row>
    <row r="623" spans="1:34" ht="14.45" hidden="1" customHeight="1" x14ac:dyDescent="0.3">
      <c r="A623" s="6" t="s">
        <v>965</v>
      </c>
      <c r="B623" s="7">
        <v>0</v>
      </c>
      <c r="C623" s="6" t="s">
        <v>964</v>
      </c>
      <c r="D623" s="6" t="s">
        <v>657</v>
      </c>
      <c r="E623" s="6" t="s">
        <v>3235</v>
      </c>
      <c r="F623" s="6" t="s">
        <v>3229</v>
      </c>
      <c r="G623" s="8">
        <v>1.1749499999999999</v>
      </c>
      <c r="H623" s="8">
        <v>9.5654699999999995</v>
      </c>
      <c r="I623" s="6" t="s">
        <v>2497</v>
      </c>
      <c r="J623" s="6" t="s">
        <v>2459</v>
      </c>
      <c r="K623" s="6" t="s">
        <v>2460</v>
      </c>
      <c r="L623" s="6"/>
      <c r="M623" s="6"/>
      <c r="N623" s="6" t="s">
        <v>3268</v>
      </c>
      <c r="O623" s="6" t="s">
        <v>7</v>
      </c>
      <c r="P623" s="6" t="str">
        <f>VLOOKUP(Tableau1[[#This Row],[SITES NAMES]],[1]Feuil1!$1:$1048576,8,FALSE)</f>
        <v>NOK</v>
      </c>
      <c r="Q623" s="6" t="str">
        <f>VLOOKUP(Tableau1[[#This Row],[SITES NAMES]],[1]Feuil1!$1:$1048576,9,FALSE)</f>
        <v>NO</v>
      </c>
      <c r="R623" s="6" t="str">
        <f>VLOOKUP(Tableau1[[#This Row],[SITES NAMES]],[1]Feuil1!$1:$1048576,10,FALSE)</f>
        <v>NO</v>
      </c>
      <c r="S623" s="6" t="s">
        <v>2461</v>
      </c>
      <c r="T623" s="6" t="s">
        <v>2462</v>
      </c>
      <c r="U623" s="6" t="s">
        <v>2463</v>
      </c>
      <c r="V623" s="6" t="s">
        <v>2464</v>
      </c>
      <c r="W623" s="6" t="s">
        <v>2476</v>
      </c>
      <c r="X623" s="8" t="s">
        <v>2824</v>
      </c>
      <c r="Y623" s="6" t="s">
        <v>3239</v>
      </c>
      <c r="Z623" s="6" t="s">
        <v>3253</v>
      </c>
      <c r="AA623" s="37" t="s">
        <v>3698</v>
      </c>
      <c r="AB623" s="38" t="s">
        <v>3683</v>
      </c>
      <c r="AC623" s="39" t="s">
        <v>3699</v>
      </c>
      <c r="AD623" s="39" t="s">
        <v>3700</v>
      </c>
      <c r="AE623" s="37" t="s">
        <v>3701</v>
      </c>
      <c r="AF623" s="39" t="s">
        <v>3702</v>
      </c>
      <c r="AG623" s="40" t="s">
        <v>3685</v>
      </c>
      <c r="AH623" s="37" t="s">
        <v>3703</v>
      </c>
    </row>
    <row r="624" spans="1:34" ht="14.45" hidden="1" customHeight="1" x14ac:dyDescent="0.3">
      <c r="A624" s="6" t="s">
        <v>855</v>
      </c>
      <c r="B624" s="7">
        <v>44136</v>
      </c>
      <c r="C624" s="6" t="s">
        <v>854</v>
      </c>
      <c r="D624" s="6" t="s">
        <v>657</v>
      </c>
      <c r="E624" s="6" t="s">
        <v>3237</v>
      </c>
      <c r="F624" s="6" t="s">
        <v>3229</v>
      </c>
      <c r="G624" s="8">
        <v>1.2189399999999999</v>
      </c>
      <c r="H624" s="8">
        <v>9.5585900000000006</v>
      </c>
      <c r="I624" s="6" t="s">
        <v>2486</v>
      </c>
      <c r="J624" s="6" t="s">
        <v>2459</v>
      </c>
      <c r="K624" s="6" t="s">
        <v>2468</v>
      </c>
      <c r="L624" s="6" t="s">
        <v>3494</v>
      </c>
      <c r="M624" s="6"/>
      <c r="N624" s="6" t="s">
        <v>2468</v>
      </c>
      <c r="O624" s="6" t="s">
        <v>7</v>
      </c>
      <c r="P624" s="6" t="str">
        <f>VLOOKUP(Tableau1[[#This Row],[SITES NAMES]],[1]Feuil1!$1:$1048576,8,FALSE)</f>
        <v>OK</v>
      </c>
      <c r="Q624" s="6" t="str">
        <f>VLOOKUP(Tableau1[[#This Row],[SITES NAMES]],[1]Feuil1!$1:$1048576,9,FALSE)</f>
        <v>YES</v>
      </c>
      <c r="R624" s="6" t="str">
        <f>VLOOKUP(Tableau1[[#This Row],[SITES NAMES]],[1]Feuil1!$1:$1048576,10,FALSE)</f>
        <v>NO</v>
      </c>
      <c r="S624" s="6" t="s">
        <v>2461</v>
      </c>
      <c r="T624" s="6" t="s">
        <v>2462</v>
      </c>
      <c r="U624" s="6" t="s">
        <v>2463</v>
      </c>
      <c r="V624" s="6" t="s">
        <v>2464</v>
      </c>
      <c r="W624" s="6" t="s">
        <v>2476</v>
      </c>
      <c r="X624" s="8" t="s">
        <v>2786</v>
      </c>
      <c r="Y624" s="6" t="s">
        <v>3239</v>
      </c>
      <c r="Z624" s="6" t="s">
        <v>3253</v>
      </c>
      <c r="AA624" s="37" t="s">
        <v>3692</v>
      </c>
      <c r="AB624" s="38" t="s">
        <v>3683</v>
      </c>
      <c r="AC624" s="39" t="s">
        <v>3693</v>
      </c>
      <c r="AD624" s="39" t="s">
        <v>3694</v>
      </c>
      <c r="AE624" s="37" t="s">
        <v>3695</v>
      </c>
      <c r="AF624" s="39" t="s">
        <v>3696</v>
      </c>
      <c r="AG624" s="40" t="s">
        <v>3685</v>
      </c>
      <c r="AH624" s="37" t="s">
        <v>3697</v>
      </c>
    </row>
    <row r="625" spans="1:34" ht="14.45" hidden="1" customHeight="1" x14ac:dyDescent="0.3">
      <c r="A625" s="6" t="s">
        <v>967</v>
      </c>
      <c r="B625" s="7" t="s">
        <v>2514</v>
      </c>
      <c r="C625" s="6" t="s">
        <v>966</v>
      </c>
      <c r="D625" s="6" t="s">
        <v>657</v>
      </c>
      <c r="E625" s="6" t="s">
        <v>3235</v>
      </c>
      <c r="F625" s="18" t="s">
        <v>3230</v>
      </c>
      <c r="G625" s="8">
        <v>1.20305</v>
      </c>
      <c r="H625" s="8">
        <v>9.5280900000000006</v>
      </c>
      <c r="I625" s="6" t="s">
        <v>2497</v>
      </c>
      <c r="J625" s="6" t="s">
        <v>2459</v>
      </c>
      <c r="K625" s="6" t="s">
        <v>2460</v>
      </c>
      <c r="L625" s="6"/>
      <c r="M625" s="6"/>
      <c r="N625" s="6" t="s">
        <v>3268</v>
      </c>
      <c r="O625" s="6" t="s">
        <v>7</v>
      </c>
      <c r="P625" s="6" t="str">
        <f>VLOOKUP(Tableau1[[#This Row],[SITES NAMES]],[1]Feuil1!$1:$1048576,8,FALSE)</f>
        <v>OK</v>
      </c>
      <c r="Q625" s="6" t="str">
        <f>VLOOKUP(Tableau1[[#This Row],[SITES NAMES]],[1]Feuil1!$1:$1048576,9,FALSE)</f>
        <v>NO</v>
      </c>
      <c r="R625" s="6" t="str">
        <f>VLOOKUP(Tableau1[[#This Row],[SITES NAMES]],[1]Feuil1!$1:$1048576,10,FALSE)</f>
        <v>NO</v>
      </c>
      <c r="S625" s="6" t="s">
        <v>2461</v>
      </c>
      <c r="T625" s="6" t="s">
        <v>2462</v>
      </c>
      <c r="U625" s="6" t="s">
        <v>2463</v>
      </c>
      <c r="V625" s="6" t="s">
        <v>2464</v>
      </c>
      <c r="W625" s="6" t="s">
        <v>2476</v>
      </c>
      <c r="X625" s="8" t="s">
        <v>2825</v>
      </c>
      <c r="Y625" s="6" t="s">
        <v>3239</v>
      </c>
      <c r="Z625" s="6" t="s">
        <v>3253</v>
      </c>
      <c r="AA625" s="37" t="s">
        <v>3698</v>
      </c>
      <c r="AB625" s="38" t="s">
        <v>3683</v>
      </c>
      <c r="AC625" s="39" t="s">
        <v>3699</v>
      </c>
      <c r="AD625" s="39" t="s">
        <v>3700</v>
      </c>
      <c r="AE625" s="37" t="s">
        <v>3701</v>
      </c>
      <c r="AF625" s="39" t="s">
        <v>3702</v>
      </c>
      <c r="AG625" s="40" t="s">
        <v>3685</v>
      </c>
      <c r="AH625" s="37" t="s">
        <v>3703</v>
      </c>
    </row>
    <row r="626" spans="1:34" ht="14.45" hidden="1" customHeight="1" x14ac:dyDescent="0.3">
      <c r="A626" s="6" t="s">
        <v>857</v>
      </c>
      <c r="B626" s="7">
        <v>44660</v>
      </c>
      <c r="C626" s="6" t="s">
        <v>856</v>
      </c>
      <c r="D626" s="6" t="s">
        <v>657</v>
      </c>
      <c r="E626" s="6" t="s">
        <v>3237</v>
      </c>
      <c r="F626" s="6" t="s">
        <v>3229</v>
      </c>
      <c r="G626" s="8">
        <v>1.2005699999999999</v>
      </c>
      <c r="H626" s="8">
        <v>9.5640750000000008</v>
      </c>
      <c r="I626" s="6" t="s">
        <v>2497</v>
      </c>
      <c r="J626" s="6" t="s">
        <v>2459</v>
      </c>
      <c r="K626" s="6" t="s">
        <v>2460</v>
      </c>
      <c r="L626" s="6"/>
      <c r="M626" s="6"/>
      <c r="N626" s="6" t="s">
        <v>3268</v>
      </c>
      <c r="O626" s="6" t="s">
        <v>7</v>
      </c>
      <c r="P626" s="6" t="str">
        <f>VLOOKUP(Tableau1[[#This Row],[SITES NAMES]],[1]Feuil1!$1:$1048576,8,FALSE)</f>
        <v>OK</v>
      </c>
      <c r="Q626" s="6" t="str">
        <f>VLOOKUP(Tableau1[[#This Row],[SITES NAMES]],[1]Feuil1!$1:$1048576,9,FALSE)</f>
        <v>NO</v>
      </c>
      <c r="R626" s="6" t="str">
        <f>VLOOKUP(Tableau1[[#This Row],[SITES NAMES]],[1]Feuil1!$1:$1048576,10,FALSE)</f>
        <v>YES</v>
      </c>
      <c r="S626" s="6" t="s">
        <v>2461</v>
      </c>
      <c r="T626" s="6" t="s">
        <v>2462</v>
      </c>
      <c r="U626" s="6" t="s">
        <v>2463</v>
      </c>
      <c r="V626" s="6" t="s">
        <v>2464</v>
      </c>
      <c r="W626" s="6" t="s">
        <v>2476</v>
      </c>
      <c r="X626" s="8" t="s">
        <v>2787</v>
      </c>
      <c r="Y626" s="6" t="s">
        <v>3239</v>
      </c>
      <c r="Z626" s="6" t="s">
        <v>3253</v>
      </c>
      <c r="AA626" s="37" t="s">
        <v>3692</v>
      </c>
      <c r="AB626" s="38" t="s">
        <v>3683</v>
      </c>
      <c r="AC626" s="39" t="s">
        <v>3693</v>
      </c>
      <c r="AD626" s="39" t="s">
        <v>3694</v>
      </c>
      <c r="AE626" s="37" t="s">
        <v>3695</v>
      </c>
      <c r="AF626" s="39" t="s">
        <v>3696</v>
      </c>
      <c r="AG626" s="40" t="s">
        <v>3685</v>
      </c>
      <c r="AH626" s="37" t="s">
        <v>3697</v>
      </c>
    </row>
    <row r="627" spans="1:34" ht="14.45" hidden="1" customHeight="1" x14ac:dyDescent="0.3">
      <c r="A627" s="6" t="s">
        <v>859</v>
      </c>
      <c r="B627" s="7">
        <v>44136</v>
      </c>
      <c r="C627" s="6" t="s">
        <v>858</v>
      </c>
      <c r="D627" s="6" t="s">
        <v>657</v>
      </c>
      <c r="E627" s="6" t="s">
        <v>3237</v>
      </c>
      <c r="F627" s="6" t="s">
        <v>3229</v>
      </c>
      <c r="G627" s="8">
        <v>1.2072000000000001</v>
      </c>
      <c r="H627" s="8">
        <v>9.5490999999999993</v>
      </c>
      <c r="I627" s="6" t="s">
        <v>2497</v>
      </c>
      <c r="J627" s="6" t="s">
        <v>2459</v>
      </c>
      <c r="K627" s="6" t="s">
        <v>2460</v>
      </c>
      <c r="L627" s="6"/>
      <c r="M627" s="6"/>
      <c r="N627" s="6" t="s">
        <v>3268</v>
      </c>
      <c r="O627" s="6" t="s">
        <v>7</v>
      </c>
      <c r="P627" s="6" t="str">
        <f>VLOOKUP(Tableau1[[#This Row],[SITES NAMES]],[1]Feuil1!$1:$1048576,8,FALSE)</f>
        <v>NOK</v>
      </c>
      <c r="Q627" s="6" t="str">
        <f>VLOOKUP(Tableau1[[#This Row],[SITES NAMES]],[1]Feuil1!$1:$1048576,9,FALSE)</f>
        <v>NO</v>
      </c>
      <c r="R627" s="6" t="str">
        <f>VLOOKUP(Tableau1[[#This Row],[SITES NAMES]],[1]Feuil1!$1:$1048576,10,FALSE)</f>
        <v>NO</v>
      </c>
      <c r="S627" s="6" t="s">
        <v>2469</v>
      </c>
      <c r="T627" s="6" t="s">
        <v>2470</v>
      </c>
      <c r="U627" s="6" t="s">
        <v>2471</v>
      </c>
      <c r="V627" s="6" t="s">
        <v>2478</v>
      </c>
      <c r="W627" s="6" t="s">
        <v>2476</v>
      </c>
      <c r="X627" s="8" t="s">
        <v>2788</v>
      </c>
      <c r="Y627" s="6" t="s">
        <v>3239</v>
      </c>
      <c r="Z627" s="6" t="s">
        <v>3253</v>
      </c>
      <c r="AA627" s="37" t="s">
        <v>3692</v>
      </c>
      <c r="AB627" s="38" t="s">
        <v>3683</v>
      </c>
      <c r="AC627" s="39" t="s">
        <v>3693</v>
      </c>
      <c r="AD627" s="39" t="s">
        <v>3694</v>
      </c>
      <c r="AE627" s="37" t="s">
        <v>3695</v>
      </c>
      <c r="AF627" s="39" t="s">
        <v>3696</v>
      </c>
      <c r="AG627" s="40" t="s">
        <v>3685</v>
      </c>
      <c r="AH627" s="37" t="s">
        <v>3697</v>
      </c>
    </row>
    <row r="628" spans="1:34" ht="14.45" hidden="1" customHeight="1" x14ac:dyDescent="0.3">
      <c r="A628" s="6" t="s">
        <v>969</v>
      </c>
      <c r="B628" s="7">
        <v>45156</v>
      </c>
      <c r="C628" s="6" t="s">
        <v>968</v>
      </c>
      <c r="D628" s="6" t="s">
        <v>657</v>
      </c>
      <c r="E628" s="6" t="s">
        <v>3235</v>
      </c>
      <c r="F628" s="6" t="s">
        <v>3229</v>
      </c>
      <c r="G628" s="8">
        <v>1.207225</v>
      </c>
      <c r="H628" s="8">
        <v>9.5358140000000002</v>
      </c>
      <c r="I628" s="6" t="s">
        <v>2475</v>
      </c>
      <c r="J628" s="6" t="s">
        <v>2459</v>
      </c>
      <c r="K628" s="6" t="s">
        <v>2468</v>
      </c>
      <c r="L628" s="6"/>
      <c r="M628" s="6"/>
      <c r="N628" s="6" t="s">
        <v>2468</v>
      </c>
      <c r="O628" s="6" t="s">
        <v>7</v>
      </c>
      <c r="P628" s="6" t="str">
        <f>VLOOKUP(Tableau1[[#This Row],[SITES NAMES]],[1]Feuil1!$1:$1048576,8,FALSE)</f>
        <v>NOK</v>
      </c>
      <c r="Q628" s="6" t="str">
        <f>VLOOKUP(Tableau1[[#This Row],[SITES NAMES]],[1]Feuil1!$1:$1048576,9,FALSE)</f>
        <v>NO</v>
      </c>
      <c r="R628" s="6" t="str">
        <f>VLOOKUP(Tableau1[[#This Row],[SITES NAMES]],[1]Feuil1!$1:$1048576,10,FALSE)</f>
        <v>NO</v>
      </c>
      <c r="S628" s="6" t="s">
        <v>2469</v>
      </c>
      <c r="T628" s="6" t="s">
        <v>2470</v>
      </c>
      <c r="U628" s="6" t="s">
        <v>2480</v>
      </c>
      <c r="V628" s="6" t="s">
        <v>2464</v>
      </c>
      <c r="W628" s="6" t="s">
        <v>2476</v>
      </c>
      <c r="X628" s="8"/>
      <c r="Y628" s="6" t="s">
        <v>3239</v>
      </c>
      <c r="Z628" s="6" t="s">
        <v>3253</v>
      </c>
      <c r="AA628" s="37" t="s">
        <v>3698</v>
      </c>
      <c r="AB628" s="38" t="s">
        <v>3683</v>
      </c>
      <c r="AC628" s="39" t="s">
        <v>3699</v>
      </c>
      <c r="AD628" s="39" t="s">
        <v>3700</v>
      </c>
      <c r="AE628" s="37" t="s">
        <v>3701</v>
      </c>
      <c r="AF628" s="39" t="s">
        <v>3702</v>
      </c>
      <c r="AG628" s="40" t="s">
        <v>3685</v>
      </c>
      <c r="AH628" s="37" t="s">
        <v>3703</v>
      </c>
    </row>
    <row r="629" spans="1:34" ht="14.45" hidden="1" customHeight="1" x14ac:dyDescent="0.3">
      <c r="A629" s="6" t="s">
        <v>971</v>
      </c>
      <c r="B629" s="7">
        <v>45143</v>
      </c>
      <c r="C629" s="6" t="s">
        <v>970</v>
      </c>
      <c r="D629" s="6" t="s">
        <v>657</v>
      </c>
      <c r="E629" s="6" t="s">
        <v>3235</v>
      </c>
      <c r="F629" s="6" t="s">
        <v>3229</v>
      </c>
      <c r="G629" s="8">
        <v>1.193527</v>
      </c>
      <c r="H629" s="8">
        <v>9.5525599999999997</v>
      </c>
      <c r="I629" s="6" t="s">
        <v>2475</v>
      </c>
      <c r="J629" s="6" t="s">
        <v>2459</v>
      </c>
      <c r="K629" s="6" t="s">
        <v>2468</v>
      </c>
      <c r="L629" s="6" t="s">
        <v>961</v>
      </c>
      <c r="M629" s="6"/>
      <c r="N629" s="6" t="s">
        <v>2468</v>
      </c>
      <c r="O629" s="6" t="s">
        <v>7</v>
      </c>
      <c r="P629" s="6" t="str">
        <f>VLOOKUP(Tableau1[[#This Row],[SITES NAMES]],[1]Feuil1!$1:$1048576,8,FALSE)</f>
        <v>OK</v>
      </c>
      <c r="Q629" s="6" t="str">
        <f>VLOOKUP(Tableau1[[#This Row],[SITES NAMES]],[1]Feuil1!$1:$1048576,9,FALSE)</f>
        <v>NO</v>
      </c>
      <c r="R629" s="6" t="str">
        <f>VLOOKUP(Tableau1[[#This Row],[SITES NAMES]],[1]Feuil1!$1:$1048576,10,FALSE)</f>
        <v>NO</v>
      </c>
      <c r="S629" s="6" t="s">
        <v>2461</v>
      </c>
      <c r="T629" s="6" t="s">
        <v>2470</v>
      </c>
      <c r="U629" s="6" t="s">
        <v>2463</v>
      </c>
      <c r="V629" s="6" t="s">
        <v>2478</v>
      </c>
      <c r="W629" s="6" t="s">
        <v>2476</v>
      </c>
      <c r="X629" s="8"/>
      <c r="Y629" s="6" t="s">
        <v>3239</v>
      </c>
      <c r="Z629" s="6" t="s">
        <v>3253</v>
      </c>
      <c r="AA629" s="37" t="s">
        <v>3698</v>
      </c>
      <c r="AB629" s="38" t="s">
        <v>3683</v>
      </c>
      <c r="AC629" s="39" t="s">
        <v>3699</v>
      </c>
      <c r="AD629" s="39" t="s">
        <v>3700</v>
      </c>
      <c r="AE629" s="37" t="s">
        <v>3701</v>
      </c>
      <c r="AF629" s="39" t="s">
        <v>3702</v>
      </c>
      <c r="AG629" s="40" t="s">
        <v>3685</v>
      </c>
      <c r="AH629" s="37" t="s">
        <v>3703</v>
      </c>
    </row>
    <row r="630" spans="1:34" ht="14.45" hidden="1" customHeight="1" x14ac:dyDescent="0.3">
      <c r="A630" s="6" t="s">
        <v>2143</v>
      </c>
      <c r="B630" s="7">
        <v>0</v>
      </c>
      <c r="C630" s="6" t="s">
        <v>2142</v>
      </c>
      <c r="D630" s="6" t="s">
        <v>320</v>
      </c>
      <c r="E630" s="6" t="s">
        <v>2141</v>
      </c>
      <c r="F630" s="6" t="s">
        <v>3229</v>
      </c>
      <c r="G630" s="8">
        <v>1.22401</v>
      </c>
      <c r="H630" s="8">
        <v>8.6075599999999994</v>
      </c>
      <c r="I630" s="6" t="s">
        <v>2497</v>
      </c>
      <c r="J630" s="6" t="s">
        <v>2459</v>
      </c>
      <c r="K630" s="6" t="s">
        <v>2468</v>
      </c>
      <c r="L630" s="6"/>
      <c r="M630" s="6"/>
      <c r="N630" s="6" t="s">
        <v>2468</v>
      </c>
      <c r="O630" s="6" t="s">
        <v>40</v>
      </c>
      <c r="P630" s="6" t="str">
        <f>VLOOKUP(Tableau1[[#This Row],[SITES NAMES]],[1]Feuil1!$1:$1048576,8,FALSE)</f>
        <v>OK</v>
      </c>
      <c r="Q630" s="6" t="str">
        <f>VLOOKUP(Tableau1[[#This Row],[SITES NAMES]],[1]Feuil1!$1:$1048576,9,FALSE)</f>
        <v>NO</v>
      </c>
      <c r="R630" s="6" t="str">
        <f>VLOOKUP(Tableau1[[#This Row],[SITES NAMES]],[1]Feuil1!$1:$1048576,10,FALSE)</f>
        <v>YES</v>
      </c>
      <c r="S630" s="6" t="s">
        <v>2469</v>
      </c>
      <c r="T630" s="6" t="s">
        <v>2462</v>
      </c>
      <c r="U630" s="6" t="s">
        <v>2463</v>
      </c>
      <c r="V630" s="6" t="s">
        <v>2472</v>
      </c>
      <c r="W630" s="6" t="s">
        <v>2473</v>
      </c>
      <c r="X630" s="8" t="s">
        <v>3133</v>
      </c>
      <c r="Y630" s="6" t="s">
        <v>3238</v>
      </c>
      <c r="Z630" s="6" t="s">
        <v>3254</v>
      </c>
      <c r="AA630" s="37" t="s">
        <v>3672</v>
      </c>
      <c r="AB630" s="39" t="s">
        <v>3665</v>
      </c>
      <c r="AC630" s="37" t="s">
        <v>3673</v>
      </c>
      <c r="AD630" s="37" t="s">
        <v>3674</v>
      </c>
      <c r="AE630" s="37" t="s">
        <v>3675</v>
      </c>
      <c r="AF630" s="39" t="s">
        <v>3676</v>
      </c>
      <c r="AG630" s="37" t="s">
        <v>3670</v>
      </c>
      <c r="AH630" s="37" t="s">
        <v>3677</v>
      </c>
    </row>
    <row r="631" spans="1:34" ht="14.45" hidden="1" customHeight="1" x14ac:dyDescent="0.3">
      <c r="A631" s="6" t="s">
        <v>1973</v>
      </c>
      <c r="B631" s="7">
        <v>0</v>
      </c>
      <c r="C631" s="6" t="s">
        <v>1972</v>
      </c>
      <c r="D631" s="6" t="s">
        <v>395</v>
      </c>
      <c r="E631" s="6" t="s">
        <v>1965</v>
      </c>
      <c r="F631" s="6" t="s">
        <v>3229</v>
      </c>
      <c r="G631" s="8">
        <v>0.53346099999999996</v>
      </c>
      <c r="H631" s="8">
        <v>9.8864940000000008</v>
      </c>
      <c r="I631" s="6" t="s">
        <v>2477</v>
      </c>
      <c r="J631" s="6" t="s">
        <v>2459</v>
      </c>
      <c r="K631" s="6" t="s">
        <v>2468</v>
      </c>
      <c r="L631" s="6" t="s">
        <v>3495</v>
      </c>
      <c r="M631" s="6"/>
      <c r="N631" s="6" t="s">
        <v>2468</v>
      </c>
      <c r="O631" s="6" t="s">
        <v>40</v>
      </c>
      <c r="P631" s="6" t="str">
        <f>VLOOKUP(Tableau1[[#This Row],[SITES NAMES]],[1]Feuil1!$1:$1048576,8,FALSE)</f>
        <v>OK</v>
      </c>
      <c r="Q631" s="6" t="str">
        <f>VLOOKUP(Tableau1[[#This Row],[SITES NAMES]],[1]Feuil1!$1:$1048576,9,FALSE)</f>
        <v>NO</v>
      </c>
      <c r="R631" s="6" t="str">
        <f>VLOOKUP(Tableau1[[#This Row],[SITES NAMES]],[1]Feuil1!$1:$1048576,10,FALSE)</f>
        <v>NO</v>
      </c>
      <c r="S631" s="6" t="s">
        <v>2469</v>
      </c>
      <c r="T631" s="6" t="s">
        <v>2470</v>
      </c>
      <c r="U631" s="6" t="s">
        <v>2480</v>
      </c>
      <c r="V631" s="6" t="s">
        <v>2472</v>
      </c>
      <c r="W631" s="6" t="s">
        <v>2473</v>
      </c>
      <c r="X631" s="8" t="s">
        <v>3068</v>
      </c>
      <c r="Y631" s="6" t="s">
        <v>3240</v>
      </c>
      <c r="Z631" s="6" t="s">
        <v>3255</v>
      </c>
      <c r="AA631" s="37" t="s">
        <v>3712</v>
      </c>
      <c r="AB631" s="39" t="s">
        <v>3705</v>
      </c>
      <c r="AC631" s="37" t="s">
        <v>3713</v>
      </c>
      <c r="AD631" s="37" t="s">
        <v>3712</v>
      </c>
      <c r="AE631" s="37" t="s">
        <v>3712</v>
      </c>
      <c r="AF631" s="37" t="s">
        <v>3712</v>
      </c>
      <c r="AG631" s="40" t="s">
        <v>3714</v>
      </c>
      <c r="AH631" s="37" t="s">
        <v>3715</v>
      </c>
    </row>
    <row r="632" spans="1:34" ht="14.45" hidden="1" customHeight="1" x14ac:dyDescent="0.3">
      <c r="A632" s="6" t="s">
        <v>226</v>
      </c>
      <c r="B632" s="7">
        <v>43889</v>
      </c>
      <c r="C632" s="6" t="s">
        <v>225</v>
      </c>
      <c r="D632" s="6" t="s">
        <v>132</v>
      </c>
      <c r="E632" s="6" t="s">
        <v>133</v>
      </c>
      <c r="F632" s="6" t="s">
        <v>3229</v>
      </c>
      <c r="G632" s="8">
        <v>1.4841230000000001</v>
      </c>
      <c r="H632" s="8">
        <v>7.5484799999999996</v>
      </c>
      <c r="I632" s="6" t="s">
        <v>2477</v>
      </c>
      <c r="J632" s="6" t="s">
        <v>2459</v>
      </c>
      <c r="K632" s="6" t="s">
        <v>2468</v>
      </c>
      <c r="L632" s="6" t="s">
        <v>3331</v>
      </c>
      <c r="M632" s="6"/>
      <c r="N632" s="6" t="s">
        <v>2468</v>
      </c>
      <c r="O632" s="6" t="s">
        <v>37</v>
      </c>
      <c r="P632" s="6" t="str">
        <f>VLOOKUP(Tableau1[[#This Row],[SITES NAMES]],[1]Feuil1!$1:$1048576,8,FALSE)</f>
        <v>NOK</v>
      </c>
      <c r="Q632" s="6" t="str">
        <f>VLOOKUP(Tableau1[[#This Row],[SITES NAMES]],[1]Feuil1!$1:$1048576,9,FALSE)</f>
        <v>NO</v>
      </c>
      <c r="R632" s="6" t="str">
        <f>VLOOKUP(Tableau1[[#This Row],[SITES NAMES]],[1]Feuil1!$1:$1048576,10,FALSE)</f>
        <v>NO</v>
      </c>
      <c r="S632" s="6" t="s">
        <v>2461</v>
      </c>
      <c r="T632" s="6" t="s">
        <v>2470</v>
      </c>
      <c r="U632" s="6" t="s">
        <v>2471</v>
      </c>
      <c r="V632" s="6" t="s">
        <v>2472</v>
      </c>
      <c r="W632" s="6" t="s">
        <v>2473</v>
      </c>
      <c r="X632" s="8" t="s">
        <v>2556</v>
      </c>
      <c r="Y632" s="6" t="s">
        <v>3238</v>
      </c>
      <c r="Z632" s="6" t="s">
        <v>3258</v>
      </c>
      <c r="AA632" s="37" t="s">
        <v>3643</v>
      </c>
      <c r="AB632" s="39" t="s">
        <v>3644</v>
      </c>
      <c r="AC632" s="37" t="s">
        <v>3645</v>
      </c>
      <c r="AD632" s="39" t="s">
        <v>3646</v>
      </c>
      <c r="AE632" s="39" t="s">
        <v>3647</v>
      </c>
      <c r="AF632" s="39" t="s">
        <v>3648</v>
      </c>
      <c r="AG632" s="37" t="s">
        <v>3649</v>
      </c>
      <c r="AH632" s="37" t="s">
        <v>3650</v>
      </c>
    </row>
    <row r="633" spans="1:34" ht="14.45" hidden="1" customHeight="1" x14ac:dyDescent="0.3">
      <c r="A633" s="6" t="s">
        <v>973</v>
      </c>
      <c r="B633" s="7">
        <v>44812</v>
      </c>
      <c r="C633" s="6" t="s">
        <v>972</v>
      </c>
      <c r="D633" s="6" t="s">
        <v>657</v>
      </c>
      <c r="E633" s="6" t="s">
        <v>3235</v>
      </c>
      <c r="F633" s="6" t="s">
        <v>3229</v>
      </c>
      <c r="G633" s="8">
        <v>0.98540000000000005</v>
      </c>
      <c r="H633" s="8">
        <v>9.3149999999999995</v>
      </c>
      <c r="I633" s="6" t="s">
        <v>2479</v>
      </c>
      <c r="J633" s="6" t="s">
        <v>2459</v>
      </c>
      <c r="K633" s="6" t="s">
        <v>2468</v>
      </c>
      <c r="L633" s="6"/>
      <c r="M633" s="6"/>
      <c r="N633" s="6" t="s">
        <v>2468</v>
      </c>
      <c r="O633" s="6" t="s">
        <v>40</v>
      </c>
      <c r="P633" s="6" t="str">
        <f>VLOOKUP(Tableau1[[#This Row],[SITES NAMES]],[1]Feuil1!$1:$1048576,8,FALSE)</f>
        <v>OK</v>
      </c>
      <c r="Q633" s="6" t="str">
        <f>VLOOKUP(Tableau1[[#This Row],[SITES NAMES]],[1]Feuil1!$1:$1048576,9,FALSE)</f>
        <v>NO</v>
      </c>
      <c r="R633" s="6" t="str">
        <f>VLOOKUP(Tableau1[[#This Row],[SITES NAMES]],[1]Feuil1!$1:$1048576,10,FALSE)</f>
        <v>YES</v>
      </c>
      <c r="S633" s="6" t="s">
        <v>2469</v>
      </c>
      <c r="T633" s="6" t="s">
        <v>2470</v>
      </c>
      <c r="U633" s="6" t="s">
        <v>2471</v>
      </c>
      <c r="V633" s="6" t="s">
        <v>2472</v>
      </c>
      <c r="W633" s="6" t="s">
        <v>2473</v>
      </c>
      <c r="X633" s="8" t="s">
        <v>2826</v>
      </c>
      <c r="Y633" s="6" t="s">
        <v>3239</v>
      </c>
      <c r="Z633" s="6" t="s">
        <v>3253</v>
      </c>
      <c r="AA633" s="37" t="s">
        <v>3698</v>
      </c>
      <c r="AB633" s="38" t="s">
        <v>3683</v>
      </c>
      <c r="AC633" s="39" t="s">
        <v>3699</v>
      </c>
      <c r="AD633" s="39" t="s">
        <v>3700</v>
      </c>
      <c r="AE633" s="37" t="s">
        <v>3701</v>
      </c>
      <c r="AF633" s="39" t="s">
        <v>3702</v>
      </c>
      <c r="AG633" s="40" t="s">
        <v>3685</v>
      </c>
      <c r="AH633" s="37" t="s">
        <v>3703</v>
      </c>
    </row>
    <row r="634" spans="1:34" ht="14.45" hidden="1" customHeight="1" x14ac:dyDescent="0.3">
      <c r="A634" s="6" t="s">
        <v>358</v>
      </c>
      <c r="B634" s="7">
        <v>0</v>
      </c>
      <c r="C634" s="6" t="s">
        <v>357</v>
      </c>
      <c r="D634" s="6" t="s">
        <v>320</v>
      </c>
      <c r="E634" s="6" t="s">
        <v>321</v>
      </c>
      <c r="F634" s="6" t="s">
        <v>3229</v>
      </c>
      <c r="G634" s="8">
        <v>1.0899099999999999</v>
      </c>
      <c r="H634" s="8">
        <v>8.4282900000000005</v>
      </c>
      <c r="I634" s="6" t="s">
        <v>2477</v>
      </c>
      <c r="J634" s="6" t="s">
        <v>2459</v>
      </c>
      <c r="K634" s="6" t="s">
        <v>2468</v>
      </c>
      <c r="L634" s="6" t="s">
        <v>380</v>
      </c>
      <c r="M634" s="6"/>
      <c r="N634" s="6" t="s">
        <v>2468</v>
      </c>
      <c r="O634" s="6" t="s">
        <v>18</v>
      </c>
      <c r="P634" s="6" t="str">
        <f>VLOOKUP(Tableau1[[#This Row],[SITES NAMES]],[1]Feuil1!$1:$1048576,8,FALSE)</f>
        <v>OK</v>
      </c>
      <c r="Q634" s="6" t="str">
        <f>VLOOKUP(Tableau1[[#This Row],[SITES NAMES]],[1]Feuil1!$1:$1048576,9,FALSE)</f>
        <v>NO</v>
      </c>
      <c r="R634" s="6" t="str">
        <f>VLOOKUP(Tableau1[[#This Row],[SITES NAMES]],[1]Feuil1!$1:$1048576,10,FALSE)</f>
        <v>YES</v>
      </c>
      <c r="S634" s="6" t="s">
        <v>2461</v>
      </c>
      <c r="T634" s="6" t="s">
        <v>2462</v>
      </c>
      <c r="U634" s="6" t="s">
        <v>2463</v>
      </c>
      <c r="V634" s="6" t="s">
        <v>2472</v>
      </c>
      <c r="W634" s="6" t="s">
        <v>2473</v>
      </c>
      <c r="X634" s="8" t="s">
        <v>2601</v>
      </c>
      <c r="Y634" s="6" t="s">
        <v>3238</v>
      </c>
      <c r="Z634" s="6" t="s">
        <v>3266</v>
      </c>
      <c r="AA634" s="37" t="s">
        <v>3664</v>
      </c>
      <c r="AB634" s="39" t="s">
        <v>3665</v>
      </c>
      <c r="AC634" s="37" t="s">
        <v>3666</v>
      </c>
      <c r="AD634" s="37" t="s">
        <v>3667</v>
      </c>
      <c r="AE634" s="37" t="s">
        <v>3668</v>
      </c>
      <c r="AF634" s="37" t="s">
        <v>3669</v>
      </c>
      <c r="AG634" s="37" t="s">
        <v>3670</v>
      </c>
      <c r="AH634" s="37" t="s">
        <v>3671</v>
      </c>
    </row>
    <row r="635" spans="1:34" ht="14.45" hidden="1" customHeight="1" x14ac:dyDescent="0.3">
      <c r="A635" s="6" t="s">
        <v>2207</v>
      </c>
      <c r="B635" s="7">
        <v>43318</v>
      </c>
      <c r="C635" s="6" t="s">
        <v>2206</v>
      </c>
      <c r="D635" s="6" t="s">
        <v>320</v>
      </c>
      <c r="E635" s="6" t="s">
        <v>2141</v>
      </c>
      <c r="F635" s="6" t="s">
        <v>3229</v>
      </c>
      <c r="G635" s="8">
        <v>1.1387499999999999</v>
      </c>
      <c r="H635" s="8">
        <v>9.0166599999999999</v>
      </c>
      <c r="I635" s="6" t="s">
        <v>2486</v>
      </c>
      <c r="J635" s="6" t="s">
        <v>2459</v>
      </c>
      <c r="K635" s="6" t="s">
        <v>2460</v>
      </c>
      <c r="L635" s="6"/>
      <c r="M635" s="6"/>
      <c r="N635" s="6" t="s">
        <v>3268</v>
      </c>
      <c r="O635" s="6" t="s">
        <v>7</v>
      </c>
      <c r="P635" s="6" t="str">
        <f>VLOOKUP(Tableau1[[#This Row],[SITES NAMES]],[1]Feuil1!$1:$1048576,8,FALSE)</f>
        <v>OK</v>
      </c>
      <c r="Q635" s="6" t="str">
        <f>VLOOKUP(Tableau1[[#This Row],[SITES NAMES]],[1]Feuil1!$1:$1048576,9,FALSE)</f>
        <v>NO</v>
      </c>
      <c r="R635" s="6" t="str">
        <f>VLOOKUP(Tableau1[[#This Row],[SITES NAMES]],[1]Feuil1!$1:$1048576,10,FALSE)</f>
        <v>NO</v>
      </c>
      <c r="S635" s="6" t="s">
        <v>2461</v>
      </c>
      <c r="T635" s="6" t="s">
        <v>2462</v>
      </c>
      <c r="U635" s="6" t="s">
        <v>2463</v>
      </c>
      <c r="V635" s="6" t="s">
        <v>2478</v>
      </c>
      <c r="W635" s="6" t="s">
        <v>2476</v>
      </c>
      <c r="X635" s="8" t="s">
        <v>3157</v>
      </c>
      <c r="Y635" s="6" t="s">
        <v>3238</v>
      </c>
      <c r="Z635" s="6" t="s">
        <v>3254</v>
      </c>
      <c r="AA635" s="37" t="s">
        <v>3672</v>
      </c>
      <c r="AB635" s="39" t="s">
        <v>3665</v>
      </c>
      <c r="AC635" s="37" t="s">
        <v>3673</v>
      </c>
      <c r="AD635" s="37" t="s">
        <v>3674</v>
      </c>
      <c r="AE635" s="37" t="s">
        <v>3675</v>
      </c>
      <c r="AF635" s="39" t="s">
        <v>3676</v>
      </c>
      <c r="AG635" s="37" t="s">
        <v>3670</v>
      </c>
      <c r="AH635" s="37" t="s">
        <v>3677</v>
      </c>
    </row>
    <row r="636" spans="1:34" ht="14.45" hidden="1" customHeight="1" x14ac:dyDescent="0.25">
      <c r="A636" s="6" t="s">
        <v>1262</v>
      </c>
      <c r="B636" s="7">
        <v>0</v>
      </c>
      <c r="C636" s="6" t="s">
        <v>1261</v>
      </c>
      <c r="D636" s="6" t="s">
        <v>66</v>
      </c>
      <c r="E636" s="6" t="s">
        <v>1924</v>
      </c>
      <c r="F636" s="18" t="s">
        <v>3230</v>
      </c>
      <c r="G636" s="8">
        <v>1.233803</v>
      </c>
      <c r="H636" s="8">
        <v>6.2083503340000004</v>
      </c>
      <c r="I636" s="6" t="s">
        <v>2497</v>
      </c>
      <c r="J636" s="6" t="s">
        <v>2459</v>
      </c>
      <c r="K636" s="6" t="s">
        <v>2460</v>
      </c>
      <c r="L636" s="6"/>
      <c r="M636" s="6"/>
      <c r="N636" s="6" t="s">
        <v>3268</v>
      </c>
      <c r="O636" s="6" t="s">
        <v>7</v>
      </c>
      <c r="P636" s="6" t="str">
        <f>VLOOKUP(Tableau1[[#This Row],[SITES NAMES]],[1]Feuil1!$1:$1048576,8,FALSE)</f>
        <v>OK</v>
      </c>
      <c r="Q636" s="6" t="str">
        <f>VLOOKUP(Tableau1[[#This Row],[SITES NAMES]],[1]Feuil1!$1:$1048576,9,FALSE)</f>
        <v>YES</v>
      </c>
      <c r="R636" s="6" t="str">
        <f>VLOOKUP(Tableau1[[#This Row],[SITES NAMES]],[1]Feuil1!$1:$1048576,10,FALSE)</f>
        <v>YES</v>
      </c>
      <c r="S636" s="6" t="s">
        <v>2469</v>
      </c>
      <c r="T636" s="6" t="s">
        <v>2470</v>
      </c>
      <c r="U636" s="6" t="s">
        <v>2480</v>
      </c>
      <c r="V636" s="6" t="s">
        <v>2464</v>
      </c>
      <c r="W636" s="6" t="s">
        <v>2476</v>
      </c>
      <c r="X636" s="8" t="s">
        <v>2913</v>
      </c>
      <c r="Y636" s="6" t="s">
        <v>3238</v>
      </c>
      <c r="Z636" s="6" t="s">
        <v>3261</v>
      </c>
      <c r="AA636" s="35" t="s">
        <v>3607</v>
      </c>
      <c r="AB636" s="35" t="s">
        <v>3608</v>
      </c>
      <c r="AC636" s="35" t="s">
        <v>3609</v>
      </c>
      <c r="AD636" s="35" t="s">
        <v>3610</v>
      </c>
      <c r="AE636" s="35" t="s">
        <v>3610</v>
      </c>
      <c r="AF636" s="35" t="s">
        <v>3611</v>
      </c>
      <c r="AG636" s="35" t="s">
        <v>3612</v>
      </c>
      <c r="AH636" s="35" t="s">
        <v>3613</v>
      </c>
    </row>
    <row r="637" spans="1:34" ht="14.45" hidden="1" customHeight="1" x14ac:dyDescent="0.25">
      <c r="A637" s="6" t="s">
        <v>1264</v>
      </c>
      <c r="B637" s="7">
        <v>0</v>
      </c>
      <c r="C637" s="6" t="s">
        <v>1263</v>
      </c>
      <c r="D637" s="6" t="s">
        <v>66</v>
      </c>
      <c r="E637" s="6" t="s">
        <v>1924</v>
      </c>
      <c r="F637" s="6" t="s">
        <v>3229</v>
      </c>
      <c r="G637" s="8">
        <v>1.24675</v>
      </c>
      <c r="H637" s="8">
        <v>6.1994166670000004</v>
      </c>
      <c r="I637" s="6" t="s">
        <v>2497</v>
      </c>
      <c r="J637" s="6" t="s">
        <v>2459</v>
      </c>
      <c r="K637" s="6" t="s">
        <v>2460</v>
      </c>
      <c r="L637" s="6"/>
      <c r="M637" s="6"/>
      <c r="N637" s="6" t="s">
        <v>3268</v>
      </c>
      <c r="O637" s="6" t="s">
        <v>7</v>
      </c>
      <c r="P637" s="6" t="str">
        <f>VLOOKUP(Tableau1[[#This Row],[SITES NAMES]],[1]Feuil1!$1:$1048576,8,FALSE)</f>
        <v>OK</v>
      </c>
      <c r="Q637" s="6" t="str">
        <f>VLOOKUP(Tableau1[[#This Row],[SITES NAMES]],[1]Feuil1!$1:$1048576,9,FALSE)</f>
        <v>NO</v>
      </c>
      <c r="R637" s="6" t="str">
        <f>VLOOKUP(Tableau1[[#This Row],[SITES NAMES]],[1]Feuil1!$1:$1048576,10,FALSE)</f>
        <v>NO</v>
      </c>
      <c r="S637" s="6" t="s">
        <v>2469</v>
      </c>
      <c r="T637" s="6" t="s">
        <v>2470</v>
      </c>
      <c r="U637" s="6" t="s">
        <v>2480</v>
      </c>
      <c r="V637" s="6" t="s">
        <v>2478</v>
      </c>
      <c r="W637" s="6" t="s">
        <v>2476</v>
      </c>
      <c r="X637" s="8" t="s">
        <v>2914</v>
      </c>
      <c r="Y637" s="6" t="s">
        <v>3238</v>
      </c>
      <c r="Z637" s="6" t="s">
        <v>3261</v>
      </c>
      <c r="AA637" s="35" t="s">
        <v>3607</v>
      </c>
      <c r="AB637" s="35" t="s">
        <v>3608</v>
      </c>
      <c r="AC637" s="35" t="s">
        <v>3609</v>
      </c>
      <c r="AD637" s="35" t="s">
        <v>3610</v>
      </c>
      <c r="AE637" s="35" t="s">
        <v>3610</v>
      </c>
      <c r="AF637" s="35" t="s">
        <v>3611</v>
      </c>
      <c r="AG637" s="35" t="s">
        <v>3612</v>
      </c>
      <c r="AH637" s="35" t="s">
        <v>3613</v>
      </c>
    </row>
    <row r="638" spans="1:34" ht="14.45" hidden="1" customHeight="1" x14ac:dyDescent="0.25">
      <c r="A638" s="6" t="s">
        <v>1266</v>
      </c>
      <c r="B638" s="7">
        <v>44856</v>
      </c>
      <c r="C638" s="6" t="s">
        <v>1265</v>
      </c>
      <c r="D638" s="6" t="s">
        <v>66</v>
      </c>
      <c r="E638" s="6" t="s">
        <v>1924</v>
      </c>
      <c r="F638" s="6" t="s">
        <v>3229</v>
      </c>
      <c r="G638" s="8">
        <v>1.2398940000000001</v>
      </c>
      <c r="H638" s="8">
        <v>6.1994369999999996</v>
      </c>
      <c r="I638" s="6" t="s">
        <v>2475</v>
      </c>
      <c r="J638" s="6" t="s">
        <v>2459</v>
      </c>
      <c r="K638" s="6" t="s">
        <v>2460</v>
      </c>
      <c r="L638" s="6" t="s">
        <v>1189</v>
      </c>
      <c r="M638" s="6" t="s">
        <v>1250</v>
      </c>
      <c r="N638" s="6" t="s">
        <v>3268</v>
      </c>
      <c r="O638" s="6" t="s">
        <v>7</v>
      </c>
      <c r="P638" s="6" t="str">
        <f>VLOOKUP(Tableau1[[#This Row],[SITES NAMES]],[1]Feuil1!$1:$1048576,8,FALSE)</f>
        <v>OK</v>
      </c>
      <c r="Q638" s="6" t="str">
        <f>VLOOKUP(Tableau1[[#This Row],[SITES NAMES]],[1]Feuil1!$1:$1048576,9,FALSE)</f>
        <v>NO</v>
      </c>
      <c r="R638" s="6" t="str">
        <f>VLOOKUP(Tableau1[[#This Row],[SITES NAMES]],[1]Feuil1!$1:$1048576,10,FALSE)</f>
        <v>YES</v>
      </c>
      <c r="S638" s="6" t="s">
        <v>2469</v>
      </c>
      <c r="T638" s="6" t="s">
        <v>2470</v>
      </c>
      <c r="U638" s="6" t="s">
        <v>2471</v>
      </c>
      <c r="V638" s="6" t="s">
        <v>2464</v>
      </c>
      <c r="W638" s="6" t="s">
        <v>2476</v>
      </c>
      <c r="X638" s="8"/>
      <c r="Y638" s="6" t="s">
        <v>3238</v>
      </c>
      <c r="Z638" s="6" t="s">
        <v>3261</v>
      </c>
      <c r="AA638" s="35" t="s">
        <v>3607</v>
      </c>
      <c r="AB638" s="35" t="s">
        <v>3608</v>
      </c>
      <c r="AC638" s="35" t="s">
        <v>3609</v>
      </c>
      <c r="AD638" s="35" t="s">
        <v>3610</v>
      </c>
      <c r="AE638" s="35" t="s">
        <v>3610</v>
      </c>
      <c r="AF638" s="35" t="s">
        <v>3611</v>
      </c>
      <c r="AG638" s="35" t="s">
        <v>3612</v>
      </c>
      <c r="AH638" s="35" t="s">
        <v>3613</v>
      </c>
    </row>
    <row r="639" spans="1:34" ht="14.45" hidden="1" customHeight="1" x14ac:dyDescent="0.25">
      <c r="A639" s="6" t="s">
        <v>1268</v>
      </c>
      <c r="B639" s="7">
        <v>0</v>
      </c>
      <c r="C639" s="6" t="s">
        <v>1267</v>
      </c>
      <c r="D639" s="6" t="s">
        <v>66</v>
      </c>
      <c r="E639" s="6" t="s">
        <v>1924</v>
      </c>
      <c r="F639" s="6" t="s">
        <v>3229</v>
      </c>
      <c r="G639" s="8">
        <v>1.2333810000000001</v>
      </c>
      <c r="H639" s="8">
        <v>6.2142809999999997</v>
      </c>
      <c r="I639" s="6" t="s">
        <v>2497</v>
      </c>
      <c r="J639" s="6" t="s">
        <v>2459</v>
      </c>
      <c r="K639" s="6" t="s">
        <v>2460</v>
      </c>
      <c r="L639" s="6"/>
      <c r="M639" s="6"/>
      <c r="N639" s="6" t="s">
        <v>3268</v>
      </c>
      <c r="O639" s="6" t="s">
        <v>7</v>
      </c>
      <c r="P639" s="6" t="str">
        <f>VLOOKUP(Tableau1[[#This Row],[SITES NAMES]],[1]Feuil1!$1:$1048576,8,FALSE)</f>
        <v>OK</v>
      </c>
      <c r="Q639" s="6" t="str">
        <f>VLOOKUP(Tableau1[[#This Row],[SITES NAMES]],[1]Feuil1!$1:$1048576,9,FALSE)</f>
        <v>NO</v>
      </c>
      <c r="R639" s="6" t="str">
        <f>VLOOKUP(Tableau1[[#This Row],[SITES NAMES]],[1]Feuil1!$1:$1048576,10,FALSE)</f>
        <v>NO</v>
      </c>
      <c r="S639" s="6" t="s">
        <v>2461</v>
      </c>
      <c r="T639" s="6" t="s">
        <v>2470</v>
      </c>
      <c r="U639" s="6" t="s">
        <v>2463</v>
      </c>
      <c r="V639" s="6" t="s">
        <v>2464</v>
      </c>
      <c r="W639" s="6" t="s">
        <v>2476</v>
      </c>
      <c r="X639" s="8"/>
      <c r="Y639" s="6" t="s">
        <v>3238</v>
      </c>
      <c r="Z639" s="6" t="s">
        <v>3261</v>
      </c>
      <c r="AA639" s="35" t="s">
        <v>3607</v>
      </c>
      <c r="AB639" s="35" t="s">
        <v>3608</v>
      </c>
      <c r="AC639" s="35" t="s">
        <v>3609</v>
      </c>
      <c r="AD639" s="35" t="s">
        <v>3610</v>
      </c>
      <c r="AE639" s="35" t="s">
        <v>3610</v>
      </c>
      <c r="AF639" s="35" t="s">
        <v>3611</v>
      </c>
      <c r="AG639" s="35" t="s">
        <v>3612</v>
      </c>
      <c r="AH639" s="35" t="s">
        <v>3613</v>
      </c>
    </row>
    <row r="640" spans="1:34" ht="14.45" hidden="1" customHeight="1" x14ac:dyDescent="0.25">
      <c r="A640" s="6" t="s">
        <v>1270</v>
      </c>
      <c r="B640" s="7">
        <v>0</v>
      </c>
      <c r="C640" s="6" t="s">
        <v>1269</v>
      </c>
      <c r="D640" s="6" t="s">
        <v>66</v>
      </c>
      <c r="E640" s="6" t="s">
        <v>1924</v>
      </c>
      <c r="F640" s="6" t="s">
        <v>3229</v>
      </c>
      <c r="G640" s="8">
        <v>1.2397229999999999</v>
      </c>
      <c r="H640" s="8">
        <v>6.2086180000000004</v>
      </c>
      <c r="I640" s="6" t="s">
        <v>2486</v>
      </c>
      <c r="J640" s="6" t="s">
        <v>2459</v>
      </c>
      <c r="K640" s="6" t="s">
        <v>2460</v>
      </c>
      <c r="L640" s="6"/>
      <c r="M640" s="6"/>
      <c r="N640" s="6" t="s">
        <v>3268</v>
      </c>
      <c r="O640" s="6" t="s">
        <v>7</v>
      </c>
      <c r="P640" s="6"/>
      <c r="Q640" s="6" t="str">
        <f>VLOOKUP(Tableau1[[#This Row],[SITES NAMES]],[1]Feuil1!$1:$1048576,9,FALSE)</f>
        <v>NO</v>
      </c>
      <c r="R640" s="6" t="str">
        <f>VLOOKUP(Tableau1[[#This Row],[SITES NAMES]],[1]Feuil1!$1:$1048576,10,FALSE)</f>
        <v>YES</v>
      </c>
      <c r="S640" s="6" t="s">
        <v>2461</v>
      </c>
      <c r="T640" s="6" t="s">
        <v>2462</v>
      </c>
      <c r="U640" s="6" t="s">
        <v>2463</v>
      </c>
      <c r="V640" s="6" t="s">
        <v>2478</v>
      </c>
      <c r="W640" s="6" t="s">
        <v>2476</v>
      </c>
      <c r="X640" s="8" t="s">
        <v>2915</v>
      </c>
      <c r="Y640" s="6" t="s">
        <v>3238</v>
      </c>
      <c r="Z640" s="6" t="s">
        <v>3261</v>
      </c>
      <c r="AA640" s="35" t="s">
        <v>3607</v>
      </c>
      <c r="AB640" s="35" t="s">
        <v>3608</v>
      </c>
      <c r="AC640" s="35" t="s">
        <v>3609</v>
      </c>
      <c r="AD640" s="35" t="s">
        <v>3610</v>
      </c>
      <c r="AE640" s="35" t="s">
        <v>3610</v>
      </c>
      <c r="AF640" s="35" t="s">
        <v>3611</v>
      </c>
      <c r="AG640" s="35" t="s">
        <v>3612</v>
      </c>
      <c r="AH640" s="35" t="s">
        <v>3613</v>
      </c>
    </row>
    <row r="641" spans="1:34" ht="14.45" hidden="1" customHeight="1" x14ac:dyDescent="0.25">
      <c r="A641" s="6" t="s">
        <v>1272</v>
      </c>
      <c r="B641" s="7">
        <v>0</v>
      </c>
      <c r="C641" s="6" t="s">
        <v>1271</v>
      </c>
      <c r="D641" s="6" t="s">
        <v>66</v>
      </c>
      <c r="E641" s="6" t="s">
        <v>1924</v>
      </c>
      <c r="F641" s="18" t="s">
        <v>3230</v>
      </c>
      <c r="G641" s="8">
        <v>1.235608</v>
      </c>
      <c r="H641" s="8">
        <v>6.2222109999999997</v>
      </c>
      <c r="I641" s="6" t="s">
        <v>2497</v>
      </c>
      <c r="J641" s="6" t="s">
        <v>2459</v>
      </c>
      <c r="K641" s="6" t="s">
        <v>2460</v>
      </c>
      <c r="L641" s="6"/>
      <c r="M641" s="6"/>
      <c r="N641" s="6" t="s">
        <v>3268</v>
      </c>
      <c r="O641" s="6" t="s">
        <v>7</v>
      </c>
      <c r="P641" s="6" t="str">
        <f>VLOOKUP(Tableau1[[#This Row],[SITES NAMES]],[1]Feuil1!$1:$1048576,8,FALSE)</f>
        <v>OK</v>
      </c>
      <c r="Q641" s="6" t="str">
        <f>VLOOKUP(Tableau1[[#This Row],[SITES NAMES]],[1]Feuil1!$1:$1048576,9,FALSE)</f>
        <v>NO</v>
      </c>
      <c r="R641" s="6" t="str">
        <f>VLOOKUP(Tableau1[[#This Row],[SITES NAMES]],[1]Feuil1!$1:$1048576,10,FALSE)</f>
        <v>NO</v>
      </c>
      <c r="S641" s="6" t="s">
        <v>2469</v>
      </c>
      <c r="T641" s="6" t="s">
        <v>2470</v>
      </c>
      <c r="U641" s="6" t="s">
        <v>2471</v>
      </c>
      <c r="V641" s="6" t="s">
        <v>2478</v>
      </c>
      <c r="W641" s="6" t="s">
        <v>2476</v>
      </c>
      <c r="X641" s="8" t="s">
        <v>2916</v>
      </c>
      <c r="Y641" s="6" t="s">
        <v>3238</v>
      </c>
      <c r="Z641" s="6" t="s">
        <v>3261</v>
      </c>
      <c r="AA641" s="35" t="s">
        <v>3607</v>
      </c>
      <c r="AB641" s="35" t="s">
        <v>3608</v>
      </c>
      <c r="AC641" s="35" t="s">
        <v>3609</v>
      </c>
      <c r="AD641" s="35" t="s">
        <v>3610</v>
      </c>
      <c r="AE641" s="35" t="s">
        <v>3610</v>
      </c>
      <c r="AF641" s="35" t="s">
        <v>3611</v>
      </c>
      <c r="AG641" s="35" t="s">
        <v>3612</v>
      </c>
      <c r="AH641" s="35" t="s">
        <v>3613</v>
      </c>
    </row>
    <row r="642" spans="1:34" ht="14.45" hidden="1" customHeight="1" x14ac:dyDescent="0.25">
      <c r="A642" s="6" t="s">
        <v>1274</v>
      </c>
      <c r="B642" s="7">
        <v>0</v>
      </c>
      <c r="C642" s="6" t="s">
        <v>1273</v>
      </c>
      <c r="D642" s="6" t="s">
        <v>66</v>
      </c>
      <c r="E642" s="6" t="s">
        <v>1924</v>
      </c>
      <c r="F642" s="6" t="s">
        <v>3229</v>
      </c>
      <c r="G642" s="8">
        <v>1.2258899999999999</v>
      </c>
      <c r="H642" s="8">
        <v>6.2194900000000004</v>
      </c>
      <c r="I642" s="6" t="s">
        <v>2497</v>
      </c>
      <c r="J642" s="6" t="s">
        <v>2459</v>
      </c>
      <c r="K642" s="6" t="s">
        <v>2460</v>
      </c>
      <c r="L642" s="6"/>
      <c r="M642" s="6"/>
      <c r="N642" s="6" t="s">
        <v>3268</v>
      </c>
      <c r="O642" s="6" t="s">
        <v>7</v>
      </c>
      <c r="P642" s="6" t="str">
        <f>VLOOKUP(Tableau1[[#This Row],[SITES NAMES]],[1]Feuil1!$1:$1048576,8,FALSE)</f>
        <v>OK</v>
      </c>
      <c r="Q642" s="6" t="str">
        <f>VLOOKUP(Tableau1[[#This Row],[SITES NAMES]],[1]Feuil1!$1:$1048576,9,FALSE)</f>
        <v>NO</v>
      </c>
      <c r="R642" s="6" t="str">
        <f>VLOOKUP(Tableau1[[#This Row],[SITES NAMES]],[1]Feuil1!$1:$1048576,10,FALSE)</f>
        <v>NO</v>
      </c>
      <c r="S642" s="6" t="s">
        <v>2469</v>
      </c>
      <c r="T642" s="6" t="s">
        <v>2470</v>
      </c>
      <c r="U642" s="6" t="s">
        <v>2480</v>
      </c>
      <c r="V642" s="6" t="s">
        <v>2478</v>
      </c>
      <c r="W642" s="6" t="s">
        <v>2476</v>
      </c>
      <c r="X642" s="8" t="s">
        <v>2917</v>
      </c>
      <c r="Y642" s="6" t="s">
        <v>3238</v>
      </c>
      <c r="Z642" s="6" t="s">
        <v>3261</v>
      </c>
      <c r="AA642" s="35" t="s">
        <v>3607</v>
      </c>
      <c r="AB642" s="35" t="s">
        <v>3608</v>
      </c>
      <c r="AC642" s="35" t="s">
        <v>3609</v>
      </c>
      <c r="AD642" s="35" t="s">
        <v>3610</v>
      </c>
      <c r="AE642" s="35" t="s">
        <v>3610</v>
      </c>
      <c r="AF642" s="35" t="s">
        <v>3611</v>
      </c>
      <c r="AG642" s="35" t="s">
        <v>3612</v>
      </c>
      <c r="AH642" s="35" t="s">
        <v>3613</v>
      </c>
    </row>
    <row r="643" spans="1:34" ht="14.45" hidden="1" customHeight="1" x14ac:dyDescent="0.25">
      <c r="A643" s="6" t="s">
        <v>1276</v>
      </c>
      <c r="B643" s="7">
        <v>44545</v>
      </c>
      <c r="C643" s="6" t="s">
        <v>1275</v>
      </c>
      <c r="D643" s="6" t="s">
        <v>66</v>
      </c>
      <c r="E643" s="6" t="s">
        <v>1924</v>
      </c>
      <c r="F643" s="6" t="s">
        <v>3229</v>
      </c>
      <c r="G643" s="8">
        <v>1.24777699</v>
      </c>
      <c r="H643" s="8">
        <v>6.2157770000000001</v>
      </c>
      <c r="I643" s="6" t="s">
        <v>2497</v>
      </c>
      <c r="J643" s="6" t="s">
        <v>2459</v>
      </c>
      <c r="K643" s="6" t="s">
        <v>2460</v>
      </c>
      <c r="L643" s="6" t="s">
        <v>1302</v>
      </c>
      <c r="M643" s="6" t="s">
        <v>3275</v>
      </c>
      <c r="N643" s="6" t="s">
        <v>3268</v>
      </c>
      <c r="O643" s="6" t="s">
        <v>7</v>
      </c>
      <c r="P643" s="6" t="str">
        <f>VLOOKUP(Tableau1[[#This Row],[SITES NAMES]],[1]Feuil1!$1:$1048576,8,FALSE)</f>
        <v>OK</v>
      </c>
      <c r="Q643" s="6" t="str">
        <f>VLOOKUP(Tableau1[[#This Row],[SITES NAMES]],[1]Feuil1!$1:$1048576,9,FALSE)</f>
        <v>NO</v>
      </c>
      <c r="R643" s="6" t="str">
        <f>VLOOKUP(Tableau1[[#This Row],[SITES NAMES]],[1]Feuil1!$1:$1048576,10,FALSE)</f>
        <v>YES</v>
      </c>
      <c r="S643" s="6" t="s">
        <v>2469</v>
      </c>
      <c r="T643" s="6" t="s">
        <v>2470</v>
      </c>
      <c r="U643" s="6" t="s">
        <v>2480</v>
      </c>
      <c r="V643" s="6" t="s">
        <v>2478</v>
      </c>
      <c r="W643" s="6" t="s">
        <v>2465</v>
      </c>
      <c r="X643" s="8"/>
      <c r="Y643" s="6" t="s">
        <v>3238</v>
      </c>
      <c r="Z643" s="6" t="s">
        <v>3261</v>
      </c>
      <c r="AA643" s="35" t="s">
        <v>3607</v>
      </c>
      <c r="AB643" s="35" t="s">
        <v>3608</v>
      </c>
      <c r="AC643" s="35" t="s">
        <v>3609</v>
      </c>
      <c r="AD643" s="35" t="s">
        <v>3610</v>
      </c>
      <c r="AE643" s="35" t="s">
        <v>3610</v>
      </c>
      <c r="AF643" s="35" t="s">
        <v>3611</v>
      </c>
      <c r="AG643" s="35" t="s">
        <v>3612</v>
      </c>
      <c r="AH643" s="35" t="s">
        <v>3613</v>
      </c>
    </row>
    <row r="644" spans="1:34" ht="14.45" hidden="1" customHeight="1" x14ac:dyDescent="0.25">
      <c r="A644" s="6" t="s">
        <v>1195</v>
      </c>
      <c r="B644" s="7">
        <v>46022</v>
      </c>
      <c r="C644" s="6" t="s">
        <v>1194</v>
      </c>
      <c r="D644" s="6" t="s">
        <v>66</v>
      </c>
      <c r="E644" s="6" t="s">
        <v>1924</v>
      </c>
      <c r="F644" s="6" t="s">
        <v>3229</v>
      </c>
      <c r="G644" s="8">
        <v>1.239271</v>
      </c>
      <c r="H644" s="8">
        <v>6.2184499999999998</v>
      </c>
      <c r="I644" s="16" t="s">
        <v>2497</v>
      </c>
      <c r="J644" s="6" t="s">
        <v>2459</v>
      </c>
      <c r="K644" s="6" t="s">
        <v>2468</v>
      </c>
      <c r="L644" s="6"/>
      <c r="M644" s="6"/>
      <c r="N644" s="6" t="s">
        <v>2468</v>
      </c>
      <c r="O644" s="6" t="s">
        <v>7</v>
      </c>
      <c r="P644" s="6"/>
      <c r="Q644" s="6"/>
      <c r="R644" s="6"/>
      <c r="S644" s="6"/>
      <c r="T644" s="6"/>
      <c r="U644" s="6"/>
      <c r="V644" s="6"/>
      <c r="W644" s="6"/>
      <c r="X644" s="8"/>
      <c r="Y644" s="6" t="s">
        <v>3238</v>
      </c>
      <c r="Z644" s="6" t="s">
        <v>3261</v>
      </c>
      <c r="AA644" s="35" t="s">
        <v>3607</v>
      </c>
      <c r="AB644" s="35" t="s">
        <v>3608</v>
      </c>
      <c r="AC644" s="35" t="s">
        <v>3609</v>
      </c>
      <c r="AD644" s="35" t="s">
        <v>3610</v>
      </c>
      <c r="AE644" s="35" t="s">
        <v>3610</v>
      </c>
      <c r="AF644" s="35" t="s">
        <v>3611</v>
      </c>
      <c r="AG644" s="35" t="s">
        <v>3612</v>
      </c>
      <c r="AH644" s="35" t="s">
        <v>3613</v>
      </c>
    </row>
    <row r="645" spans="1:34" ht="14.45" hidden="1" customHeight="1" x14ac:dyDescent="0.3">
      <c r="A645" s="6" t="s">
        <v>228</v>
      </c>
      <c r="B645" s="7">
        <v>0</v>
      </c>
      <c r="C645" s="6" t="s">
        <v>227</v>
      </c>
      <c r="D645" s="6" t="s">
        <v>132</v>
      </c>
      <c r="E645" s="6" t="s">
        <v>133</v>
      </c>
      <c r="F645" s="6" t="s">
        <v>3229</v>
      </c>
      <c r="G645" s="8">
        <v>1.305337</v>
      </c>
      <c r="H645" s="8">
        <v>7.3999389999999998</v>
      </c>
      <c r="I645" s="6" t="s">
        <v>2477</v>
      </c>
      <c r="J645" s="6" t="s">
        <v>2459</v>
      </c>
      <c r="K645" s="6" t="s">
        <v>2468</v>
      </c>
      <c r="L645" s="6" t="s">
        <v>3496</v>
      </c>
      <c r="M645" s="6"/>
      <c r="N645" s="6" t="s">
        <v>2468</v>
      </c>
      <c r="O645" s="6" t="s">
        <v>40</v>
      </c>
      <c r="P645" s="6" t="str">
        <f>VLOOKUP(Tableau1[[#This Row],[SITES NAMES]],[1]Feuil1!$1:$1048576,8,FALSE)</f>
        <v>OK</v>
      </c>
      <c r="Q645" s="6" t="str">
        <f>VLOOKUP(Tableau1[[#This Row],[SITES NAMES]],[1]Feuil1!$1:$1048576,9,FALSE)</f>
        <v>NO</v>
      </c>
      <c r="R645" s="6" t="str">
        <f>VLOOKUP(Tableau1[[#This Row],[SITES NAMES]],[1]Feuil1!$1:$1048576,10,FALSE)</f>
        <v>NO</v>
      </c>
      <c r="S645" s="6" t="s">
        <v>2461</v>
      </c>
      <c r="T645" s="6" t="s">
        <v>2462</v>
      </c>
      <c r="U645" s="6" t="s">
        <v>2463</v>
      </c>
      <c r="V645" s="6" t="s">
        <v>2472</v>
      </c>
      <c r="W645" s="6" t="s">
        <v>2473</v>
      </c>
      <c r="X645" s="8" t="s">
        <v>2557</v>
      </c>
      <c r="Y645" s="6" t="s">
        <v>3238</v>
      </c>
      <c r="Z645" s="6" t="s">
        <v>3258</v>
      </c>
      <c r="AA645" s="37" t="s">
        <v>3643</v>
      </c>
      <c r="AB645" s="39" t="s">
        <v>3644</v>
      </c>
      <c r="AC645" s="37" t="s">
        <v>3645</v>
      </c>
      <c r="AD645" s="39" t="s">
        <v>3646</v>
      </c>
      <c r="AE645" s="39" t="s">
        <v>3647</v>
      </c>
      <c r="AF645" s="39" t="s">
        <v>3648</v>
      </c>
      <c r="AG645" s="37" t="s">
        <v>3649</v>
      </c>
      <c r="AH645" s="37" t="s">
        <v>3650</v>
      </c>
    </row>
    <row r="646" spans="1:34" ht="14.45" hidden="1" customHeight="1" x14ac:dyDescent="0.3">
      <c r="A646" s="6" t="s">
        <v>2145</v>
      </c>
      <c r="B646" s="7">
        <v>43610</v>
      </c>
      <c r="C646" s="6" t="s">
        <v>2144</v>
      </c>
      <c r="D646" s="6" t="s">
        <v>320</v>
      </c>
      <c r="E646" s="6" t="s">
        <v>2141</v>
      </c>
      <c r="F646" s="6" t="s">
        <v>3229</v>
      </c>
      <c r="G646" s="8">
        <v>1.23946</v>
      </c>
      <c r="H646" s="8">
        <v>9.2297700000000003</v>
      </c>
      <c r="I646" s="6" t="s">
        <v>2479</v>
      </c>
      <c r="J646" s="6" t="s">
        <v>2459</v>
      </c>
      <c r="K646" s="6" t="s">
        <v>2468</v>
      </c>
      <c r="L646" s="6" t="s">
        <v>2219</v>
      </c>
      <c r="M646" s="6"/>
      <c r="N646" s="6" t="s">
        <v>2468</v>
      </c>
      <c r="O646" s="6" t="s">
        <v>7</v>
      </c>
      <c r="P646" s="6" t="str">
        <f>VLOOKUP(Tableau1[[#This Row],[SITES NAMES]],[1]Feuil1!$1:$1048576,8,FALSE)</f>
        <v>NOK</v>
      </c>
      <c r="Q646" s="6" t="str">
        <f>VLOOKUP(Tableau1[[#This Row],[SITES NAMES]],[1]Feuil1!$1:$1048576,9,FALSE)</f>
        <v>NO</v>
      </c>
      <c r="R646" s="6" t="str">
        <f>VLOOKUP(Tableau1[[#This Row],[SITES NAMES]],[1]Feuil1!$1:$1048576,10,FALSE)</f>
        <v>NO</v>
      </c>
      <c r="S646" s="6" t="s">
        <v>2469</v>
      </c>
      <c r="T646" s="6" t="s">
        <v>2470</v>
      </c>
      <c r="U646" s="6" t="s">
        <v>2480</v>
      </c>
      <c r="V646" s="6" t="s">
        <v>2472</v>
      </c>
      <c r="W646" s="6" t="s">
        <v>2473</v>
      </c>
      <c r="X646" s="8" t="s">
        <v>3134</v>
      </c>
      <c r="Y646" s="6" t="s">
        <v>3238</v>
      </c>
      <c r="Z646" s="6" t="s">
        <v>3254</v>
      </c>
      <c r="AA646" s="37" t="s">
        <v>3672</v>
      </c>
      <c r="AB646" s="39" t="s">
        <v>3665</v>
      </c>
      <c r="AC646" s="37" t="s">
        <v>3673</v>
      </c>
      <c r="AD646" s="37" t="s">
        <v>3674</v>
      </c>
      <c r="AE646" s="37" t="s">
        <v>3675</v>
      </c>
      <c r="AF646" s="39" t="s">
        <v>3676</v>
      </c>
      <c r="AG646" s="37" t="s">
        <v>3670</v>
      </c>
      <c r="AH646" s="37" t="s">
        <v>3677</v>
      </c>
    </row>
    <row r="647" spans="1:34" ht="14.45" hidden="1" customHeight="1" x14ac:dyDescent="0.3">
      <c r="A647" s="6" t="s">
        <v>811</v>
      </c>
      <c r="B647" s="7">
        <v>43287</v>
      </c>
      <c r="C647" s="6" t="s">
        <v>810</v>
      </c>
      <c r="D647" s="6" t="s">
        <v>657</v>
      </c>
      <c r="E647" s="6" t="s">
        <v>3237</v>
      </c>
      <c r="F647" s="6" t="s">
        <v>3229</v>
      </c>
      <c r="G647" s="8">
        <v>1.3572660000000001</v>
      </c>
      <c r="H647" s="8">
        <v>9.6652979999999999</v>
      </c>
      <c r="I647" s="6" t="s">
        <v>2479</v>
      </c>
      <c r="J647" s="6" t="s">
        <v>2459</v>
      </c>
      <c r="K647" s="6" t="s">
        <v>2468</v>
      </c>
      <c r="L647" s="6" t="s">
        <v>3432</v>
      </c>
      <c r="M647" s="6"/>
      <c r="N647" s="6" t="s">
        <v>2468</v>
      </c>
      <c r="O647" s="6" t="s">
        <v>18</v>
      </c>
      <c r="P647" s="6" t="str">
        <f>VLOOKUP(Tableau1[[#This Row],[SITES NAMES]],[1]Feuil1!$1:$1048576,8,FALSE)</f>
        <v>NOK</v>
      </c>
      <c r="Q647" s="6" t="str">
        <f>VLOOKUP(Tableau1[[#This Row],[SITES NAMES]],[1]Feuil1!$1:$1048576,9,FALSE)</f>
        <v>NO</v>
      </c>
      <c r="R647" s="6" t="str">
        <f>VLOOKUP(Tableau1[[#This Row],[SITES NAMES]],[1]Feuil1!$1:$1048576,10,FALSE)</f>
        <v>NO</v>
      </c>
      <c r="S647" s="6" t="s">
        <v>2469</v>
      </c>
      <c r="T647" s="6" t="s">
        <v>2470</v>
      </c>
      <c r="U647" s="6" t="s">
        <v>2480</v>
      </c>
      <c r="V647" s="6" t="s">
        <v>2464</v>
      </c>
      <c r="W647" s="6" t="s">
        <v>2473</v>
      </c>
      <c r="X647" s="8" t="s">
        <v>2775</v>
      </c>
      <c r="Y647" s="6" t="s">
        <v>3239</v>
      </c>
      <c r="Z647" s="6" t="s">
        <v>3253</v>
      </c>
      <c r="AA647" s="37" t="s">
        <v>3692</v>
      </c>
      <c r="AB647" s="38" t="s">
        <v>3683</v>
      </c>
      <c r="AC647" s="39" t="s">
        <v>3693</v>
      </c>
      <c r="AD647" s="39" t="s">
        <v>3694</v>
      </c>
      <c r="AE647" s="37" t="s">
        <v>3695</v>
      </c>
      <c r="AF647" s="39" t="s">
        <v>3696</v>
      </c>
      <c r="AG647" s="40" t="s">
        <v>3685</v>
      </c>
      <c r="AH647" s="37" t="s">
        <v>3697</v>
      </c>
    </row>
    <row r="648" spans="1:34" ht="14.45" hidden="1" customHeight="1" x14ac:dyDescent="0.3">
      <c r="A648" s="6" t="s">
        <v>263</v>
      </c>
      <c r="B648" s="7">
        <v>0</v>
      </c>
      <c r="C648" s="6" t="s">
        <v>262</v>
      </c>
      <c r="D648" s="6" t="s">
        <v>132</v>
      </c>
      <c r="E648" s="6" t="s">
        <v>251</v>
      </c>
      <c r="F648" s="6" t="s">
        <v>3229</v>
      </c>
      <c r="G648" s="8">
        <v>0.58948999999999996</v>
      </c>
      <c r="H648" s="8">
        <v>7.6826100000000004</v>
      </c>
      <c r="I648" s="6" t="s">
        <v>2477</v>
      </c>
      <c r="J648" s="6" t="s">
        <v>2459</v>
      </c>
      <c r="K648" s="6" t="s">
        <v>2468</v>
      </c>
      <c r="L648" s="6" t="s">
        <v>255</v>
      </c>
      <c r="M648" s="6"/>
      <c r="N648" s="6" t="s">
        <v>2468</v>
      </c>
      <c r="O648" s="6" t="s">
        <v>40</v>
      </c>
      <c r="P648" s="6" t="str">
        <f>VLOOKUP(Tableau1[[#This Row],[SITES NAMES]],[1]Feuil1!$1:$1048576,8,FALSE)</f>
        <v>NOK</v>
      </c>
      <c r="Q648" s="6" t="str">
        <f>VLOOKUP(Tableau1[[#This Row],[SITES NAMES]],[1]Feuil1!$1:$1048576,9,FALSE)</f>
        <v>NO</v>
      </c>
      <c r="R648" s="6" t="str">
        <f>VLOOKUP(Tableau1[[#This Row],[SITES NAMES]],[1]Feuil1!$1:$1048576,10,FALSE)</f>
        <v>YES</v>
      </c>
      <c r="S648" s="6" t="s">
        <v>2469</v>
      </c>
      <c r="T648" s="6" t="s">
        <v>2470</v>
      </c>
      <c r="U648" s="6" t="s">
        <v>2480</v>
      </c>
      <c r="V648" s="6" t="s">
        <v>2472</v>
      </c>
      <c r="W648" s="6" t="s">
        <v>2473</v>
      </c>
      <c r="X648" s="8" t="s">
        <v>2572</v>
      </c>
      <c r="Y648" s="6" t="s">
        <v>3238</v>
      </c>
      <c r="Z648" s="6" t="s">
        <v>3256</v>
      </c>
      <c r="AA648" s="37" t="s">
        <v>3651</v>
      </c>
      <c r="AB648" s="39" t="s">
        <v>3644</v>
      </c>
      <c r="AC648" s="45" t="s">
        <v>3652</v>
      </c>
      <c r="AD648" s="39" t="s">
        <v>3646</v>
      </c>
      <c r="AE648" s="37" t="s">
        <v>3653</v>
      </c>
      <c r="AF648" s="37" t="s">
        <v>3654</v>
      </c>
      <c r="AG648" s="37" t="s">
        <v>3649</v>
      </c>
      <c r="AH648" s="37" t="s">
        <v>3655</v>
      </c>
    </row>
    <row r="649" spans="1:34" ht="14.45" hidden="1" customHeight="1" x14ac:dyDescent="0.3">
      <c r="A649" s="6" t="s">
        <v>861</v>
      </c>
      <c r="B649" s="7">
        <v>0</v>
      </c>
      <c r="C649" s="6" t="s">
        <v>860</v>
      </c>
      <c r="D649" s="6" t="s">
        <v>657</v>
      </c>
      <c r="E649" s="6" t="s">
        <v>3237</v>
      </c>
      <c r="F649" s="6" t="s">
        <v>3229</v>
      </c>
      <c r="G649" s="8">
        <v>1.3155555560000001</v>
      </c>
      <c r="H649" s="8">
        <v>9.672154506</v>
      </c>
      <c r="I649" s="6" t="s">
        <v>2486</v>
      </c>
      <c r="J649" s="6" t="s">
        <v>2459</v>
      </c>
      <c r="K649" s="6" t="s">
        <v>2468</v>
      </c>
      <c r="L649" s="6" t="s">
        <v>885</v>
      </c>
      <c r="M649" s="6"/>
      <c r="N649" s="6" t="s">
        <v>2468</v>
      </c>
      <c r="O649" s="6" t="s">
        <v>7</v>
      </c>
      <c r="P649" s="6" t="str">
        <f>VLOOKUP(Tableau1[[#This Row],[SITES NAMES]],[1]Feuil1!$1:$1048576,8,FALSE)</f>
        <v>OK</v>
      </c>
      <c r="Q649" s="6" t="str">
        <f>VLOOKUP(Tableau1[[#This Row],[SITES NAMES]],[1]Feuil1!$1:$1048576,9,FALSE)</f>
        <v>NO</v>
      </c>
      <c r="R649" s="6" t="str">
        <f>VLOOKUP(Tableau1[[#This Row],[SITES NAMES]],[1]Feuil1!$1:$1048576,10,FALSE)</f>
        <v>YES</v>
      </c>
      <c r="S649" s="6" t="s">
        <v>2469</v>
      </c>
      <c r="T649" s="6" t="s">
        <v>2470</v>
      </c>
      <c r="U649" s="6" t="s">
        <v>2480</v>
      </c>
      <c r="V649" s="6" t="s">
        <v>2464</v>
      </c>
      <c r="W649" s="6" t="s">
        <v>2465</v>
      </c>
      <c r="X649" s="8" t="s">
        <v>2789</v>
      </c>
      <c r="Y649" s="6" t="s">
        <v>3239</v>
      </c>
      <c r="Z649" s="6" t="s">
        <v>3253</v>
      </c>
      <c r="AA649" s="37" t="s">
        <v>3692</v>
      </c>
      <c r="AB649" s="38" t="s">
        <v>3683</v>
      </c>
      <c r="AC649" s="39" t="s">
        <v>3693</v>
      </c>
      <c r="AD649" s="39" t="s">
        <v>3694</v>
      </c>
      <c r="AE649" s="37" t="s">
        <v>3695</v>
      </c>
      <c r="AF649" s="39" t="s">
        <v>3696</v>
      </c>
      <c r="AG649" s="40" t="s">
        <v>3685</v>
      </c>
      <c r="AH649" s="37" t="s">
        <v>3697</v>
      </c>
    </row>
    <row r="650" spans="1:34" ht="14.45" hidden="1" customHeight="1" x14ac:dyDescent="0.3">
      <c r="A650" s="6" t="s">
        <v>863</v>
      </c>
      <c r="B650" s="7">
        <v>0</v>
      </c>
      <c r="C650" s="6" t="s">
        <v>862</v>
      </c>
      <c r="D650" s="6" t="s">
        <v>657</v>
      </c>
      <c r="E650" s="6" t="s">
        <v>3237</v>
      </c>
      <c r="F650" s="6" t="s">
        <v>3229</v>
      </c>
      <c r="G650" s="8">
        <v>1.3034300000000001</v>
      </c>
      <c r="H650" s="8">
        <v>9.6536899999999992</v>
      </c>
      <c r="I650" s="6" t="s">
        <v>2497</v>
      </c>
      <c r="J650" s="6" t="s">
        <v>2459</v>
      </c>
      <c r="K650" s="6" t="s">
        <v>2468</v>
      </c>
      <c r="L650" s="6" t="s">
        <v>875</v>
      </c>
      <c r="M650" s="6"/>
      <c r="N650" s="6" t="s">
        <v>2468</v>
      </c>
      <c r="O650" s="6" t="s">
        <v>7</v>
      </c>
      <c r="P650" s="6" t="str">
        <f>VLOOKUP(Tableau1[[#This Row],[SITES NAMES]],[1]Feuil1!$1:$1048576,8,FALSE)</f>
        <v>NOK</v>
      </c>
      <c r="Q650" s="6" t="str">
        <f>VLOOKUP(Tableau1[[#This Row],[SITES NAMES]],[1]Feuil1!$1:$1048576,9,FALSE)</f>
        <v>NO</v>
      </c>
      <c r="R650" s="6" t="str">
        <f>VLOOKUP(Tableau1[[#This Row],[SITES NAMES]],[1]Feuil1!$1:$1048576,10,FALSE)</f>
        <v>YES</v>
      </c>
      <c r="S650" s="6" t="s">
        <v>2469</v>
      </c>
      <c r="T650" s="6" t="s">
        <v>2470</v>
      </c>
      <c r="U650" s="6" t="s">
        <v>2480</v>
      </c>
      <c r="V650" s="6" t="s">
        <v>2478</v>
      </c>
      <c r="W650" s="6" t="s">
        <v>2465</v>
      </c>
      <c r="X650" s="8" t="s">
        <v>2790</v>
      </c>
      <c r="Y650" s="6" t="s">
        <v>3239</v>
      </c>
      <c r="Z650" s="6" t="s">
        <v>3253</v>
      </c>
      <c r="AA650" s="37" t="s">
        <v>3692</v>
      </c>
      <c r="AB650" s="38" t="s">
        <v>3683</v>
      </c>
      <c r="AC650" s="39" t="s">
        <v>3693</v>
      </c>
      <c r="AD650" s="39" t="s">
        <v>3694</v>
      </c>
      <c r="AE650" s="37" t="s">
        <v>3695</v>
      </c>
      <c r="AF650" s="39" t="s">
        <v>3696</v>
      </c>
      <c r="AG650" s="40" t="s">
        <v>3685</v>
      </c>
      <c r="AH650" s="37" t="s">
        <v>3697</v>
      </c>
    </row>
    <row r="651" spans="1:34" ht="14.45" hidden="1" customHeight="1" x14ac:dyDescent="0.3">
      <c r="A651" s="6" t="s">
        <v>813</v>
      </c>
      <c r="B651" s="7">
        <v>45185</v>
      </c>
      <c r="C651" s="6" t="s">
        <v>812</v>
      </c>
      <c r="D651" s="6" t="s">
        <v>657</v>
      </c>
      <c r="E651" s="6" t="s">
        <v>3237</v>
      </c>
      <c r="F651" s="6" t="s">
        <v>3229</v>
      </c>
      <c r="G651" s="8">
        <v>1.3165480000000001</v>
      </c>
      <c r="H651" s="8">
        <v>9.6581019999999995</v>
      </c>
      <c r="I651" s="6" t="s">
        <v>2479</v>
      </c>
      <c r="J651" s="6" t="s">
        <v>2459</v>
      </c>
      <c r="K651" s="6" t="s">
        <v>2468</v>
      </c>
      <c r="L651" s="6"/>
      <c r="M651" s="6"/>
      <c r="N651" s="6" t="s">
        <v>2468</v>
      </c>
      <c r="O651" s="6" t="s">
        <v>7</v>
      </c>
      <c r="P651" s="6" t="str">
        <f>VLOOKUP(Tableau1[[#This Row],[SITES NAMES]],[1]Feuil1!$1:$1048576,8,FALSE)</f>
        <v>OK</v>
      </c>
      <c r="Q651" s="6" t="str">
        <f>VLOOKUP(Tableau1[[#This Row],[SITES NAMES]],[1]Feuil1!$1:$1048576,9,FALSE)</f>
        <v>NO</v>
      </c>
      <c r="R651" s="6" t="str">
        <f>VLOOKUP(Tableau1[[#This Row],[SITES NAMES]],[1]Feuil1!$1:$1048576,10,FALSE)</f>
        <v>NO</v>
      </c>
      <c r="S651" s="6" t="s">
        <v>2469</v>
      </c>
      <c r="T651" s="6" t="s">
        <v>2470</v>
      </c>
      <c r="U651" s="6" t="s">
        <v>2471</v>
      </c>
      <c r="V651" s="6" t="s">
        <v>2478</v>
      </c>
      <c r="W651" s="6" t="s">
        <v>2476</v>
      </c>
      <c r="X651" s="8"/>
      <c r="Y651" s="6" t="s">
        <v>3239</v>
      </c>
      <c r="Z651" s="6" t="s">
        <v>3253</v>
      </c>
      <c r="AA651" s="37" t="s">
        <v>3692</v>
      </c>
      <c r="AB651" s="38" t="s">
        <v>3683</v>
      </c>
      <c r="AC651" s="39" t="s">
        <v>3693</v>
      </c>
      <c r="AD651" s="39" t="s">
        <v>3694</v>
      </c>
      <c r="AE651" s="37" t="s">
        <v>3695</v>
      </c>
      <c r="AF651" s="39" t="s">
        <v>3696</v>
      </c>
      <c r="AG651" s="40" t="s">
        <v>3685</v>
      </c>
      <c r="AH651" s="37" t="s">
        <v>3697</v>
      </c>
    </row>
    <row r="652" spans="1:34" ht="15.75" hidden="1" x14ac:dyDescent="0.3">
      <c r="A652" s="6" t="s">
        <v>2403</v>
      </c>
      <c r="B652" s="7">
        <v>0</v>
      </c>
      <c r="C652" s="6" t="s">
        <v>2402</v>
      </c>
      <c r="D652" s="6" t="s">
        <v>5</v>
      </c>
      <c r="E652" s="6" t="s">
        <v>2333</v>
      </c>
      <c r="F652" s="6" t="s">
        <v>3229</v>
      </c>
      <c r="G652" s="8">
        <v>0.92502777800000002</v>
      </c>
      <c r="H652" s="8">
        <v>6.4365277780000003</v>
      </c>
      <c r="I652" s="6" t="s">
        <v>2458</v>
      </c>
      <c r="J652" s="6" t="s">
        <v>2459</v>
      </c>
      <c r="K652" s="6" t="s">
        <v>2460</v>
      </c>
      <c r="L652" s="6"/>
      <c r="M652" s="6"/>
      <c r="N652" s="21" t="s">
        <v>3269</v>
      </c>
      <c r="O652" s="6" t="s">
        <v>7</v>
      </c>
      <c r="P652" s="6" t="str">
        <f>VLOOKUP(Tableau1[[#This Row],[SITES NAMES]],[1]Feuil1!$1:$1048576,8,FALSE)</f>
        <v>OK</v>
      </c>
      <c r="Q652" s="6" t="str">
        <f>VLOOKUP(Tableau1[[#This Row],[SITES NAMES]],[1]Feuil1!$1:$1048576,9,FALSE)</f>
        <v>NO</v>
      </c>
      <c r="R652" s="6" t="str">
        <f>VLOOKUP(Tableau1[[#This Row],[SITES NAMES]],[1]Feuil1!$1:$1048576,10,FALSE)</f>
        <v>YES</v>
      </c>
      <c r="S652" s="6" t="s">
        <v>2461</v>
      </c>
      <c r="T652" s="6" t="s">
        <v>2462</v>
      </c>
      <c r="U652" s="6" t="s">
        <v>2463</v>
      </c>
      <c r="V652" s="6" t="s">
        <v>2478</v>
      </c>
      <c r="W652" s="6" t="s">
        <v>2476</v>
      </c>
      <c r="X652" s="8" t="s">
        <v>3219</v>
      </c>
      <c r="Y652" s="6" t="s">
        <v>3241</v>
      </c>
      <c r="Z652" s="6"/>
      <c r="AA652" s="37"/>
      <c r="AB652" s="38" t="s">
        <v>3627</v>
      </c>
      <c r="AC652" s="37" t="s">
        <v>3640</v>
      </c>
      <c r="AD652" s="39" t="s">
        <v>3641</v>
      </c>
      <c r="AE652" s="37"/>
      <c r="AF652" s="39" t="s">
        <v>3641</v>
      </c>
      <c r="AG652" s="37"/>
      <c r="AH652" s="37" t="s">
        <v>3642</v>
      </c>
    </row>
    <row r="653" spans="1:34" ht="14.45" hidden="1" customHeight="1" x14ac:dyDescent="0.3">
      <c r="A653" s="6" t="s">
        <v>666</v>
      </c>
      <c r="B653" s="7">
        <v>0</v>
      </c>
      <c r="C653" s="6" t="s">
        <v>665</v>
      </c>
      <c r="D653" s="6" t="s">
        <v>657</v>
      </c>
      <c r="E653" s="6" t="s">
        <v>658</v>
      </c>
      <c r="F653" s="6" t="s">
        <v>3229</v>
      </c>
      <c r="G653" s="8">
        <v>0.46343299999999998</v>
      </c>
      <c r="H653" s="8">
        <v>9.7802500000000006</v>
      </c>
      <c r="I653" s="6" t="s">
        <v>2477</v>
      </c>
      <c r="J653" s="6" t="s">
        <v>2459</v>
      </c>
      <c r="K653" s="6" t="s">
        <v>2468</v>
      </c>
      <c r="L653" s="6" t="s">
        <v>3497</v>
      </c>
      <c r="M653" s="6"/>
      <c r="N653" s="6" t="s">
        <v>2468</v>
      </c>
      <c r="O653" s="6" t="s">
        <v>40</v>
      </c>
      <c r="P653" s="6" t="str">
        <f>VLOOKUP(Tableau1[[#This Row],[SITES NAMES]],[1]Feuil1!$1:$1048576,8,FALSE)</f>
        <v>OK</v>
      </c>
      <c r="Q653" s="6" t="str">
        <f>VLOOKUP(Tableau1[[#This Row],[SITES NAMES]],[1]Feuil1!$1:$1048576,9,FALSE)</f>
        <v>NO</v>
      </c>
      <c r="R653" s="6" t="str">
        <f>VLOOKUP(Tableau1[[#This Row],[SITES NAMES]],[1]Feuil1!$1:$1048576,10,FALSE)</f>
        <v>NO</v>
      </c>
      <c r="S653" s="6" t="s">
        <v>2469</v>
      </c>
      <c r="T653" s="6" t="s">
        <v>2470</v>
      </c>
      <c r="U653" s="6" t="s">
        <v>2480</v>
      </c>
      <c r="V653" s="6" t="s">
        <v>2472</v>
      </c>
      <c r="W653" s="6" t="s">
        <v>2473</v>
      </c>
      <c r="X653" s="8" t="s">
        <v>2716</v>
      </c>
      <c r="Y653" s="6" t="s">
        <v>3239</v>
      </c>
      <c r="Z653" s="6" t="s">
        <v>3253</v>
      </c>
      <c r="AA653" s="38" t="s">
        <v>3682</v>
      </c>
      <c r="AB653" s="38" t="s">
        <v>3683</v>
      </c>
      <c r="AC653" s="38" t="s">
        <v>3684</v>
      </c>
      <c r="AD653" s="38" t="s">
        <v>3682</v>
      </c>
      <c r="AE653" s="38" t="s">
        <v>3682</v>
      </c>
      <c r="AF653" s="38" t="s">
        <v>3682</v>
      </c>
      <c r="AG653" s="40" t="s">
        <v>3685</v>
      </c>
      <c r="AH653" s="37" t="s">
        <v>3686</v>
      </c>
    </row>
    <row r="654" spans="1:34" ht="14.45" hidden="1" customHeight="1" x14ac:dyDescent="0.3">
      <c r="A654" s="6" t="s">
        <v>827</v>
      </c>
      <c r="B654" s="7">
        <v>46022</v>
      </c>
      <c r="C654" s="6" t="s">
        <v>826</v>
      </c>
      <c r="D654" s="6" t="s">
        <v>657</v>
      </c>
      <c r="E654" s="6" t="s">
        <v>3237</v>
      </c>
      <c r="F654" s="6" t="s">
        <v>3229</v>
      </c>
      <c r="G654" s="8">
        <v>1.2622370000000001</v>
      </c>
      <c r="H654" s="8">
        <v>9.676876</v>
      </c>
      <c r="I654" s="12" t="s">
        <v>3227</v>
      </c>
      <c r="J654" s="6" t="s">
        <v>2459</v>
      </c>
      <c r="K654" s="6" t="s">
        <v>2468</v>
      </c>
      <c r="L654" s="6"/>
      <c r="M654" s="6"/>
      <c r="N654" s="6" t="s">
        <v>2468</v>
      </c>
      <c r="O654" s="6" t="s">
        <v>7</v>
      </c>
      <c r="P654" s="6"/>
      <c r="Q654" s="6"/>
      <c r="R654" s="6"/>
      <c r="S654" s="6"/>
      <c r="T654" s="6"/>
      <c r="U654" s="6"/>
      <c r="V654" s="6"/>
      <c r="W654" s="6"/>
      <c r="X654" s="8"/>
      <c r="Y654" s="6" t="s">
        <v>3239</v>
      </c>
      <c r="Z654" s="6" t="s">
        <v>3253</v>
      </c>
      <c r="AA654" s="37" t="s">
        <v>3692</v>
      </c>
      <c r="AB654" s="38" t="s">
        <v>3683</v>
      </c>
      <c r="AC654" s="39" t="s">
        <v>3693</v>
      </c>
      <c r="AD654" s="39" t="s">
        <v>3694</v>
      </c>
      <c r="AE654" s="37" t="s">
        <v>3695</v>
      </c>
      <c r="AF654" s="39" t="s">
        <v>3696</v>
      </c>
      <c r="AG654" s="40" t="s">
        <v>3685</v>
      </c>
      <c r="AH654" s="37" t="s">
        <v>3697</v>
      </c>
    </row>
    <row r="655" spans="1:34" ht="14.45" hidden="1" customHeight="1" x14ac:dyDescent="0.3">
      <c r="A655" s="6" t="s">
        <v>715</v>
      </c>
      <c r="B655" s="7">
        <v>44614</v>
      </c>
      <c r="C655" s="6" t="s">
        <v>714</v>
      </c>
      <c r="D655" s="6" t="s">
        <v>657</v>
      </c>
      <c r="E655" s="6" t="s">
        <v>658</v>
      </c>
      <c r="F655" s="6" t="s">
        <v>3229</v>
      </c>
      <c r="G655" s="8">
        <v>0.80447679000000005</v>
      </c>
      <c r="H655" s="8">
        <v>9.3667624600000003</v>
      </c>
      <c r="I655" s="14" t="s">
        <v>2477</v>
      </c>
      <c r="J655" s="6" t="s">
        <v>2459</v>
      </c>
      <c r="K655" s="6" t="s">
        <v>2468</v>
      </c>
      <c r="L655" s="6" t="s">
        <v>3381</v>
      </c>
      <c r="M655" s="6"/>
      <c r="N655" s="6" t="s">
        <v>2468</v>
      </c>
      <c r="O655" s="6" t="s">
        <v>40</v>
      </c>
      <c r="P655" s="6" t="str">
        <f>VLOOKUP(Tableau1[[#This Row],[SITES NAMES]],[1]Feuil1!$1:$1048576,8,FALSE)</f>
        <v>OK</v>
      </c>
      <c r="Q655" s="6" t="str">
        <f>VLOOKUP(Tableau1[[#This Row],[SITES NAMES]],[1]Feuil1!$1:$1048576,9,FALSE)</f>
        <v>NO</v>
      </c>
      <c r="R655" s="6" t="str">
        <f>VLOOKUP(Tableau1[[#This Row],[SITES NAMES]],[1]Feuil1!$1:$1048576,10,FALSE)</f>
        <v>YES</v>
      </c>
      <c r="S655" s="6" t="s">
        <v>2461</v>
      </c>
      <c r="T655" s="6" t="s">
        <v>2462</v>
      </c>
      <c r="U655" s="6" t="s">
        <v>2463</v>
      </c>
      <c r="V655" s="6" t="s">
        <v>2472</v>
      </c>
      <c r="W655" s="6" t="s">
        <v>2473</v>
      </c>
      <c r="X655" s="8" t="s">
        <v>2733</v>
      </c>
      <c r="Y655" s="6" t="s">
        <v>3239</v>
      </c>
      <c r="Z655" s="6" t="s">
        <v>3253</v>
      </c>
      <c r="AA655" s="38" t="s">
        <v>3682</v>
      </c>
      <c r="AB655" s="38" t="s">
        <v>3683</v>
      </c>
      <c r="AC655" s="38" t="s">
        <v>3684</v>
      </c>
      <c r="AD655" s="38" t="s">
        <v>3682</v>
      </c>
      <c r="AE655" s="38" t="s">
        <v>3682</v>
      </c>
      <c r="AF655" s="38" t="s">
        <v>3682</v>
      </c>
      <c r="AG655" s="40" t="s">
        <v>3685</v>
      </c>
      <c r="AH655" s="37" t="s">
        <v>3686</v>
      </c>
    </row>
    <row r="656" spans="1:34" ht="14.45" hidden="1" customHeight="1" x14ac:dyDescent="0.3">
      <c r="A656" s="6" t="s">
        <v>36</v>
      </c>
      <c r="B656" s="7">
        <v>46022</v>
      </c>
      <c r="C656" s="6" t="s">
        <v>35</v>
      </c>
      <c r="D656" s="6" t="s">
        <v>5</v>
      </c>
      <c r="E656" s="6" t="s">
        <v>6</v>
      </c>
      <c r="F656" s="6" t="s">
        <v>3229</v>
      </c>
      <c r="G656" s="8">
        <v>1.551803</v>
      </c>
      <c r="H656" s="8">
        <v>6.6128640000000001</v>
      </c>
      <c r="I656" s="12" t="s">
        <v>3227</v>
      </c>
      <c r="J656" s="6" t="s">
        <v>2459</v>
      </c>
      <c r="K656" s="6" t="s">
        <v>2468</v>
      </c>
      <c r="L656" s="6"/>
      <c r="M656" s="6"/>
      <c r="N656" s="6" t="s">
        <v>2468</v>
      </c>
      <c r="O656" s="6" t="s">
        <v>37</v>
      </c>
      <c r="P656" s="6"/>
      <c r="Q656" s="6"/>
      <c r="R656" s="6"/>
      <c r="S656" s="6"/>
      <c r="T656" s="6"/>
      <c r="U656" s="6"/>
      <c r="V656" s="6"/>
      <c r="W656" s="6"/>
      <c r="X656" s="8"/>
      <c r="Y656" s="6" t="s">
        <v>3241</v>
      </c>
      <c r="Z656" s="6"/>
      <c r="AA656" s="37" t="s">
        <v>3626</v>
      </c>
      <c r="AB656" s="38" t="s">
        <v>3627</v>
      </c>
      <c r="AC656" s="37" t="s">
        <v>3633</v>
      </c>
      <c r="AD656" s="37" t="s">
        <v>3628</v>
      </c>
      <c r="AE656" s="37" t="s">
        <v>3629</v>
      </c>
      <c r="AF656" s="39" t="s">
        <v>3630</v>
      </c>
      <c r="AG656" s="37" t="s">
        <v>3631</v>
      </c>
      <c r="AH656" s="37" t="s">
        <v>3632</v>
      </c>
    </row>
    <row r="657" spans="1:34" ht="14.45" hidden="1" customHeight="1" x14ac:dyDescent="0.3">
      <c r="A657" s="6" t="s">
        <v>2312</v>
      </c>
      <c r="B657" s="7">
        <v>43935</v>
      </c>
      <c r="C657" s="6" t="s">
        <v>2311</v>
      </c>
      <c r="D657" s="6" t="s">
        <v>320</v>
      </c>
      <c r="E657" s="6" t="s">
        <v>2274</v>
      </c>
      <c r="F657" s="6" t="s">
        <v>3229</v>
      </c>
      <c r="G657" s="8">
        <v>1.39998</v>
      </c>
      <c r="H657" s="8">
        <v>8.8627830000000003</v>
      </c>
      <c r="I657" s="14" t="s">
        <v>2477</v>
      </c>
      <c r="J657" s="6" t="s">
        <v>2459</v>
      </c>
      <c r="K657" s="6" t="s">
        <v>2468</v>
      </c>
      <c r="L657" s="6" t="s">
        <v>3498</v>
      </c>
      <c r="M657" s="6"/>
      <c r="N657" s="6" t="s">
        <v>2468</v>
      </c>
      <c r="O657" s="6" t="s">
        <v>40</v>
      </c>
      <c r="P657" s="6" t="str">
        <f>VLOOKUP(Tableau1[[#This Row],[SITES NAMES]],[1]Feuil1!$1:$1048576,8,FALSE)</f>
        <v>NOK</v>
      </c>
      <c r="Q657" s="6" t="str">
        <f>VLOOKUP(Tableau1[[#This Row],[SITES NAMES]],[1]Feuil1!$1:$1048576,9,FALSE)</f>
        <v>NO</v>
      </c>
      <c r="R657" s="6" t="str">
        <f>VLOOKUP(Tableau1[[#This Row],[SITES NAMES]],[1]Feuil1!$1:$1048576,10,FALSE)</f>
        <v>YES</v>
      </c>
      <c r="S657" s="6" t="s">
        <v>2469</v>
      </c>
      <c r="T657" s="6" t="s">
        <v>2470</v>
      </c>
      <c r="U657" s="6" t="s">
        <v>2480</v>
      </c>
      <c r="V657" s="6" t="s">
        <v>2472</v>
      </c>
      <c r="W657" s="6" t="s">
        <v>2473</v>
      </c>
      <c r="X657" s="8" t="s">
        <v>3193</v>
      </c>
      <c r="Y657" s="6" t="s">
        <v>3238</v>
      </c>
      <c r="Z657" s="6" t="s">
        <v>3254</v>
      </c>
      <c r="AA657" s="37" t="s">
        <v>3678</v>
      </c>
      <c r="AB657" s="39" t="s">
        <v>3665</v>
      </c>
      <c r="AC657" s="37" t="s">
        <v>3679</v>
      </c>
      <c r="AD657" s="37" t="s">
        <v>3678</v>
      </c>
      <c r="AE657" s="37" t="s">
        <v>3680</v>
      </c>
      <c r="AF657" s="39" t="s">
        <v>3676</v>
      </c>
      <c r="AG657" s="37" t="s">
        <v>3670</v>
      </c>
      <c r="AH657" s="37" t="s">
        <v>3681</v>
      </c>
    </row>
    <row r="658" spans="1:34" ht="14.45" hidden="1" customHeight="1" x14ac:dyDescent="0.25">
      <c r="A658" s="6" t="s">
        <v>1542</v>
      </c>
      <c r="B658" s="7">
        <v>43124</v>
      </c>
      <c r="C658" s="6" t="s">
        <v>1541</v>
      </c>
      <c r="D658" s="6" t="s">
        <v>66</v>
      </c>
      <c r="E658" s="6" t="s">
        <v>3233</v>
      </c>
      <c r="F658" s="6" t="s">
        <v>3229</v>
      </c>
      <c r="G658" s="8">
        <v>1.219791667</v>
      </c>
      <c r="H658" s="8">
        <v>6.2189472219999997</v>
      </c>
      <c r="I658" s="19" t="s">
        <v>2497</v>
      </c>
      <c r="J658" s="6" t="s">
        <v>2459</v>
      </c>
      <c r="K658" s="6" t="s">
        <v>2468</v>
      </c>
      <c r="L658" s="6" t="s">
        <v>3499</v>
      </c>
      <c r="M658" s="6"/>
      <c r="N658" s="6" t="s">
        <v>2468</v>
      </c>
      <c r="O658" s="6" t="s">
        <v>1206</v>
      </c>
      <c r="P658" s="6"/>
      <c r="Q658" s="6" t="str">
        <f>VLOOKUP(Tableau1[[#This Row],[SITES NAMES]],[1]Feuil1!$1:$1048576,9,FALSE)</f>
        <v>NO</v>
      </c>
      <c r="R658" s="6" t="str">
        <f>VLOOKUP(Tableau1[[#This Row],[SITES NAMES]],[1]Feuil1!$1:$1048576,10,FALSE)</f>
        <v>NO</v>
      </c>
      <c r="S658" s="6" t="s">
        <v>2469</v>
      </c>
      <c r="T658" s="6" t="s">
        <v>2470</v>
      </c>
      <c r="U658" s="6" t="s">
        <v>2480</v>
      </c>
      <c r="V658" s="6" t="s">
        <v>2472</v>
      </c>
      <c r="W658" s="6" t="s">
        <v>2476</v>
      </c>
      <c r="X658" s="8"/>
      <c r="Y658" s="6" t="s">
        <v>3238</v>
      </c>
      <c r="Z658" s="6" t="s">
        <v>3264</v>
      </c>
      <c r="AA658" s="35" t="s">
        <v>3616</v>
      </c>
      <c r="AB658" s="35" t="s">
        <v>3608</v>
      </c>
      <c r="AC658" s="35" t="s">
        <v>3617</v>
      </c>
      <c r="AD658" s="35" t="s">
        <v>3610</v>
      </c>
      <c r="AE658" s="35" t="s">
        <v>3610</v>
      </c>
      <c r="AF658" s="35" t="s">
        <v>3611</v>
      </c>
      <c r="AG658" s="35" t="s">
        <v>3612</v>
      </c>
      <c r="AH658" s="35" t="s">
        <v>3618</v>
      </c>
    </row>
    <row r="659" spans="1:34" ht="14.45" hidden="1" customHeight="1" x14ac:dyDescent="0.3">
      <c r="A659" s="6" t="s">
        <v>265</v>
      </c>
      <c r="B659" s="7">
        <v>0</v>
      </c>
      <c r="C659" s="6" t="s">
        <v>264</v>
      </c>
      <c r="D659" s="6" t="s">
        <v>132</v>
      </c>
      <c r="E659" s="6" t="s">
        <v>251</v>
      </c>
      <c r="F659" s="6" t="s">
        <v>3229</v>
      </c>
      <c r="G659" s="8">
        <v>0.76388999999999996</v>
      </c>
      <c r="H659" s="8">
        <v>7.6001099999999999</v>
      </c>
      <c r="I659" s="6" t="s">
        <v>2477</v>
      </c>
      <c r="J659" s="6" t="s">
        <v>2459</v>
      </c>
      <c r="K659" s="6" t="s">
        <v>2460</v>
      </c>
      <c r="L659" s="6"/>
      <c r="M659" s="6"/>
      <c r="N659" s="6" t="s">
        <v>3268</v>
      </c>
      <c r="O659" s="6" t="s">
        <v>40</v>
      </c>
      <c r="P659" s="6" t="str">
        <f>VLOOKUP(Tableau1[[#This Row],[SITES NAMES]],[1]Feuil1!$1:$1048576,8,FALSE)</f>
        <v>NOK</v>
      </c>
      <c r="Q659" s="6" t="str">
        <f>VLOOKUP(Tableau1[[#This Row],[SITES NAMES]],[1]Feuil1!$1:$1048576,9,FALSE)</f>
        <v>NO</v>
      </c>
      <c r="R659" s="6" t="str">
        <f>VLOOKUP(Tableau1[[#This Row],[SITES NAMES]],[1]Feuil1!$1:$1048576,10,FALSE)</f>
        <v>YES</v>
      </c>
      <c r="S659" s="6" t="s">
        <v>2469</v>
      </c>
      <c r="T659" s="6" t="s">
        <v>2470</v>
      </c>
      <c r="U659" s="6" t="s">
        <v>2471</v>
      </c>
      <c r="V659" s="6" t="s">
        <v>2472</v>
      </c>
      <c r="W659" s="6" t="s">
        <v>2473</v>
      </c>
      <c r="X659" s="8" t="s">
        <v>2573</v>
      </c>
      <c r="Y659" s="6" t="s">
        <v>3238</v>
      </c>
      <c r="Z659" s="6" t="s">
        <v>3256</v>
      </c>
      <c r="AA659" s="37" t="s">
        <v>3651</v>
      </c>
      <c r="AB659" s="39" t="s">
        <v>3644</v>
      </c>
      <c r="AC659" s="45" t="s">
        <v>3652</v>
      </c>
      <c r="AD659" s="39" t="s">
        <v>3646</v>
      </c>
      <c r="AE659" s="37" t="s">
        <v>3653</v>
      </c>
      <c r="AF659" s="37" t="s">
        <v>3654</v>
      </c>
      <c r="AG659" s="37" t="s">
        <v>3649</v>
      </c>
      <c r="AH659" s="37" t="s">
        <v>3655</v>
      </c>
    </row>
    <row r="660" spans="1:34" ht="14.45" hidden="1" customHeight="1" x14ac:dyDescent="0.25">
      <c r="A660" s="6" t="s">
        <v>1712</v>
      </c>
      <c r="B660" s="7">
        <v>0</v>
      </c>
      <c r="C660" s="6" t="s">
        <v>1711</v>
      </c>
      <c r="D660" s="6" t="s">
        <v>66</v>
      </c>
      <c r="E660" s="6" t="s">
        <v>3234</v>
      </c>
      <c r="F660" s="18" t="s">
        <v>3230</v>
      </c>
      <c r="G660" s="8">
        <v>1.1404700000000001</v>
      </c>
      <c r="H660" s="8">
        <v>6.2125700000000004</v>
      </c>
      <c r="I660" s="14" t="s">
        <v>2486</v>
      </c>
      <c r="J660" s="6" t="s">
        <v>2459</v>
      </c>
      <c r="K660" s="6" t="s">
        <v>2460</v>
      </c>
      <c r="L660" s="6"/>
      <c r="M660" s="6"/>
      <c r="N660" s="6" t="s">
        <v>3268</v>
      </c>
      <c r="O660" s="6" t="s">
        <v>7</v>
      </c>
      <c r="P660" s="6" t="str">
        <f>VLOOKUP(Tableau1[[#This Row],[SITES NAMES]],[1]Feuil1!$1:$1048576,8,FALSE)</f>
        <v>OK</v>
      </c>
      <c r="Q660" s="6" t="str">
        <f>VLOOKUP(Tableau1[[#This Row],[SITES NAMES]],[1]Feuil1!$1:$1048576,9,FALSE)</f>
        <v>NO</v>
      </c>
      <c r="R660" s="6" t="str">
        <f>VLOOKUP(Tableau1[[#This Row],[SITES NAMES]],[1]Feuil1!$1:$1048576,10,FALSE)</f>
        <v>NO</v>
      </c>
      <c r="S660" s="6" t="s">
        <v>2469</v>
      </c>
      <c r="T660" s="6" t="s">
        <v>2470</v>
      </c>
      <c r="U660" s="6" t="s">
        <v>2471</v>
      </c>
      <c r="V660" s="6" t="s">
        <v>2478</v>
      </c>
      <c r="W660" s="6" t="s">
        <v>2476</v>
      </c>
      <c r="X660" s="8" t="s">
        <v>3006</v>
      </c>
      <c r="Y660" s="6" t="s">
        <v>3238</v>
      </c>
      <c r="Z660" s="6" t="s">
        <v>3265</v>
      </c>
      <c r="AA660" s="35" t="s">
        <v>3607</v>
      </c>
      <c r="AB660" s="35" t="s">
        <v>3608</v>
      </c>
      <c r="AC660" s="35" t="s">
        <v>3614</v>
      </c>
      <c r="AD660" s="35" t="s">
        <v>3610</v>
      </c>
      <c r="AE660" s="35" t="s">
        <v>3610</v>
      </c>
      <c r="AF660" s="35" t="s">
        <v>3611</v>
      </c>
      <c r="AG660" s="35" t="s">
        <v>3612</v>
      </c>
      <c r="AH660" s="35" t="s">
        <v>3615</v>
      </c>
    </row>
    <row r="661" spans="1:34" ht="14.45" hidden="1" customHeight="1" x14ac:dyDescent="0.25">
      <c r="A661" s="6" t="s">
        <v>1783</v>
      </c>
      <c r="B661" s="7">
        <v>44607</v>
      </c>
      <c r="C661" s="6" t="s">
        <v>1782</v>
      </c>
      <c r="D661" s="6" t="s">
        <v>66</v>
      </c>
      <c r="E661" s="6" t="s">
        <v>3234</v>
      </c>
      <c r="F661" s="6" t="s">
        <v>3229</v>
      </c>
      <c r="G661" s="8">
        <v>1.1515599999999999</v>
      </c>
      <c r="H661" s="8">
        <v>6.2197199999999997</v>
      </c>
      <c r="I661" s="14" t="s">
        <v>2497</v>
      </c>
      <c r="J661" s="6" t="s">
        <v>2459</v>
      </c>
      <c r="K661" s="6" t="s">
        <v>2460</v>
      </c>
      <c r="L661" s="6"/>
      <c r="M661" s="6"/>
      <c r="N661" s="6" t="s">
        <v>3268</v>
      </c>
      <c r="O661" s="6" t="s">
        <v>7</v>
      </c>
      <c r="P661" s="6" t="str">
        <f>VLOOKUP(Tableau1[[#This Row],[SITES NAMES]],[1]Feuil1!$1:$1048576,8,FALSE)</f>
        <v>OK</v>
      </c>
      <c r="Q661" s="6" t="str">
        <f>VLOOKUP(Tableau1[[#This Row],[SITES NAMES]],[1]Feuil1!$1:$1048576,9,FALSE)</f>
        <v>NO</v>
      </c>
      <c r="R661" s="6" t="str">
        <f>VLOOKUP(Tableau1[[#This Row],[SITES NAMES]],[1]Feuil1!$1:$1048576,10,FALSE)</f>
        <v>YES</v>
      </c>
      <c r="S661" s="6" t="s">
        <v>2461</v>
      </c>
      <c r="T661" s="6" t="s">
        <v>2462</v>
      </c>
      <c r="U661" s="6" t="s">
        <v>2463</v>
      </c>
      <c r="V661" s="6" t="s">
        <v>2478</v>
      </c>
      <c r="W661" s="6" t="s">
        <v>2465</v>
      </c>
      <c r="X661" s="8" t="s">
        <v>3024</v>
      </c>
      <c r="Y661" s="6" t="s">
        <v>3238</v>
      </c>
      <c r="Z661" s="6" t="s">
        <v>3265</v>
      </c>
      <c r="AA661" s="35" t="s">
        <v>3607</v>
      </c>
      <c r="AB661" s="35" t="s">
        <v>3608</v>
      </c>
      <c r="AC661" s="35" t="s">
        <v>3614</v>
      </c>
      <c r="AD661" s="35" t="s">
        <v>3610</v>
      </c>
      <c r="AE661" s="35" t="s">
        <v>3610</v>
      </c>
      <c r="AF661" s="35" t="s">
        <v>3611</v>
      </c>
      <c r="AG661" s="35" t="s">
        <v>3612</v>
      </c>
      <c r="AH661" s="35" t="s">
        <v>3615</v>
      </c>
    </row>
    <row r="662" spans="1:34" ht="14.45" hidden="1" customHeight="1" x14ac:dyDescent="0.25">
      <c r="A662" s="6" t="s">
        <v>1785</v>
      </c>
      <c r="B662" s="7">
        <v>44702</v>
      </c>
      <c r="C662" s="6" t="s">
        <v>1784</v>
      </c>
      <c r="D662" s="6" t="s">
        <v>66</v>
      </c>
      <c r="E662" s="6" t="s">
        <v>3234</v>
      </c>
      <c r="F662" s="6" t="s">
        <v>3229</v>
      </c>
      <c r="G662" s="8">
        <v>1.0994409999999999</v>
      </c>
      <c r="H662" s="8">
        <v>6.2101430000000004</v>
      </c>
      <c r="I662" s="6" t="s">
        <v>2497</v>
      </c>
      <c r="J662" s="6" t="s">
        <v>2459</v>
      </c>
      <c r="K662" s="6" t="s">
        <v>2460</v>
      </c>
      <c r="L662" s="6"/>
      <c r="M662" s="6"/>
      <c r="N662" s="6" t="s">
        <v>3268</v>
      </c>
      <c r="O662" s="6" t="s">
        <v>37</v>
      </c>
      <c r="P662" s="6" t="str">
        <f>VLOOKUP(Tableau1[[#This Row],[SITES NAMES]],[1]Feuil1!$1:$1048576,8,FALSE)</f>
        <v>OK</v>
      </c>
      <c r="Q662" s="6" t="str">
        <f>VLOOKUP(Tableau1[[#This Row],[SITES NAMES]],[1]Feuil1!$1:$1048576,9,FALSE)</f>
        <v>NO</v>
      </c>
      <c r="R662" s="6" t="str">
        <f>VLOOKUP(Tableau1[[#This Row],[SITES NAMES]],[1]Feuil1!$1:$1048576,10,FALSE)</f>
        <v>YES</v>
      </c>
      <c r="S662" s="6" t="s">
        <v>2469</v>
      </c>
      <c r="T662" s="6" t="s">
        <v>2470</v>
      </c>
      <c r="U662" s="6" t="s">
        <v>2480</v>
      </c>
      <c r="V662" s="6" t="s">
        <v>2464</v>
      </c>
      <c r="W662" s="6" t="s">
        <v>2465</v>
      </c>
      <c r="X662" s="8" t="s">
        <v>3025</v>
      </c>
      <c r="Y662" s="6" t="s">
        <v>3238</v>
      </c>
      <c r="Z662" s="6" t="s">
        <v>3265</v>
      </c>
      <c r="AA662" s="35" t="s">
        <v>3607</v>
      </c>
      <c r="AB662" s="35" t="s">
        <v>3608</v>
      </c>
      <c r="AC662" s="35" t="s">
        <v>3614</v>
      </c>
      <c r="AD662" s="35" t="s">
        <v>3610</v>
      </c>
      <c r="AE662" s="35" t="s">
        <v>3610</v>
      </c>
      <c r="AF662" s="35" t="s">
        <v>3611</v>
      </c>
      <c r="AG662" s="35" t="s">
        <v>3612</v>
      </c>
      <c r="AH662" s="35" t="s">
        <v>3615</v>
      </c>
    </row>
    <row r="663" spans="1:34" ht="14.45" hidden="1" customHeight="1" x14ac:dyDescent="0.25">
      <c r="A663" s="6" t="s">
        <v>1787</v>
      </c>
      <c r="B663" s="7">
        <v>44609</v>
      </c>
      <c r="C663" s="6" t="s">
        <v>1786</v>
      </c>
      <c r="D663" s="6" t="s">
        <v>66</v>
      </c>
      <c r="E663" s="6" t="s">
        <v>3234</v>
      </c>
      <c r="F663" s="6" t="s">
        <v>3229</v>
      </c>
      <c r="G663" s="8">
        <v>1.12192</v>
      </c>
      <c r="H663" s="8">
        <v>6.2127499999999998</v>
      </c>
      <c r="I663" s="6" t="s">
        <v>2497</v>
      </c>
      <c r="J663" s="6" t="s">
        <v>2459</v>
      </c>
      <c r="K663" s="6" t="s">
        <v>2460</v>
      </c>
      <c r="L663" s="6" t="s">
        <v>1835</v>
      </c>
      <c r="M663" s="6" t="s">
        <v>1813</v>
      </c>
      <c r="N663" s="6" t="s">
        <v>3268</v>
      </c>
      <c r="O663" s="6" t="s">
        <v>7</v>
      </c>
      <c r="P663" s="6" t="str">
        <f>VLOOKUP(Tableau1[[#This Row],[SITES NAMES]],[1]Feuil1!$1:$1048576,8,FALSE)</f>
        <v>OK</v>
      </c>
      <c r="Q663" s="6" t="str">
        <f>VLOOKUP(Tableau1[[#This Row],[SITES NAMES]],[1]Feuil1!$1:$1048576,9,FALSE)</f>
        <v>NO</v>
      </c>
      <c r="R663" s="6" t="str">
        <f>VLOOKUP(Tableau1[[#This Row],[SITES NAMES]],[1]Feuil1!$1:$1048576,10,FALSE)</f>
        <v>YES</v>
      </c>
      <c r="S663" s="6" t="s">
        <v>2469</v>
      </c>
      <c r="T663" s="6" t="s">
        <v>2470</v>
      </c>
      <c r="U663" s="6" t="s">
        <v>2471</v>
      </c>
      <c r="V663" s="6" t="s">
        <v>2464</v>
      </c>
      <c r="W663" s="6" t="s">
        <v>2465</v>
      </c>
      <c r="X663" s="8" t="s">
        <v>3026</v>
      </c>
      <c r="Y663" s="6" t="s">
        <v>3238</v>
      </c>
      <c r="Z663" s="6" t="s">
        <v>3265</v>
      </c>
      <c r="AA663" s="35" t="s">
        <v>3607</v>
      </c>
      <c r="AB663" s="35" t="s">
        <v>3608</v>
      </c>
      <c r="AC663" s="35" t="s">
        <v>3614</v>
      </c>
      <c r="AD663" s="35" t="s">
        <v>3610</v>
      </c>
      <c r="AE663" s="35" t="s">
        <v>3610</v>
      </c>
      <c r="AF663" s="35" t="s">
        <v>3611</v>
      </c>
      <c r="AG663" s="35" t="s">
        <v>3612</v>
      </c>
      <c r="AH663" s="35" t="s">
        <v>3615</v>
      </c>
    </row>
    <row r="664" spans="1:34" ht="14.45" hidden="1" customHeight="1" x14ac:dyDescent="0.25">
      <c r="A664" s="6" t="s">
        <v>1278</v>
      </c>
      <c r="B664" s="7">
        <v>0</v>
      </c>
      <c r="C664" s="6" t="s">
        <v>1277</v>
      </c>
      <c r="D664" s="6" t="s">
        <v>66</v>
      </c>
      <c r="E664" s="6" t="s">
        <v>1924</v>
      </c>
      <c r="F664" s="18" t="s">
        <v>3230</v>
      </c>
      <c r="G664" s="8">
        <v>1.20658333</v>
      </c>
      <c r="H664" s="8">
        <v>6.1734513639999999</v>
      </c>
      <c r="I664" s="6" t="s">
        <v>2497</v>
      </c>
      <c r="J664" s="6" t="s">
        <v>2459</v>
      </c>
      <c r="K664" s="6" t="s">
        <v>2460</v>
      </c>
      <c r="L664" s="6"/>
      <c r="M664" s="6"/>
      <c r="N664" s="6" t="s">
        <v>3268</v>
      </c>
      <c r="O664" s="6" t="s">
        <v>7</v>
      </c>
      <c r="P664" s="6" t="str">
        <f>VLOOKUP(Tableau1[[#This Row],[SITES NAMES]],[1]Feuil1!$1:$1048576,8,FALSE)</f>
        <v>OK</v>
      </c>
      <c r="Q664" s="6" t="str">
        <f>VLOOKUP(Tableau1[[#This Row],[SITES NAMES]],[1]Feuil1!$1:$1048576,9,FALSE)</f>
        <v>YES</v>
      </c>
      <c r="R664" s="6" t="str">
        <f>VLOOKUP(Tableau1[[#This Row],[SITES NAMES]],[1]Feuil1!$1:$1048576,10,FALSE)</f>
        <v>NO</v>
      </c>
      <c r="S664" s="6" t="s">
        <v>2469</v>
      </c>
      <c r="T664" s="6" t="s">
        <v>2470</v>
      </c>
      <c r="U664" s="6" t="s">
        <v>2471</v>
      </c>
      <c r="V664" s="6" t="s">
        <v>2464</v>
      </c>
      <c r="W664" s="6" t="s">
        <v>2476</v>
      </c>
      <c r="X664" s="8" t="s">
        <v>2918</v>
      </c>
      <c r="Y664" s="6" t="s">
        <v>3238</v>
      </c>
      <c r="Z664" s="6" t="s">
        <v>3261</v>
      </c>
      <c r="AA664" s="35" t="s">
        <v>3607</v>
      </c>
      <c r="AB664" s="35" t="s">
        <v>3608</v>
      </c>
      <c r="AC664" s="35" t="s">
        <v>3609</v>
      </c>
      <c r="AD664" s="35" t="s">
        <v>3610</v>
      </c>
      <c r="AE664" s="35" t="s">
        <v>3610</v>
      </c>
      <c r="AF664" s="35" t="s">
        <v>3611</v>
      </c>
      <c r="AG664" s="35" t="s">
        <v>3612</v>
      </c>
      <c r="AH664" s="35" t="s">
        <v>3613</v>
      </c>
    </row>
    <row r="665" spans="1:34" ht="14.45" hidden="1" customHeight="1" x14ac:dyDescent="0.25">
      <c r="A665" s="6" t="s">
        <v>1280</v>
      </c>
      <c r="B665" s="7">
        <v>0</v>
      </c>
      <c r="C665" s="6" t="s">
        <v>1279</v>
      </c>
      <c r="D665" s="6" t="s">
        <v>66</v>
      </c>
      <c r="E665" s="6" t="s">
        <v>1924</v>
      </c>
      <c r="F665" s="6" t="s">
        <v>3229</v>
      </c>
      <c r="G665" s="8">
        <v>1.205781</v>
      </c>
      <c r="H665" s="8">
        <v>6.1784889999999999</v>
      </c>
      <c r="I665" s="6" t="s">
        <v>2497</v>
      </c>
      <c r="J665" s="6" t="s">
        <v>2459</v>
      </c>
      <c r="K665" s="6" t="s">
        <v>2460</v>
      </c>
      <c r="L665" s="6"/>
      <c r="M665" s="6"/>
      <c r="N665" s="6" t="s">
        <v>3268</v>
      </c>
      <c r="O665" s="6" t="s">
        <v>7</v>
      </c>
      <c r="P665" s="6" t="str">
        <f>VLOOKUP(Tableau1[[#This Row],[SITES NAMES]],[1]Feuil1!$1:$1048576,8,FALSE)</f>
        <v>OK</v>
      </c>
      <c r="Q665" s="6" t="str">
        <f>VLOOKUP(Tableau1[[#This Row],[SITES NAMES]],[1]Feuil1!$1:$1048576,9,FALSE)</f>
        <v>NO</v>
      </c>
      <c r="R665" s="6" t="str">
        <f>VLOOKUP(Tableau1[[#This Row],[SITES NAMES]],[1]Feuil1!$1:$1048576,10,FALSE)</f>
        <v>NO</v>
      </c>
      <c r="S665" s="6" t="s">
        <v>2461</v>
      </c>
      <c r="T665" s="6" t="s">
        <v>2462</v>
      </c>
      <c r="U665" s="6" t="s">
        <v>2463</v>
      </c>
      <c r="V665" s="6" t="s">
        <v>2464</v>
      </c>
      <c r="W665" s="6" t="s">
        <v>2476</v>
      </c>
      <c r="X665" s="8"/>
      <c r="Y665" s="6" t="s">
        <v>3238</v>
      </c>
      <c r="Z665" s="6" t="s">
        <v>3261</v>
      </c>
      <c r="AA665" s="35" t="s">
        <v>3607</v>
      </c>
      <c r="AB665" s="35" t="s">
        <v>3608</v>
      </c>
      <c r="AC665" s="35" t="s">
        <v>3609</v>
      </c>
      <c r="AD665" s="35" t="s">
        <v>3610</v>
      </c>
      <c r="AE665" s="35" t="s">
        <v>3610</v>
      </c>
      <c r="AF665" s="35" t="s">
        <v>3611</v>
      </c>
      <c r="AG665" s="35" t="s">
        <v>3612</v>
      </c>
      <c r="AH665" s="35" t="s">
        <v>3613</v>
      </c>
    </row>
    <row r="666" spans="1:34" ht="14.45" hidden="1" customHeight="1" x14ac:dyDescent="0.25">
      <c r="A666" s="6" t="s">
        <v>1197</v>
      </c>
      <c r="B666" s="7">
        <v>46022</v>
      </c>
      <c r="C666" s="6" t="s">
        <v>1196</v>
      </c>
      <c r="D666" s="6" t="s">
        <v>66</v>
      </c>
      <c r="E666" s="6" t="s">
        <v>1924</v>
      </c>
      <c r="F666" s="6" t="s">
        <v>3229</v>
      </c>
      <c r="G666" s="8">
        <v>1.267539</v>
      </c>
      <c r="H666" s="8">
        <v>6.2447369999999998</v>
      </c>
      <c r="I666" s="16" t="s">
        <v>2479</v>
      </c>
      <c r="J666" s="6" t="s">
        <v>2459</v>
      </c>
      <c r="K666" s="6" t="s">
        <v>2468</v>
      </c>
      <c r="L666" s="6"/>
      <c r="M666" s="6"/>
      <c r="N666" s="6" t="s">
        <v>2468</v>
      </c>
      <c r="O666" s="6" t="s">
        <v>7</v>
      </c>
      <c r="P666" s="6"/>
      <c r="Q666" s="6"/>
      <c r="R666" s="6"/>
      <c r="S666" s="6"/>
      <c r="T666" s="6"/>
      <c r="U666" s="6"/>
      <c r="V666" s="6"/>
      <c r="W666" s="6"/>
      <c r="X666" s="8" t="s">
        <v>3250</v>
      </c>
      <c r="Y666" s="6" t="s">
        <v>3238</v>
      </c>
      <c r="Z666" s="6" t="s">
        <v>3261</v>
      </c>
      <c r="AA666" s="35" t="s">
        <v>3607</v>
      </c>
      <c r="AB666" s="35" t="s">
        <v>3608</v>
      </c>
      <c r="AC666" s="35" t="s">
        <v>3609</v>
      </c>
      <c r="AD666" s="35" t="s">
        <v>3610</v>
      </c>
      <c r="AE666" s="35" t="s">
        <v>3610</v>
      </c>
      <c r="AF666" s="35" t="s">
        <v>3611</v>
      </c>
      <c r="AG666" s="35" t="s">
        <v>3612</v>
      </c>
      <c r="AH666" s="35" t="s">
        <v>3613</v>
      </c>
    </row>
    <row r="667" spans="1:34" ht="14.45" hidden="1" customHeight="1" x14ac:dyDescent="0.3">
      <c r="A667" s="6" t="s">
        <v>1084</v>
      </c>
      <c r="B667" s="7">
        <v>45220</v>
      </c>
      <c r="C667" s="6" t="s">
        <v>1083</v>
      </c>
      <c r="D667" s="6" t="s">
        <v>5</v>
      </c>
      <c r="E667" s="6" t="s">
        <v>1003</v>
      </c>
      <c r="F667" s="6" t="s">
        <v>3229</v>
      </c>
      <c r="G667" s="8">
        <v>0.67900000000000005</v>
      </c>
      <c r="H667" s="8">
        <v>6.8288000000000002</v>
      </c>
      <c r="I667" s="6" t="s">
        <v>2477</v>
      </c>
      <c r="J667" s="6" t="s">
        <v>2459</v>
      </c>
      <c r="K667" s="6" t="s">
        <v>2468</v>
      </c>
      <c r="L667" s="6" t="s">
        <v>3340</v>
      </c>
      <c r="M667" s="6"/>
      <c r="N667" s="6" t="s">
        <v>2468</v>
      </c>
      <c r="O667" s="6" t="s">
        <v>7</v>
      </c>
      <c r="P667" s="6" t="str">
        <f>VLOOKUP(Tableau1[[#This Row],[SITES NAMES]],[1]Feuil1!$1:$1048576,8,FALSE)</f>
        <v>OK</v>
      </c>
      <c r="Q667" s="6" t="str">
        <f>VLOOKUP(Tableau1[[#This Row],[SITES NAMES]],[1]Feuil1!$1:$1048576,9,FALSE)</f>
        <v>NO</v>
      </c>
      <c r="R667" s="6" t="str">
        <f>VLOOKUP(Tableau1[[#This Row],[SITES NAMES]],[1]Feuil1!$1:$1048576,10,FALSE)</f>
        <v>NO</v>
      </c>
      <c r="S667" s="6" t="s">
        <v>2461</v>
      </c>
      <c r="T667" s="6" t="s">
        <v>2462</v>
      </c>
      <c r="U667" s="6" t="s">
        <v>2463</v>
      </c>
      <c r="V667" s="6" t="s">
        <v>2472</v>
      </c>
      <c r="W667" s="6" t="s">
        <v>2493</v>
      </c>
      <c r="X667" s="8"/>
      <c r="Y667" s="6" t="s">
        <v>3241</v>
      </c>
      <c r="Z667" s="6"/>
      <c r="AA667" s="37" t="s">
        <v>3634</v>
      </c>
      <c r="AB667" s="38" t="s">
        <v>3627</v>
      </c>
      <c r="AC667" s="37" t="s">
        <v>3635</v>
      </c>
      <c r="AD667" s="37" t="s">
        <v>3636</v>
      </c>
      <c r="AE667" s="37" t="s">
        <v>3637</v>
      </c>
      <c r="AF667" s="37" t="s">
        <v>3636</v>
      </c>
      <c r="AG667" s="37" t="s">
        <v>3638</v>
      </c>
      <c r="AH667" s="37" t="s">
        <v>3639</v>
      </c>
    </row>
    <row r="668" spans="1:34" ht="14.45" hidden="1" customHeight="1" x14ac:dyDescent="0.3">
      <c r="A668" s="6" t="s">
        <v>717</v>
      </c>
      <c r="B668" s="7">
        <v>44076</v>
      </c>
      <c r="C668" s="6" t="s">
        <v>716</v>
      </c>
      <c r="D668" s="6" t="s">
        <v>657</v>
      </c>
      <c r="E668" s="6" t="s">
        <v>658</v>
      </c>
      <c r="F668" s="6" t="s">
        <v>3229</v>
      </c>
      <c r="G668" s="8">
        <v>0.31767800000000002</v>
      </c>
      <c r="H668" s="8">
        <v>9.4964630000000003</v>
      </c>
      <c r="I668" s="6" t="s">
        <v>2477</v>
      </c>
      <c r="J668" s="6" t="s">
        <v>2459</v>
      </c>
      <c r="K668" s="6" t="s">
        <v>2468</v>
      </c>
      <c r="L668" s="6" t="s">
        <v>3500</v>
      </c>
      <c r="M668" s="6"/>
      <c r="N668" s="6" t="s">
        <v>2468</v>
      </c>
      <c r="O668" s="6" t="s">
        <v>40</v>
      </c>
      <c r="P668" s="6" t="str">
        <f>VLOOKUP(Tableau1[[#This Row],[SITES NAMES]],[1]Feuil1!$1:$1048576,8,FALSE)</f>
        <v>OK</v>
      </c>
      <c r="Q668" s="6" t="str">
        <f>VLOOKUP(Tableau1[[#This Row],[SITES NAMES]],[1]Feuil1!$1:$1048576,9,FALSE)</f>
        <v>NO</v>
      </c>
      <c r="R668" s="6" t="str">
        <f>VLOOKUP(Tableau1[[#This Row],[SITES NAMES]],[1]Feuil1!$1:$1048576,10,FALSE)</f>
        <v>NO</v>
      </c>
      <c r="S668" s="6" t="s">
        <v>2469</v>
      </c>
      <c r="T668" s="6" t="s">
        <v>2470</v>
      </c>
      <c r="U668" s="6" t="s">
        <v>2463</v>
      </c>
      <c r="V668" s="6" t="s">
        <v>2472</v>
      </c>
      <c r="W668" s="6" t="s">
        <v>2473</v>
      </c>
      <c r="X668" s="8" t="s">
        <v>2734</v>
      </c>
      <c r="Y668" s="6" t="s">
        <v>3239</v>
      </c>
      <c r="Z668" s="6" t="s">
        <v>3253</v>
      </c>
      <c r="AA668" s="38" t="s">
        <v>3682</v>
      </c>
      <c r="AB668" s="38" t="s">
        <v>3683</v>
      </c>
      <c r="AC668" s="38" t="s">
        <v>3684</v>
      </c>
      <c r="AD668" s="38" t="s">
        <v>3682</v>
      </c>
      <c r="AE668" s="38" t="s">
        <v>3682</v>
      </c>
      <c r="AF668" s="38" t="s">
        <v>3682</v>
      </c>
      <c r="AG668" s="40" t="s">
        <v>3685</v>
      </c>
      <c r="AH668" s="37" t="s">
        <v>3686</v>
      </c>
    </row>
    <row r="669" spans="1:34" ht="14.45" hidden="1" customHeight="1" x14ac:dyDescent="0.3">
      <c r="A669" s="6" t="s">
        <v>2405</v>
      </c>
      <c r="B669" s="7">
        <v>44861</v>
      </c>
      <c r="C669" s="6" t="s">
        <v>2404</v>
      </c>
      <c r="D669" s="6" t="s">
        <v>5</v>
      </c>
      <c r="E669" s="6" t="s">
        <v>2333</v>
      </c>
      <c r="F669" s="6" t="s">
        <v>3229</v>
      </c>
      <c r="G669" s="8">
        <v>1.00173</v>
      </c>
      <c r="H669" s="8">
        <v>6.7198900000000004</v>
      </c>
      <c r="I669" s="6" t="s">
        <v>2477</v>
      </c>
      <c r="J669" s="6" t="s">
        <v>2459</v>
      </c>
      <c r="K669" s="6" t="s">
        <v>2468</v>
      </c>
      <c r="L669" s="6" t="s">
        <v>3501</v>
      </c>
      <c r="M669" s="6"/>
      <c r="N669" s="6" t="s">
        <v>2468</v>
      </c>
      <c r="O669" s="6" t="s">
        <v>37</v>
      </c>
      <c r="P669" s="6" t="str">
        <f>VLOOKUP(Tableau1[[#This Row],[SITES NAMES]],[1]Feuil1!$1:$1048576,8,FALSE)</f>
        <v>OK</v>
      </c>
      <c r="Q669" s="6" t="str">
        <f>VLOOKUP(Tableau1[[#This Row],[SITES NAMES]],[1]Feuil1!$1:$1048576,9,FALSE)</f>
        <v>NO</v>
      </c>
      <c r="R669" s="6" t="str">
        <f>VLOOKUP(Tableau1[[#This Row],[SITES NAMES]],[1]Feuil1!$1:$1048576,10,FALSE)</f>
        <v>YES</v>
      </c>
      <c r="S669" s="6" t="s">
        <v>2469</v>
      </c>
      <c r="T669" s="6" t="s">
        <v>2470</v>
      </c>
      <c r="U669" s="6" t="s">
        <v>2480</v>
      </c>
      <c r="V669" s="6" t="s">
        <v>2472</v>
      </c>
      <c r="W669" s="6" t="s">
        <v>2473</v>
      </c>
      <c r="X669" s="8"/>
      <c r="Y669" s="6" t="s">
        <v>3241</v>
      </c>
      <c r="Z669" s="6"/>
      <c r="AA669" s="37"/>
      <c r="AB669" s="38" t="s">
        <v>3627</v>
      </c>
      <c r="AC669" s="37" t="s">
        <v>3640</v>
      </c>
      <c r="AD669" s="39" t="s">
        <v>3641</v>
      </c>
      <c r="AE669" s="37"/>
      <c r="AF669" s="39" t="s">
        <v>3641</v>
      </c>
      <c r="AG669" s="37"/>
      <c r="AH669" s="37" t="s">
        <v>3642</v>
      </c>
    </row>
    <row r="670" spans="1:34" ht="14.45" hidden="1" customHeight="1" x14ac:dyDescent="0.25">
      <c r="A670" s="6" t="s">
        <v>1912</v>
      </c>
      <c r="B670" s="7">
        <v>0</v>
      </c>
      <c r="C670" s="6" t="s">
        <v>1911</v>
      </c>
      <c r="D670" s="6" t="s">
        <v>66</v>
      </c>
      <c r="E670" s="6" t="s">
        <v>3232</v>
      </c>
      <c r="F670" s="18" t="s">
        <v>3230</v>
      </c>
      <c r="G670" s="8">
        <v>1.2038120000000001</v>
      </c>
      <c r="H670" s="8">
        <v>6.1195257930000002</v>
      </c>
      <c r="I670" s="6" t="s">
        <v>2497</v>
      </c>
      <c r="J670" s="6" t="s">
        <v>2459</v>
      </c>
      <c r="K670" s="6" t="s">
        <v>2460</v>
      </c>
      <c r="L670" s="6"/>
      <c r="M670" s="6"/>
      <c r="N670" s="6" t="s">
        <v>3268</v>
      </c>
      <c r="O670" s="6" t="s">
        <v>7</v>
      </c>
      <c r="P670" s="6" t="str">
        <f>VLOOKUP(Tableau1[[#This Row],[SITES NAMES]],[1]Feuil1!$1:$1048576,8,FALSE)</f>
        <v>OK</v>
      </c>
      <c r="Q670" s="6" t="str">
        <f>VLOOKUP(Tableau1[[#This Row],[SITES NAMES]],[1]Feuil1!$1:$1048576,9,FALSE)</f>
        <v>YES</v>
      </c>
      <c r="R670" s="6" t="str">
        <f>VLOOKUP(Tableau1[[#This Row],[SITES NAMES]],[1]Feuil1!$1:$1048576,10,FALSE)</f>
        <v>NO</v>
      </c>
      <c r="S670" s="6" t="s">
        <v>2469</v>
      </c>
      <c r="T670" s="6" t="s">
        <v>2470</v>
      </c>
      <c r="U670" s="6" t="s">
        <v>2480</v>
      </c>
      <c r="V670" s="6" t="s">
        <v>2478</v>
      </c>
      <c r="W670" s="6" t="s">
        <v>2476</v>
      </c>
      <c r="X670" s="8" t="s">
        <v>3049</v>
      </c>
      <c r="Y670" s="6" t="s">
        <v>3238</v>
      </c>
      <c r="Z670" s="6" t="s">
        <v>3262</v>
      </c>
      <c r="AA670" s="35" t="s">
        <v>3621</v>
      </c>
      <c r="AB670" s="35" t="s">
        <v>3608</v>
      </c>
      <c r="AC670" s="35" t="s">
        <v>3624</v>
      </c>
      <c r="AD670" s="35" t="s">
        <v>3610</v>
      </c>
      <c r="AE670" s="35" t="s">
        <v>3610</v>
      </c>
      <c r="AF670" s="35" t="s">
        <v>3611</v>
      </c>
      <c r="AG670" s="35" t="s">
        <v>3612</v>
      </c>
      <c r="AH670" s="35" t="s">
        <v>3625</v>
      </c>
    </row>
    <row r="671" spans="1:34" ht="14.45" hidden="1" customHeight="1" x14ac:dyDescent="0.25">
      <c r="A671" s="6" t="s">
        <v>1914</v>
      </c>
      <c r="B671" s="7">
        <v>0</v>
      </c>
      <c r="C671" s="6" t="s">
        <v>1913</v>
      </c>
      <c r="D671" s="6" t="s">
        <v>66</v>
      </c>
      <c r="E671" s="6" t="s">
        <v>3232</v>
      </c>
      <c r="F671" s="6" t="s">
        <v>3229</v>
      </c>
      <c r="G671" s="8">
        <v>1.203498</v>
      </c>
      <c r="H671" s="8">
        <v>6.1404820439999996</v>
      </c>
      <c r="I671" s="6" t="s">
        <v>2497</v>
      </c>
      <c r="J671" s="6" t="s">
        <v>2459</v>
      </c>
      <c r="K671" s="6" t="s">
        <v>2460</v>
      </c>
      <c r="L671" s="6"/>
      <c r="M671" s="6"/>
      <c r="N671" s="6" t="s">
        <v>3268</v>
      </c>
      <c r="O671" s="6" t="s">
        <v>7</v>
      </c>
      <c r="P671" s="6" t="str">
        <f>VLOOKUP(Tableau1[[#This Row],[SITES NAMES]],[1]Feuil1!$1:$1048576,8,FALSE)</f>
        <v>OK</v>
      </c>
      <c r="Q671" s="6" t="str">
        <f>VLOOKUP(Tableau1[[#This Row],[SITES NAMES]],[1]Feuil1!$1:$1048576,9,FALSE)</f>
        <v>NO</v>
      </c>
      <c r="R671" s="6" t="str">
        <f>VLOOKUP(Tableau1[[#This Row],[SITES NAMES]],[1]Feuil1!$1:$1048576,10,FALSE)</f>
        <v>YES</v>
      </c>
      <c r="S671" s="6" t="s">
        <v>2469</v>
      </c>
      <c r="T671" s="6" t="s">
        <v>2470</v>
      </c>
      <c r="U671" s="6" t="s">
        <v>2480</v>
      </c>
      <c r="V671" s="6" t="s">
        <v>2464</v>
      </c>
      <c r="W671" s="6" t="s">
        <v>2476</v>
      </c>
      <c r="X671" s="8" t="s">
        <v>3050</v>
      </c>
      <c r="Y671" s="6" t="s">
        <v>3238</v>
      </c>
      <c r="Z671" s="6" t="s">
        <v>3262</v>
      </c>
      <c r="AA671" s="35" t="s">
        <v>3621</v>
      </c>
      <c r="AB671" s="35" t="s">
        <v>3608</v>
      </c>
      <c r="AC671" s="35" t="s">
        <v>3624</v>
      </c>
      <c r="AD671" s="35" t="s">
        <v>3610</v>
      </c>
      <c r="AE671" s="35" t="s">
        <v>3610</v>
      </c>
      <c r="AF671" s="35" t="s">
        <v>3611</v>
      </c>
      <c r="AG671" s="35" t="s">
        <v>3612</v>
      </c>
      <c r="AH671" s="35" t="s">
        <v>3625</v>
      </c>
    </row>
    <row r="672" spans="1:34" ht="14.45" hidden="1" customHeight="1" x14ac:dyDescent="0.25">
      <c r="A672" s="6" t="s">
        <v>1916</v>
      </c>
      <c r="B672" s="7">
        <v>0</v>
      </c>
      <c r="C672" s="6" t="s">
        <v>1915</v>
      </c>
      <c r="D672" s="6" t="s">
        <v>66</v>
      </c>
      <c r="E672" s="6" t="s">
        <v>3232</v>
      </c>
      <c r="F672" s="6" t="s">
        <v>3229</v>
      </c>
      <c r="G672" s="8">
        <v>1.203703</v>
      </c>
      <c r="H672" s="8">
        <v>6.1443310000000002</v>
      </c>
      <c r="I672" s="6" t="s">
        <v>2497</v>
      </c>
      <c r="J672" s="6" t="s">
        <v>2459</v>
      </c>
      <c r="K672" s="6" t="s">
        <v>2460</v>
      </c>
      <c r="L672" s="6"/>
      <c r="M672" s="6"/>
      <c r="N672" s="6" t="s">
        <v>3268</v>
      </c>
      <c r="O672" s="6" t="s">
        <v>7</v>
      </c>
      <c r="P672" s="6" t="str">
        <f>VLOOKUP(Tableau1[[#This Row],[SITES NAMES]],[1]Feuil1!$1:$1048576,8,FALSE)</f>
        <v>OK</v>
      </c>
      <c r="Q672" s="6" t="str">
        <f>VLOOKUP(Tableau1[[#This Row],[SITES NAMES]],[1]Feuil1!$1:$1048576,9,FALSE)</f>
        <v>NO</v>
      </c>
      <c r="R672" s="6" t="str">
        <f>VLOOKUP(Tableau1[[#This Row],[SITES NAMES]],[1]Feuil1!$1:$1048576,10,FALSE)</f>
        <v>YES</v>
      </c>
      <c r="S672" s="6" t="s">
        <v>2469</v>
      </c>
      <c r="T672" s="6" t="s">
        <v>2470</v>
      </c>
      <c r="U672" s="6" t="s">
        <v>2480</v>
      </c>
      <c r="V672" s="6" t="s">
        <v>2478</v>
      </c>
      <c r="W672" s="6" t="s">
        <v>2476</v>
      </c>
      <c r="X672" s="8" t="s">
        <v>3051</v>
      </c>
      <c r="Y672" s="6" t="s">
        <v>3238</v>
      </c>
      <c r="Z672" s="6" t="s">
        <v>3262</v>
      </c>
      <c r="AA672" s="35" t="s">
        <v>3621</v>
      </c>
      <c r="AB672" s="35" t="s">
        <v>3608</v>
      </c>
      <c r="AC672" s="35" t="s">
        <v>3624</v>
      </c>
      <c r="AD672" s="35" t="s">
        <v>3610</v>
      </c>
      <c r="AE672" s="35" t="s">
        <v>3610</v>
      </c>
      <c r="AF672" s="35" t="s">
        <v>3611</v>
      </c>
      <c r="AG672" s="35" t="s">
        <v>3612</v>
      </c>
      <c r="AH672" s="35" t="s">
        <v>3625</v>
      </c>
    </row>
    <row r="673" spans="1:34" ht="14.45" hidden="1" customHeight="1" x14ac:dyDescent="0.25">
      <c r="A673" s="6" t="s">
        <v>1664</v>
      </c>
      <c r="B673" s="7">
        <v>45199</v>
      </c>
      <c r="C673" s="6" t="s">
        <v>1663</v>
      </c>
      <c r="D673" s="6" t="s">
        <v>66</v>
      </c>
      <c r="E673" s="6" t="s">
        <v>3236</v>
      </c>
      <c r="F673" s="6" t="s">
        <v>3229</v>
      </c>
      <c r="G673" s="8">
        <v>1.134388</v>
      </c>
      <c r="H673" s="8">
        <v>6.2686229999999998</v>
      </c>
      <c r="I673" s="6" t="s">
        <v>2482</v>
      </c>
      <c r="J673" s="6" t="s">
        <v>2459</v>
      </c>
      <c r="K673" s="6" t="s">
        <v>2460</v>
      </c>
      <c r="L673" s="6" t="s">
        <v>3502</v>
      </c>
      <c r="M673" s="6"/>
      <c r="N673" s="6" t="s">
        <v>3268</v>
      </c>
      <c r="O673" s="6" t="s">
        <v>7</v>
      </c>
      <c r="P673" s="6" t="str">
        <f>VLOOKUP(Tableau1[[#This Row],[SITES NAMES]],[1]Feuil1!$1:$1048576,8,FALSE)</f>
        <v>OK</v>
      </c>
      <c r="Q673" s="6" t="str">
        <f>VLOOKUP(Tableau1[[#This Row],[SITES NAMES]],[1]Feuil1!$1:$1048576,9,FALSE)</f>
        <v>NO</v>
      </c>
      <c r="R673" s="6" t="str">
        <f>VLOOKUP(Tableau1[[#This Row],[SITES NAMES]],[1]Feuil1!$1:$1048576,10,FALSE)</f>
        <v>NO</v>
      </c>
      <c r="S673" s="6" t="s">
        <v>2469</v>
      </c>
      <c r="T673" s="6" t="s">
        <v>2470</v>
      </c>
      <c r="U673" s="6" t="s">
        <v>2480</v>
      </c>
      <c r="V673" s="6" t="s">
        <v>2464</v>
      </c>
      <c r="W673" s="6" t="s">
        <v>2974</v>
      </c>
      <c r="X673" s="8" t="s">
        <v>3251</v>
      </c>
      <c r="Y673" s="6" t="s">
        <v>3238</v>
      </c>
      <c r="Z673" s="6" t="s">
        <v>3263</v>
      </c>
      <c r="AA673" s="35" t="s">
        <v>3616</v>
      </c>
      <c r="AB673" s="35" t="s">
        <v>3608</v>
      </c>
      <c r="AC673" s="35" t="s">
        <v>3619</v>
      </c>
      <c r="AD673" s="35" t="s">
        <v>3610</v>
      </c>
      <c r="AE673" s="35" t="s">
        <v>3610</v>
      </c>
      <c r="AF673" s="35" t="s">
        <v>3611</v>
      </c>
      <c r="AG673" s="35" t="s">
        <v>3612</v>
      </c>
      <c r="AH673" s="35" t="s">
        <v>3620</v>
      </c>
    </row>
    <row r="674" spans="1:34" ht="14.45" hidden="1" customHeight="1" x14ac:dyDescent="0.25">
      <c r="A674" s="6" t="s">
        <v>1789</v>
      </c>
      <c r="B674" s="7">
        <v>0</v>
      </c>
      <c r="C674" s="6" t="s">
        <v>1788</v>
      </c>
      <c r="D674" s="6" t="s">
        <v>66</v>
      </c>
      <c r="E674" s="6" t="s">
        <v>3234</v>
      </c>
      <c r="F674" s="6" t="s">
        <v>3229</v>
      </c>
      <c r="G674" s="8">
        <v>1.1365833329999999</v>
      </c>
      <c r="H674" s="8">
        <v>6.2243611110000003</v>
      </c>
      <c r="I674" s="6" t="s">
        <v>2486</v>
      </c>
      <c r="J674" s="6" t="s">
        <v>2459</v>
      </c>
      <c r="K674" s="6" t="s">
        <v>2460</v>
      </c>
      <c r="L674" s="6"/>
      <c r="M674" s="6"/>
      <c r="N674" s="6" t="s">
        <v>3268</v>
      </c>
      <c r="O674" s="6" t="s">
        <v>7</v>
      </c>
      <c r="P674" s="6" t="str">
        <f>VLOOKUP(Tableau1[[#This Row],[SITES NAMES]],[1]Feuil1!$1:$1048576,8,FALSE)</f>
        <v>OK</v>
      </c>
      <c r="Q674" s="6" t="str">
        <f>VLOOKUP(Tableau1[[#This Row],[SITES NAMES]],[1]Feuil1!$1:$1048576,9,FALSE)</f>
        <v>NO</v>
      </c>
      <c r="R674" s="6" t="str">
        <f>VLOOKUP(Tableau1[[#This Row],[SITES NAMES]],[1]Feuil1!$1:$1048576,10,FALSE)</f>
        <v>YES</v>
      </c>
      <c r="S674" s="6" t="s">
        <v>2630</v>
      </c>
      <c r="T674" s="6" t="s">
        <v>2631</v>
      </c>
      <c r="U674" s="6" t="s">
        <v>2632</v>
      </c>
      <c r="V674" s="6" t="s">
        <v>2464</v>
      </c>
      <c r="W674" s="6" t="s">
        <v>2476</v>
      </c>
      <c r="X674" s="8" t="s">
        <v>3027</v>
      </c>
      <c r="Y674" s="6" t="s">
        <v>3238</v>
      </c>
      <c r="Z674" s="6" t="s">
        <v>3265</v>
      </c>
      <c r="AA674" s="35" t="s">
        <v>3607</v>
      </c>
      <c r="AB674" s="35" t="s">
        <v>3608</v>
      </c>
      <c r="AC674" s="35" t="s">
        <v>3614</v>
      </c>
      <c r="AD674" s="35" t="s">
        <v>3610</v>
      </c>
      <c r="AE674" s="35" t="s">
        <v>3610</v>
      </c>
      <c r="AF674" s="35" t="s">
        <v>3611</v>
      </c>
      <c r="AG674" s="35" t="s">
        <v>3612</v>
      </c>
      <c r="AH674" s="35" t="s">
        <v>3615</v>
      </c>
    </row>
    <row r="675" spans="1:34" ht="14.45" hidden="1" customHeight="1" x14ac:dyDescent="0.25">
      <c r="A675" s="6" t="s">
        <v>1666</v>
      </c>
      <c r="B675" s="7">
        <v>44859</v>
      </c>
      <c r="C675" s="6" t="s">
        <v>1665</v>
      </c>
      <c r="D675" s="6" t="s">
        <v>66</v>
      </c>
      <c r="E675" s="6" t="s">
        <v>3236</v>
      </c>
      <c r="F675" s="6" t="s">
        <v>3229</v>
      </c>
      <c r="G675" s="8">
        <v>1.1326099999999999</v>
      </c>
      <c r="H675" s="8">
        <v>6.22966</v>
      </c>
      <c r="I675" s="6" t="s">
        <v>2479</v>
      </c>
      <c r="J675" s="6" t="s">
        <v>2459</v>
      </c>
      <c r="K675" s="6" t="s">
        <v>2460</v>
      </c>
      <c r="L675" s="6" t="s">
        <v>1632</v>
      </c>
      <c r="M675" s="6"/>
      <c r="N675" s="6" t="s">
        <v>3268</v>
      </c>
      <c r="O675" s="6" t="s">
        <v>7</v>
      </c>
      <c r="P675" s="6" t="str">
        <f>VLOOKUP(Tableau1[[#This Row],[SITES NAMES]],[1]Feuil1!$1:$1048576,8,FALSE)</f>
        <v>OK</v>
      </c>
      <c r="Q675" s="6" t="str">
        <f>VLOOKUP(Tableau1[[#This Row],[SITES NAMES]],[1]Feuil1!$1:$1048576,9,FALSE)</f>
        <v>NO</v>
      </c>
      <c r="R675" s="6" t="str">
        <f>VLOOKUP(Tableau1[[#This Row],[SITES NAMES]],[1]Feuil1!$1:$1048576,10,FALSE)</f>
        <v>YES</v>
      </c>
      <c r="S675" s="6" t="s">
        <v>2469</v>
      </c>
      <c r="T675" s="6" t="s">
        <v>2470</v>
      </c>
      <c r="U675" s="6" t="s">
        <v>2471</v>
      </c>
      <c r="V675" s="6" t="s">
        <v>2472</v>
      </c>
      <c r="W675" s="6" t="s">
        <v>2465</v>
      </c>
      <c r="X675" s="8">
        <v>70997348</v>
      </c>
      <c r="Y675" s="6" t="s">
        <v>3238</v>
      </c>
      <c r="Z675" s="6" t="s">
        <v>3263</v>
      </c>
      <c r="AA675" s="35" t="s">
        <v>3616</v>
      </c>
      <c r="AB675" s="35" t="s">
        <v>3608</v>
      </c>
      <c r="AC675" s="35" t="s">
        <v>3619</v>
      </c>
      <c r="AD675" s="35" t="s">
        <v>3610</v>
      </c>
      <c r="AE675" s="35" t="s">
        <v>3610</v>
      </c>
      <c r="AF675" s="35" t="s">
        <v>3611</v>
      </c>
      <c r="AG675" s="35" t="s">
        <v>3612</v>
      </c>
      <c r="AH675" s="35" t="s">
        <v>3620</v>
      </c>
    </row>
    <row r="676" spans="1:34" ht="14.45" hidden="1" customHeight="1" x14ac:dyDescent="0.3">
      <c r="A676" s="6" t="s">
        <v>606</v>
      </c>
      <c r="B676" s="7">
        <v>0</v>
      </c>
      <c r="C676" s="6" t="s">
        <v>605</v>
      </c>
      <c r="D676" s="6" t="s">
        <v>132</v>
      </c>
      <c r="E676" s="6" t="s">
        <v>565</v>
      </c>
      <c r="F676" s="6" t="s">
        <v>3229</v>
      </c>
      <c r="G676" s="8">
        <v>1.29142</v>
      </c>
      <c r="H676" s="8">
        <v>7.8026</v>
      </c>
      <c r="I676" s="6" t="s">
        <v>2477</v>
      </c>
      <c r="J676" s="6" t="s">
        <v>2459</v>
      </c>
      <c r="K676" s="6" t="s">
        <v>2460</v>
      </c>
      <c r="L676" s="6" t="s">
        <v>567</v>
      </c>
      <c r="M676" s="6"/>
      <c r="N676" s="6" t="s">
        <v>3268</v>
      </c>
      <c r="O676" s="6" t="s">
        <v>40</v>
      </c>
      <c r="P676" s="6" t="str">
        <f>VLOOKUP(Tableau1[[#This Row],[SITES NAMES]],[1]Feuil1!$1:$1048576,8,FALSE)</f>
        <v>OK</v>
      </c>
      <c r="Q676" s="6" t="str">
        <f>VLOOKUP(Tableau1[[#This Row],[SITES NAMES]],[1]Feuil1!$1:$1048576,9,FALSE)</f>
        <v>NO</v>
      </c>
      <c r="R676" s="6" t="str">
        <f>VLOOKUP(Tableau1[[#This Row],[SITES NAMES]],[1]Feuil1!$1:$1048576,10,FALSE)</f>
        <v>NO</v>
      </c>
      <c r="S676" s="6" t="s">
        <v>2469</v>
      </c>
      <c r="T676" s="6" t="s">
        <v>2470</v>
      </c>
      <c r="U676" s="6" t="s">
        <v>2480</v>
      </c>
      <c r="V676" s="6" t="s">
        <v>2472</v>
      </c>
      <c r="W676" s="6" t="s">
        <v>2473</v>
      </c>
      <c r="X676" s="8">
        <v>70997124</v>
      </c>
      <c r="Y676" s="6" t="s">
        <v>3238</v>
      </c>
      <c r="Z676" s="6"/>
      <c r="AA676" s="37" t="s">
        <v>3660</v>
      </c>
      <c r="AB676" s="39" t="s">
        <v>3644</v>
      </c>
      <c r="AC676" s="37" t="s">
        <v>3661</v>
      </c>
      <c r="AD676" s="39" t="s">
        <v>3646</v>
      </c>
      <c r="AE676" s="39" t="s">
        <v>3647</v>
      </c>
      <c r="AF676" s="39" t="s">
        <v>3662</v>
      </c>
      <c r="AG676" s="37" t="s">
        <v>3649</v>
      </c>
      <c r="AH676" s="37" t="s">
        <v>3663</v>
      </c>
    </row>
    <row r="677" spans="1:34" ht="14.45" hidden="1" customHeight="1" x14ac:dyDescent="0.3">
      <c r="A677" s="6" t="s">
        <v>1086</v>
      </c>
      <c r="B677" s="7">
        <v>43885</v>
      </c>
      <c r="C677" s="6" t="s">
        <v>1085</v>
      </c>
      <c r="D677" s="6" t="s">
        <v>5</v>
      </c>
      <c r="E677" s="6" t="s">
        <v>1003</v>
      </c>
      <c r="F677" s="6" t="s">
        <v>3229</v>
      </c>
      <c r="G677" s="8">
        <v>0.88278889999999999</v>
      </c>
      <c r="H677" s="8">
        <v>6.8184389000000003</v>
      </c>
      <c r="I677" s="6" t="s">
        <v>2477</v>
      </c>
      <c r="J677" s="6" t="s">
        <v>2459</v>
      </c>
      <c r="K677" s="6" t="s">
        <v>2468</v>
      </c>
      <c r="L677" s="6" t="s">
        <v>3503</v>
      </c>
      <c r="M677" s="6"/>
      <c r="N677" s="6" t="s">
        <v>2468</v>
      </c>
      <c r="O677" s="6" t="s">
        <v>40</v>
      </c>
      <c r="P677" s="6" t="str">
        <f>VLOOKUP(Tableau1[[#This Row],[SITES NAMES]],[1]Feuil1!$1:$1048576,8,FALSE)</f>
        <v>OK</v>
      </c>
      <c r="Q677" s="6" t="str">
        <f>VLOOKUP(Tableau1[[#This Row],[SITES NAMES]],[1]Feuil1!$1:$1048576,9,FALSE)</f>
        <v>NO</v>
      </c>
      <c r="R677" s="6" t="str">
        <f>VLOOKUP(Tableau1[[#This Row],[SITES NAMES]],[1]Feuil1!$1:$1048576,10,FALSE)</f>
        <v>YES</v>
      </c>
      <c r="S677" s="6" t="s">
        <v>2461</v>
      </c>
      <c r="T677" s="6" t="s">
        <v>2462</v>
      </c>
      <c r="U677" s="6" t="s">
        <v>2463</v>
      </c>
      <c r="V677" s="6" t="s">
        <v>2472</v>
      </c>
      <c r="W677" s="6" t="s">
        <v>2473</v>
      </c>
      <c r="X677" s="8" t="s">
        <v>2863</v>
      </c>
      <c r="Y677" s="6" t="s">
        <v>3241</v>
      </c>
      <c r="Z677" s="6"/>
      <c r="AA677" s="37" t="s">
        <v>3634</v>
      </c>
      <c r="AB677" s="38" t="s">
        <v>3627</v>
      </c>
      <c r="AC677" s="37" t="s">
        <v>3635</v>
      </c>
      <c r="AD677" s="37" t="s">
        <v>3636</v>
      </c>
      <c r="AE677" s="37" t="s">
        <v>3637</v>
      </c>
      <c r="AF677" s="37" t="s">
        <v>3636</v>
      </c>
      <c r="AG677" s="37" t="s">
        <v>3638</v>
      </c>
      <c r="AH677" s="37" t="s">
        <v>3639</v>
      </c>
    </row>
    <row r="678" spans="1:34" ht="14.45" hidden="1" customHeight="1" x14ac:dyDescent="0.3">
      <c r="A678" s="6" t="s">
        <v>2209</v>
      </c>
      <c r="B678" s="7">
        <v>0</v>
      </c>
      <c r="C678" s="6" t="s">
        <v>2208</v>
      </c>
      <c r="D678" s="6" t="s">
        <v>320</v>
      </c>
      <c r="E678" s="6" t="s">
        <v>2141</v>
      </c>
      <c r="F678" s="18" t="s">
        <v>3230</v>
      </c>
      <c r="G678" s="8">
        <v>1.14723</v>
      </c>
      <c r="H678" s="8">
        <v>8.9693400000000008</v>
      </c>
      <c r="I678" s="6" t="s">
        <v>2486</v>
      </c>
      <c r="J678" s="6" t="s">
        <v>2459</v>
      </c>
      <c r="K678" s="6" t="s">
        <v>2460</v>
      </c>
      <c r="L678" s="6"/>
      <c r="M678" s="6"/>
      <c r="N678" s="6" t="s">
        <v>3268</v>
      </c>
      <c r="O678" s="6" t="s">
        <v>7</v>
      </c>
      <c r="P678" s="6" t="str">
        <f>VLOOKUP(Tableau1[[#This Row],[SITES NAMES]],[1]Feuil1!$1:$1048576,8,FALSE)</f>
        <v>NOK</v>
      </c>
      <c r="Q678" s="6" t="str">
        <f>VLOOKUP(Tableau1[[#This Row],[SITES NAMES]],[1]Feuil1!$1:$1048576,9,FALSE)</f>
        <v>NO</v>
      </c>
      <c r="R678" s="6" t="str">
        <f>VLOOKUP(Tableau1[[#This Row],[SITES NAMES]],[1]Feuil1!$1:$1048576,10,FALSE)</f>
        <v>NO</v>
      </c>
      <c r="S678" s="6" t="s">
        <v>2469</v>
      </c>
      <c r="T678" s="6" t="s">
        <v>2470</v>
      </c>
      <c r="U678" s="6" t="s">
        <v>2480</v>
      </c>
      <c r="V678" s="6" t="s">
        <v>2478</v>
      </c>
      <c r="W678" s="6" t="s">
        <v>2476</v>
      </c>
      <c r="X678" s="8">
        <v>70996898</v>
      </c>
      <c r="Y678" s="6" t="s">
        <v>3238</v>
      </c>
      <c r="Z678" s="6" t="s">
        <v>3254</v>
      </c>
      <c r="AA678" s="37" t="s">
        <v>3672</v>
      </c>
      <c r="AB678" s="39" t="s">
        <v>3665</v>
      </c>
      <c r="AC678" s="37" t="s">
        <v>3673</v>
      </c>
      <c r="AD678" s="37" t="s">
        <v>3674</v>
      </c>
      <c r="AE678" s="37" t="s">
        <v>3675</v>
      </c>
      <c r="AF678" s="39" t="s">
        <v>3676</v>
      </c>
      <c r="AG678" s="37" t="s">
        <v>3670</v>
      </c>
      <c r="AH678" s="37" t="s">
        <v>3677</v>
      </c>
    </row>
    <row r="679" spans="1:34" ht="14.45" hidden="1" customHeight="1" x14ac:dyDescent="0.3">
      <c r="A679" s="6" t="s">
        <v>2211</v>
      </c>
      <c r="B679" s="7">
        <v>44722</v>
      </c>
      <c r="C679" s="6" t="s">
        <v>2210</v>
      </c>
      <c r="D679" s="6" t="s">
        <v>320</v>
      </c>
      <c r="E679" s="6" t="s">
        <v>2141</v>
      </c>
      <c r="F679" s="6" t="s">
        <v>3229</v>
      </c>
      <c r="G679" s="8">
        <v>1.1559029999999999</v>
      </c>
      <c r="H679" s="8">
        <v>8.9724690000000002</v>
      </c>
      <c r="I679" s="6" t="s">
        <v>2497</v>
      </c>
      <c r="J679" s="6" t="s">
        <v>2459</v>
      </c>
      <c r="K679" s="6" t="s">
        <v>2460</v>
      </c>
      <c r="L679" s="6" t="s">
        <v>2213</v>
      </c>
      <c r="M679" s="6" t="s">
        <v>849</v>
      </c>
      <c r="N679" s="6" t="s">
        <v>3268</v>
      </c>
      <c r="O679" s="6" t="s">
        <v>7</v>
      </c>
      <c r="P679" s="6" t="str">
        <f>VLOOKUP(Tableau1[[#This Row],[SITES NAMES]],[1]Feuil1!$1:$1048576,8,FALSE)</f>
        <v>OK</v>
      </c>
      <c r="Q679" s="6" t="str">
        <f>VLOOKUP(Tableau1[[#This Row],[SITES NAMES]],[1]Feuil1!$1:$1048576,9,FALSE)</f>
        <v>NO</v>
      </c>
      <c r="R679" s="6" t="str">
        <f>VLOOKUP(Tableau1[[#This Row],[SITES NAMES]],[1]Feuil1!$1:$1048576,10,FALSE)</f>
        <v>YES</v>
      </c>
      <c r="S679" s="6" t="s">
        <v>2461</v>
      </c>
      <c r="T679" s="6" t="s">
        <v>2462</v>
      </c>
      <c r="U679" s="6" t="s">
        <v>2463</v>
      </c>
      <c r="V679" s="6" t="s">
        <v>2472</v>
      </c>
      <c r="W679" s="6" t="s">
        <v>2476</v>
      </c>
      <c r="X679" s="8" t="s">
        <v>3158</v>
      </c>
      <c r="Y679" s="6" t="s">
        <v>3238</v>
      </c>
      <c r="Z679" s="6" t="s">
        <v>3254</v>
      </c>
      <c r="AA679" s="37" t="s">
        <v>3672</v>
      </c>
      <c r="AB679" s="39" t="s">
        <v>3665</v>
      </c>
      <c r="AC679" s="37" t="s">
        <v>3673</v>
      </c>
      <c r="AD679" s="37" t="s">
        <v>3674</v>
      </c>
      <c r="AE679" s="37" t="s">
        <v>3675</v>
      </c>
      <c r="AF679" s="39" t="s">
        <v>3676</v>
      </c>
      <c r="AG679" s="37" t="s">
        <v>3670</v>
      </c>
      <c r="AH679" s="37" t="s">
        <v>3677</v>
      </c>
    </row>
    <row r="680" spans="1:34" ht="14.45" hidden="1" customHeight="1" x14ac:dyDescent="0.3">
      <c r="A680" s="6" t="s">
        <v>865</v>
      </c>
      <c r="B680" s="7">
        <v>44858</v>
      </c>
      <c r="C680" s="6" t="s">
        <v>864</v>
      </c>
      <c r="D680" s="6" t="s">
        <v>657</v>
      </c>
      <c r="E680" s="6" t="s">
        <v>3237</v>
      </c>
      <c r="F680" s="6" t="s">
        <v>3229</v>
      </c>
      <c r="G680" s="8">
        <v>1.18008</v>
      </c>
      <c r="H680" s="8">
        <v>9.7804900000000004</v>
      </c>
      <c r="I680" s="6" t="s">
        <v>2477</v>
      </c>
      <c r="J680" s="6" t="s">
        <v>2459</v>
      </c>
      <c r="K680" s="6" t="s">
        <v>2468</v>
      </c>
      <c r="L680" s="6" t="s">
        <v>3504</v>
      </c>
      <c r="M680" s="6"/>
      <c r="N680" s="6" t="s">
        <v>2468</v>
      </c>
      <c r="O680" s="6" t="s">
        <v>7</v>
      </c>
      <c r="P680" s="6" t="str">
        <f>VLOOKUP(Tableau1[[#This Row],[SITES NAMES]],[1]Feuil1!$1:$1048576,8,FALSE)</f>
        <v>OK</v>
      </c>
      <c r="Q680" s="6" t="str">
        <f>VLOOKUP(Tableau1[[#This Row],[SITES NAMES]],[1]Feuil1!$1:$1048576,9,FALSE)</f>
        <v>NO</v>
      </c>
      <c r="R680" s="6" t="str">
        <f>VLOOKUP(Tableau1[[#This Row],[SITES NAMES]],[1]Feuil1!$1:$1048576,10,FALSE)</f>
        <v>YES</v>
      </c>
      <c r="S680" s="6" t="s">
        <v>2461</v>
      </c>
      <c r="T680" s="6" t="s">
        <v>2462</v>
      </c>
      <c r="U680" s="6" t="s">
        <v>2463</v>
      </c>
      <c r="V680" s="6" t="s">
        <v>2472</v>
      </c>
      <c r="W680" s="6" t="s">
        <v>2473</v>
      </c>
      <c r="X680" s="8"/>
      <c r="Y680" s="6" t="s">
        <v>3239</v>
      </c>
      <c r="Z680" s="6" t="s">
        <v>3253</v>
      </c>
      <c r="AA680" s="37" t="s">
        <v>3692</v>
      </c>
      <c r="AB680" s="38" t="s">
        <v>3683</v>
      </c>
      <c r="AC680" s="39" t="s">
        <v>3693</v>
      </c>
      <c r="AD680" s="39" t="s">
        <v>3694</v>
      </c>
      <c r="AE680" s="37" t="s">
        <v>3695</v>
      </c>
      <c r="AF680" s="39" t="s">
        <v>3696</v>
      </c>
      <c r="AG680" s="40" t="s">
        <v>3685</v>
      </c>
      <c r="AH680" s="37" t="s">
        <v>3697</v>
      </c>
    </row>
    <row r="681" spans="1:34" ht="14.45" hidden="1" customHeight="1" x14ac:dyDescent="0.3">
      <c r="A681" s="6" t="s">
        <v>438</v>
      </c>
      <c r="B681" s="7">
        <v>0</v>
      </c>
      <c r="C681" s="6" t="s">
        <v>437</v>
      </c>
      <c r="D681" s="6" t="s">
        <v>395</v>
      </c>
      <c r="E681" s="6" t="s">
        <v>396</v>
      </c>
      <c r="F681" s="6" t="s">
        <v>3229</v>
      </c>
      <c r="G681" s="8">
        <v>0.309085</v>
      </c>
      <c r="H681" s="8">
        <v>10.909940000000001</v>
      </c>
      <c r="I681" s="6" t="s">
        <v>2477</v>
      </c>
      <c r="J681" s="6" t="s">
        <v>2459</v>
      </c>
      <c r="K681" s="6" t="s">
        <v>2468</v>
      </c>
      <c r="L681" s="6" t="s">
        <v>3405</v>
      </c>
      <c r="M681" s="6"/>
      <c r="N681" s="6" t="s">
        <v>2468</v>
      </c>
      <c r="O681" s="6" t="s">
        <v>7</v>
      </c>
      <c r="P681" s="6" t="str">
        <f>VLOOKUP(Tableau1[[#This Row],[SITES NAMES]],[1]Feuil1!$1:$1048576,8,FALSE)</f>
        <v>OK</v>
      </c>
      <c r="Q681" s="6" t="str">
        <f>VLOOKUP(Tableau1[[#This Row],[SITES NAMES]],[1]Feuil1!$1:$1048576,9,FALSE)</f>
        <v>NO</v>
      </c>
      <c r="R681" s="6" t="str">
        <f>VLOOKUP(Tableau1[[#This Row],[SITES NAMES]],[1]Feuil1!$1:$1048576,10,FALSE)</f>
        <v>YES</v>
      </c>
      <c r="S681" s="6" t="s">
        <v>2461</v>
      </c>
      <c r="T681" s="6" t="s">
        <v>2470</v>
      </c>
      <c r="U681" s="6" t="s">
        <v>2463</v>
      </c>
      <c r="V681" s="6" t="s">
        <v>2478</v>
      </c>
      <c r="W681" s="6" t="s">
        <v>2473</v>
      </c>
      <c r="X681" s="8" t="s">
        <v>2637</v>
      </c>
      <c r="Y681" s="6" t="s">
        <v>3240</v>
      </c>
      <c r="Z681" s="6" t="s">
        <v>3255</v>
      </c>
      <c r="AA681" s="37" t="s">
        <v>3704</v>
      </c>
      <c r="AB681" s="39" t="s">
        <v>3705</v>
      </c>
      <c r="AC681" s="37" t="s">
        <v>3706</v>
      </c>
      <c r="AD681" s="37" t="s">
        <v>3707</v>
      </c>
      <c r="AE681" s="37" t="s">
        <v>3708</v>
      </c>
      <c r="AF681" s="37" t="s">
        <v>3709</v>
      </c>
      <c r="AG681" s="46" t="s">
        <v>3710</v>
      </c>
      <c r="AH681" s="37" t="s">
        <v>3711</v>
      </c>
    </row>
    <row r="682" spans="1:34" ht="14.45" hidden="1" customHeight="1" x14ac:dyDescent="0.3">
      <c r="A682" s="6" t="s">
        <v>230</v>
      </c>
      <c r="B682" s="7">
        <v>0</v>
      </c>
      <c r="C682" s="6" t="s">
        <v>229</v>
      </c>
      <c r="D682" s="6" t="s">
        <v>132</v>
      </c>
      <c r="E682" s="6" t="s">
        <v>133</v>
      </c>
      <c r="F682" s="6" t="s">
        <v>3229</v>
      </c>
      <c r="G682" s="8">
        <v>1.134069</v>
      </c>
      <c r="H682" s="8">
        <v>7.5187140000000001</v>
      </c>
      <c r="I682" s="6" t="s">
        <v>2497</v>
      </c>
      <c r="J682" s="6" t="s">
        <v>2459</v>
      </c>
      <c r="K682" s="6" t="s">
        <v>2460</v>
      </c>
      <c r="L682" s="6"/>
      <c r="M682" s="6"/>
      <c r="N682" s="6" t="s">
        <v>3268</v>
      </c>
      <c r="O682" s="6" t="s">
        <v>7</v>
      </c>
      <c r="P682" s="6" t="str">
        <f>VLOOKUP(Tableau1[[#This Row],[SITES NAMES]],[1]Feuil1!$1:$1048576,8,FALSE)</f>
        <v>OK</v>
      </c>
      <c r="Q682" s="6" t="str">
        <f>VLOOKUP(Tableau1[[#This Row],[SITES NAMES]],[1]Feuil1!$1:$1048576,9,FALSE)</f>
        <v>NO</v>
      </c>
      <c r="R682" s="6" t="str">
        <f>VLOOKUP(Tableau1[[#This Row],[SITES NAMES]],[1]Feuil1!$1:$1048576,10,FALSE)</f>
        <v>NO</v>
      </c>
      <c r="S682" s="6" t="s">
        <v>2461</v>
      </c>
      <c r="T682" s="6" t="s">
        <v>2470</v>
      </c>
      <c r="U682" s="6" t="s">
        <v>2463</v>
      </c>
      <c r="V682" s="6" t="s">
        <v>2478</v>
      </c>
      <c r="W682" s="6" t="s">
        <v>2473</v>
      </c>
      <c r="X682" s="8" t="s">
        <v>3252</v>
      </c>
      <c r="Y682" s="6" t="s">
        <v>3238</v>
      </c>
      <c r="Z682" s="6" t="s">
        <v>3258</v>
      </c>
      <c r="AA682" s="37" t="s">
        <v>3643</v>
      </c>
      <c r="AB682" s="39" t="s">
        <v>3644</v>
      </c>
      <c r="AC682" s="37" t="s">
        <v>3645</v>
      </c>
      <c r="AD682" s="39" t="s">
        <v>3646</v>
      </c>
      <c r="AE682" s="39" t="s">
        <v>3647</v>
      </c>
      <c r="AF682" s="39" t="s">
        <v>3648</v>
      </c>
      <c r="AG682" s="37" t="s">
        <v>3649</v>
      </c>
      <c r="AH682" s="37" t="s">
        <v>3650</v>
      </c>
    </row>
    <row r="683" spans="1:34" ht="14.45" hidden="1" customHeight="1" x14ac:dyDescent="0.3">
      <c r="A683" s="6" t="s">
        <v>719</v>
      </c>
      <c r="B683" s="7">
        <v>44078</v>
      </c>
      <c r="C683" s="6" t="s">
        <v>718</v>
      </c>
      <c r="D683" s="6" t="s">
        <v>657</v>
      </c>
      <c r="E683" s="6" t="s">
        <v>658</v>
      </c>
      <c r="F683" s="6" t="s">
        <v>3229</v>
      </c>
      <c r="G683" s="8">
        <v>0.54693000000000003</v>
      </c>
      <c r="H683" s="8">
        <v>9.5924999999999994</v>
      </c>
      <c r="I683" s="6" t="s">
        <v>2477</v>
      </c>
      <c r="J683" s="6" t="s">
        <v>2459</v>
      </c>
      <c r="K683" s="6" t="s">
        <v>2468</v>
      </c>
      <c r="L683" s="6" t="s">
        <v>3482</v>
      </c>
      <c r="M683" s="6"/>
      <c r="N683" s="6" t="s">
        <v>2468</v>
      </c>
      <c r="O683" s="6" t="s">
        <v>40</v>
      </c>
      <c r="P683" s="6" t="str">
        <f>VLOOKUP(Tableau1[[#This Row],[SITES NAMES]],[1]Feuil1!$1:$1048576,8,FALSE)</f>
        <v>OK</v>
      </c>
      <c r="Q683" s="6" t="str">
        <f>VLOOKUP(Tableau1[[#This Row],[SITES NAMES]],[1]Feuil1!$1:$1048576,9,FALSE)</f>
        <v>NO</v>
      </c>
      <c r="R683" s="6" t="str">
        <f>VLOOKUP(Tableau1[[#This Row],[SITES NAMES]],[1]Feuil1!$1:$1048576,10,FALSE)</f>
        <v>YES</v>
      </c>
      <c r="S683" s="6" t="s">
        <v>2469</v>
      </c>
      <c r="T683" s="6" t="s">
        <v>2470</v>
      </c>
      <c r="U683" s="6" t="s">
        <v>2463</v>
      </c>
      <c r="V683" s="6" t="s">
        <v>2472</v>
      </c>
      <c r="W683" s="6" t="s">
        <v>2473</v>
      </c>
      <c r="X683" s="8" t="s">
        <v>2735</v>
      </c>
      <c r="Y683" s="6" t="s">
        <v>3239</v>
      </c>
      <c r="Z683" s="6" t="s">
        <v>3253</v>
      </c>
      <c r="AA683" s="38" t="s">
        <v>3682</v>
      </c>
      <c r="AB683" s="38" t="s">
        <v>3683</v>
      </c>
      <c r="AC683" s="38" t="s">
        <v>3684</v>
      </c>
      <c r="AD683" s="38" t="s">
        <v>3682</v>
      </c>
      <c r="AE683" s="38" t="s">
        <v>3682</v>
      </c>
      <c r="AF683" s="38" t="s">
        <v>3682</v>
      </c>
      <c r="AG683" s="40" t="s">
        <v>3685</v>
      </c>
      <c r="AH683" s="37" t="s">
        <v>3686</v>
      </c>
    </row>
    <row r="684" spans="1:34" ht="14.45" hidden="1" customHeight="1" x14ac:dyDescent="0.3">
      <c r="A684" s="6" t="s">
        <v>1088</v>
      </c>
      <c r="B684" s="7">
        <v>0</v>
      </c>
      <c r="C684" s="6" t="s">
        <v>1087</v>
      </c>
      <c r="D684" s="6" t="s">
        <v>5</v>
      </c>
      <c r="E684" s="6" t="s">
        <v>1003</v>
      </c>
      <c r="F684" s="6" t="s">
        <v>3229</v>
      </c>
      <c r="G684" s="8">
        <v>0.86094000000000004</v>
      </c>
      <c r="H684" s="8">
        <v>6.6259399999999999</v>
      </c>
      <c r="I684" s="6" t="s">
        <v>2477</v>
      </c>
      <c r="J684" s="6" t="s">
        <v>2459</v>
      </c>
      <c r="K684" s="6" t="s">
        <v>2460</v>
      </c>
      <c r="L684" s="6"/>
      <c r="M684" s="6"/>
      <c r="N684" s="6" t="s">
        <v>3268</v>
      </c>
      <c r="O684" s="6" t="s">
        <v>7</v>
      </c>
      <c r="P684" s="6" t="str">
        <f>VLOOKUP(Tableau1[[#This Row],[SITES NAMES]],[1]Feuil1!$1:$1048576,8,FALSE)</f>
        <v>OK</v>
      </c>
      <c r="Q684" s="6" t="str">
        <f>VLOOKUP(Tableau1[[#This Row],[SITES NAMES]],[1]Feuil1!$1:$1048576,9,FALSE)</f>
        <v>NO</v>
      </c>
      <c r="R684" s="6" t="str">
        <f>VLOOKUP(Tableau1[[#This Row],[SITES NAMES]],[1]Feuil1!$1:$1048576,10,FALSE)</f>
        <v>NO</v>
      </c>
      <c r="S684" s="6" t="s">
        <v>2461</v>
      </c>
      <c r="T684" s="6" t="s">
        <v>2462</v>
      </c>
      <c r="U684" s="6" t="s">
        <v>2463</v>
      </c>
      <c r="V684" s="6" t="s">
        <v>2472</v>
      </c>
      <c r="W684" s="6" t="s">
        <v>2473</v>
      </c>
      <c r="X684" s="8" t="s">
        <v>2864</v>
      </c>
      <c r="Y684" s="6" t="s">
        <v>3241</v>
      </c>
      <c r="Z684" t="e">
        <f>VLOOKUP(Tableau1[[#This Row],[SITES NAMES]],#REF!,3,FALSE)</f>
        <v>#REF!</v>
      </c>
      <c r="AA684" s="37" t="s">
        <v>3634</v>
      </c>
      <c r="AB684" s="38" t="s">
        <v>3627</v>
      </c>
      <c r="AC684" s="37" t="s">
        <v>3635</v>
      </c>
      <c r="AD684" s="37" t="s">
        <v>3636</v>
      </c>
      <c r="AE684" s="37" t="s">
        <v>3637</v>
      </c>
      <c r="AF684" s="37" t="s">
        <v>3636</v>
      </c>
      <c r="AG684" s="37" t="s">
        <v>3638</v>
      </c>
      <c r="AH684" s="37" t="s">
        <v>3639</v>
      </c>
    </row>
    <row r="685" spans="1:34" ht="14.45" hidden="1" customHeight="1" x14ac:dyDescent="0.3">
      <c r="A685" s="6" t="s">
        <v>975</v>
      </c>
      <c r="B685" s="7">
        <v>44859</v>
      </c>
      <c r="C685" s="6" t="s">
        <v>974</v>
      </c>
      <c r="D685" s="6" t="s">
        <v>657</v>
      </c>
      <c r="E685" s="6" t="s">
        <v>3235</v>
      </c>
      <c r="F685" s="6" t="s">
        <v>3229</v>
      </c>
      <c r="G685" s="8">
        <v>1.1233299999999999</v>
      </c>
      <c r="H685" s="8">
        <v>9.39391</v>
      </c>
      <c r="I685" s="6" t="s">
        <v>2477</v>
      </c>
      <c r="J685" s="6" t="s">
        <v>2459</v>
      </c>
      <c r="K685" s="6" t="s">
        <v>2468</v>
      </c>
      <c r="L685" s="6"/>
      <c r="M685" s="6"/>
      <c r="N685" s="6" t="s">
        <v>2468</v>
      </c>
      <c r="O685" s="6" t="s">
        <v>7</v>
      </c>
      <c r="P685" s="6" t="str">
        <f>VLOOKUP(Tableau1[[#This Row],[SITES NAMES]],[1]Feuil1!$1:$1048576,8,FALSE)</f>
        <v>OK</v>
      </c>
      <c r="Q685" s="6" t="str">
        <f>VLOOKUP(Tableau1[[#This Row],[SITES NAMES]],[1]Feuil1!$1:$1048576,9,FALSE)</f>
        <v>NO</v>
      </c>
      <c r="R685" s="6" t="str">
        <f>VLOOKUP(Tableau1[[#This Row],[SITES NAMES]],[1]Feuil1!$1:$1048576,10,FALSE)</f>
        <v>YES</v>
      </c>
      <c r="S685" s="6" t="s">
        <v>2469</v>
      </c>
      <c r="T685" s="6" t="s">
        <v>2470</v>
      </c>
      <c r="U685" s="6" t="s">
        <v>2480</v>
      </c>
      <c r="V685" s="6" t="s">
        <v>2472</v>
      </c>
      <c r="W685" s="6" t="s">
        <v>2473</v>
      </c>
      <c r="X685" s="8"/>
      <c r="Y685" s="6" t="s">
        <v>3239</v>
      </c>
      <c r="Z685" s="6" t="s">
        <v>3253</v>
      </c>
      <c r="AA685" s="37" t="s">
        <v>3698</v>
      </c>
      <c r="AB685" s="38" t="s">
        <v>3683</v>
      </c>
      <c r="AC685" s="39" t="s">
        <v>3699</v>
      </c>
      <c r="AD685" s="39" t="s">
        <v>3700</v>
      </c>
      <c r="AE685" s="37" t="s">
        <v>3701</v>
      </c>
      <c r="AF685" s="39" t="s">
        <v>3702</v>
      </c>
      <c r="AG685" s="40" t="s">
        <v>3685</v>
      </c>
      <c r="AH685" s="37" t="s">
        <v>3703</v>
      </c>
    </row>
    <row r="686" spans="1:34" ht="14.45" hidden="1" customHeight="1" x14ac:dyDescent="0.3">
      <c r="A686" s="6" t="s">
        <v>2011</v>
      </c>
      <c r="B686" s="7">
        <v>0</v>
      </c>
      <c r="C686" s="6" t="s">
        <v>2010</v>
      </c>
      <c r="D686" s="6" t="s">
        <v>395</v>
      </c>
      <c r="E686" s="6" t="s">
        <v>1965</v>
      </c>
      <c r="F686" s="6" t="s">
        <v>3229</v>
      </c>
      <c r="G686" s="8">
        <v>0.14821999999999999</v>
      </c>
      <c r="H686" s="8">
        <v>10.525600000000001</v>
      </c>
      <c r="I686" s="6" t="s">
        <v>2477</v>
      </c>
      <c r="J686" s="6" t="s">
        <v>2459</v>
      </c>
      <c r="K686" s="6" t="s">
        <v>2468</v>
      </c>
      <c r="L686" s="6" t="s">
        <v>3437</v>
      </c>
      <c r="M686" s="6"/>
      <c r="N686" s="6" t="s">
        <v>2468</v>
      </c>
      <c r="O686" s="6" t="s">
        <v>40</v>
      </c>
      <c r="P686" s="6" t="str">
        <f>VLOOKUP(Tableau1[[#This Row],[SITES NAMES]],[1]Feuil1!$1:$1048576,8,FALSE)</f>
        <v>OK</v>
      </c>
      <c r="Q686" s="6" t="str">
        <f>VLOOKUP(Tableau1[[#This Row],[SITES NAMES]],[1]Feuil1!$1:$1048576,9,FALSE)</f>
        <v>NO</v>
      </c>
      <c r="R686" s="6" t="str">
        <f>VLOOKUP(Tableau1[[#This Row],[SITES NAMES]],[1]Feuil1!$1:$1048576,10,FALSE)</f>
        <v>YES</v>
      </c>
      <c r="S686" s="6" t="s">
        <v>2461</v>
      </c>
      <c r="T686" s="6" t="s">
        <v>2462</v>
      </c>
      <c r="U686" s="6" t="s">
        <v>2463</v>
      </c>
      <c r="V686" s="6" t="s">
        <v>2472</v>
      </c>
      <c r="W686" s="6" t="s">
        <v>2473</v>
      </c>
      <c r="X686" s="8" t="s">
        <v>3081</v>
      </c>
      <c r="Y686" s="6" t="s">
        <v>3240</v>
      </c>
      <c r="Z686" s="6" t="s">
        <v>3255</v>
      </c>
      <c r="AA686" s="37" t="s">
        <v>3712</v>
      </c>
      <c r="AB686" s="39" t="s">
        <v>3705</v>
      </c>
      <c r="AC686" s="37" t="s">
        <v>3713</v>
      </c>
      <c r="AD686" s="37" t="s">
        <v>3712</v>
      </c>
      <c r="AE686" s="37" t="s">
        <v>3712</v>
      </c>
      <c r="AF686" s="37" t="s">
        <v>3712</v>
      </c>
      <c r="AG686" s="40" t="s">
        <v>3714</v>
      </c>
      <c r="AH686" s="37" t="s">
        <v>3715</v>
      </c>
    </row>
    <row r="687" spans="1:34" ht="14.45" hidden="1" customHeight="1" x14ac:dyDescent="0.3">
      <c r="A687" s="6" t="s">
        <v>1090</v>
      </c>
      <c r="B687" s="7">
        <v>43904</v>
      </c>
      <c r="C687" s="6" t="s">
        <v>1089</v>
      </c>
      <c r="D687" s="6" t="s">
        <v>5</v>
      </c>
      <c r="E687" s="6" t="s">
        <v>1003</v>
      </c>
      <c r="F687" s="6" t="s">
        <v>3229</v>
      </c>
      <c r="G687" s="8">
        <v>0.62544</v>
      </c>
      <c r="H687" s="8">
        <v>7.1518800000000002</v>
      </c>
      <c r="I687" s="6" t="s">
        <v>2477</v>
      </c>
      <c r="J687" s="6" t="s">
        <v>2459</v>
      </c>
      <c r="K687" s="6" t="s">
        <v>2468</v>
      </c>
      <c r="L687" s="6" t="s">
        <v>3505</v>
      </c>
      <c r="M687" s="6"/>
      <c r="N687" s="6" t="s">
        <v>2468</v>
      </c>
      <c r="O687" s="6" t="s">
        <v>40</v>
      </c>
      <c r="P687" s="6" t="str">
        <f>VLOOKUP(Tableau1[[#This Row],[SITES NAMES]],[1]Feuil1!$1:$1048576,8,FALSE)</f>
        <v>OK</v>
      </c>
      <c r="Q687" s="6" t="str">
        <f>VLOOKUP(Tableau1[[#This Row],[SITES NAMES]],[1]Feuil1!$1:$1048576,9,FALSE)</f>
        <v>NO</v>
      </c>
      <c r="R687" s="6" t="str">
        <f>VLOOKUP(Tableau1[[#This Row],[SITES NAMES]],[1]Feuil1!$1:$1048576,10,FALSE)</f>
        <v>YES</v>
      </c>
      <c r="S687" s="6" t="s">
        <v>2469</v>
      </c>
      <c r="T687" s="6" t="s">
        <v>2470</v>
      </c>
      <c r="U687" s="6" t="s">
        <v>2471</v>
      </c>
      <c r="V687" s="6" t="s">
        <v>2472</v>
      </c>
      <c r="W687" s="6" t="s">
        <v>2473</v>
      </c>
      <c r="X687" s="8" t="s">
        <v>2865</v>
      </c>
      <c r="Y687" s="6" t="s">
        <v>3241</v>
      </c>
      <c r="Z687" s="6"/>
      <c r="AA687" s="37" t="s">
        <v>3634</v>
      </c>
      <c r="AB687" s="38" t="s">
        <v>3627</v>
      </c>
      <c r="AC687" s="37" t="s">
        <v>3635</v>
      </c>
      <c r="AD687" s="37" t="s">
        <v>3636</v>
      </c>
      <c r="AE687" s="37" t="s">
        <v>3637</v>
      </c>
      <c r="AF687" s="37" t="s">
        <v>3636</v>
      </c>
      <c r="AG687" s="37" t="s">
        <v>3638</v>
      </c>
      <c r="AH687" s="37" t="s">
        <v>3639</v>
      </c>
    </row>
    <row r="688" spans="1:34" ht="14.45" hidden="1" customHeight="1" x14ac:dyDescent="0.3">
      <c r="A688" s="6" t="s">
        <v>309</v>
      </c>
      <c r="B688" s="7">
        <v>0</v>
      </c>
      <c r="C688" s="6" t="s">
        <v>308</v>
      </c>
      <c r="D688" s="6" t="s">
        <v>132</v>
      </c>
      <c r="E688" s="6" t="s">
        <v>251</v>
      </c>
      <c r="F688" s="6" t="s">
        <v>3229</v>
      </c>
      <c r="G688" s="8">
        <v>0.79518999999999995</v>
      </c>
      <c r="H688" s="8">
        <v>7.6434100000000003</v>
      </c>
      <c r="I688" s="6" t="s">
        <v>2467</v>
      </c>
      <c r="J688" s="6" t="s">
        <v>2459</v>
      </c>
      <c r="K688" s="6" t="s">
        <v>2460</v>
      </c>
      <c r="L688" s="6"/>
      <c r="M688" s="6"/>
      <c r="N688" s="6" t="s">
        <v>3268</v>
      </c>
      <c r="O688" s="6" t="s">
        <v>7</v>
      </c>
      <c r="P688" s="6" t="str">
        <f>VLOOKUP(Tableau1[[#This Row],[SITES NAMES]],[1]Feuil1!$1:$1048576,8,FALSE)</f>
        <v>OK</v>
      </c>
      <c r="Q688" s="6" t="str">
        <f>VLOOKUP(Tableau1[[#This Row],[SITES NAMES]],[1]Feuil1!$1:$1048576,9,FALSE)</f>
        <v>NO</v>
      </c>
      <c r="R688" s="6" t="str">
        <f>VLOOKUP(Tableau1[[#This Row],[SITES NAMES]],[1]Feuil1!$1:$1048576,10,FALSE)</f>
        <v>YES</v>
      </c>
      <c r="S688" s="6" t="s">
        <v>2469</v>
      </c>
      <c r="T688" s="6" t="s">
        <v>2470</v>
      </c>
      <c r="U688" s="6" t="s">
        <v>2471</v>
      </c>
      <c r="V688" s="6" t="s">
        <v>2464</v>
      </c>
      <c r="W688" s="6" t="s">
        <v>2465</v>
      </c>
      <c r="X688" s="8" t="s">
        <v>2586</v>
      </c>
      <c r="Y688" s="6" t="s">
        <v>3238</v>
      </c>
      <c r="Z688" s="6" t="s">
        <v>3256</v>
      </c>
      <c r="AA688" s="37" t="s">
        <v>3651</v>
      </c>
      <c r="AB688" s="39" t="s">
        <v>3644</v>
      </c>
      <c r="AC688" s="45" t="s">
        <v>3652</v>
      </c>
      <c r="AD688" s="39" t="s">
        <v>3646</v>
      </c>
      <c r="AE688" s="37" t="s">
        <v>3653</v>
      </c>
      <c r="AF688" s="37" t="s">
        <v>3654</v>
      </c>
      <c r="AG688" s="37" t="s">
        <v>3649</v>
      </c>
      <c r="AH688" s="37" t="s">
        <v>3655</v>
      </c>
    </row>
    <row r="689" spans="1:34" ht="14.45" hidden="1" customHeight="1" x14ac:dyDescent="0.3">
      <c r="A689" s="6" t="s">
        <v>311</v>
      </c>
      <c r="B689" s="7">
        <v>43876</v>
      </c>
      <c r="C689" s="6" t="s">
        <v>310</v>
      </c>
      <c r="D689" s="6" t="s">
        <v>132</v>
      </c>
      <c r="E689" s="6" t="s">
        <v>251</v>
      </c>
      <c r="F689" s="6" t="s">
        <v>3229</v>
      </c>
      <c r="G689" s="8">
        <v>0.79396</v>
      </c>
      <c r="H689" s="8">
        <v>7.6595000000000004</v>
      </c>
      <c r="I689" s="6" t="s">
        <v>2467</v>
      </c>
      <c r="J689" s="6" t="s">
        <v>2459</v>
      </c>
      <c r="K689" s="6" t="s">
        <v>2460</v>
      </c>
      <c r="L689" s="6"/>
      <c r="M689" s="6"/>
      <c r="N689" s="6" t="s">
        <v>3268</v>
      </c>
      <c r="O689" s="6" t="s">
        <v>7</v>
      </c>
      <c r="P689" s="6" t="str">
        <f>VLOOKUP(Tableau1[[#This Row],[SITES NAMES]],[1]Feuil1!$1:$1048576,8,FALSE)</f>
        <v>OK</v>
      </c>
      <c r="Q689" s="6" t="str">
        <f>VLOOKUP(Tableau1[[#This Row],[SITES NAMES]],[1]Feuil1!$1:$1048576,9,FALSE)</f>
        <v>NO</v>
      </c>
      <c r="R689" s="6" t="str">
        <f>VLOOKUP(Tableau1[[#This Row],[SITES NAMES]],[1]Feuil1!$1:$1048576,10,FALSE)</f>
        <v>NO</v>
      </c>
      <c r="S689" s="6" t="s">
        <v>2461</v>
      </c>
      <c r="T689" s="6" t="s">
        <v>2462</v>
      </c>
      <c r="U689" s="6" t="s">
        <v>2463</v>
      </c>
      <c r="V689" s="6" t="s">
        <v>2472</v>
      </c>
      <c r="W689" s="6" t="s">
        <v>2473</v>
      </c>
      <c r="X689" s="8" t="s">
        <v>2587</v>
      </c>
      <c r="Y689" s="6" t="s">
        <v>3238</v>
      </c>
      <c r="Z689" s="6" t="s">
        <v>3256</v>
      </c>
      <c r="AA689" s="37" t="s">
        <v>3651</v>
      </c>
      <c r="AB689" s="39" t="s">
        <v>3644</v>
      </c>
      <c r="AC689" s="45" t="s">
        <v>3652</v>
      </c>
      <c r="AD689" s="39" t="s">
        <v>3646</v>
      </c>
      <c r="AE689" s="37" t="s">
        <v>3653</v>
      </c>
      <c r="AF689" s="37" t="s">
        <v>3654</v>
      </c>
      <c r="AG689" s="37" t="s">
        <v>3649</v>
      </c>
      <c r="AH689" s="37" t="s">
        <v>3655</v>
      </c>
    </row>
    <row r="690" spans="1:34" ht="14.45" hidden="1" customHeight="1" x14ac:dyDescent="0.3">
      <c r="A690" s="6" t="s">
        <v>360</v>
      </c>
      <c r="B690" s="7">
        <v>44070</v>
      </c>
      <c r="C690" s="6" t="s">
        <v>359</v>
      </c>
      <c r="D690" s="6" t="s">
        <v>320</v>
      </c>
      <c r="E690" s="6" t="s">
        <v>321</v>
      </c>
      <c r="F690" s="6" t="s">
        <v>3229</v>
      </c>
      <c r="G690" s="8">
        <v>0.72580299999999998</v>
      </c>
      <c r="H690" s="8">
        <v>8.2554049999999997</v>
      </c>
      <c r="I690" s="6" t="s">
        <v>2467</v>
      </c>
      <c r="J690" s="6" t="s">
        <v>2459</v>
      </c>
      <c r="K690" s="6" t="s">
        <v>2468</v>
      </c>
      <c r="L690" s="6" t="s">
        <v>3361</v>
      </c>
      <c r="M690" s="6"/>
      <c r="N690" s="6" t="s">
        <v>2468</v>
      </c>
      <c r="O690" s="6" t="s">
        <v>37</v>
      </c>
      <c r="P690" s="6" t="str">
        <f>VLOOKUP(Tableau1[[#This Row],[SITES NAMES]],[1]Feuil1!$1:$1048576,8,FALSE)</f>
        <v>OK</v>
      </c>
      <c r="Q690" s="6" t="str">
        <f>VLOOKUP(Tableau1[[#This Row],[SITES NAMES]],[1]Feuil1!$1:$1048576,9,FALSE)</f>
        <v>NO</v>
      </c>
      <c r="R690" s="6" t="str">
        <f>VLOOKUP(Tableau1[[#This Row],[SITES NAMES]],[1]Feuil1!$1:$1048576,10,FALSE)</f>
        <v>NO</v>
      </c>
      <c r="S690" s="6" t="s">
        <v>2461</v>
      </c>
      <c r="T690" s="6" t="s">
        <v>2462</v>
      </c>
      <c r="U690" s="6" t="s">
        <v>2463</v>
      </c>
      <c r="V690" s="6" t="s">
        <v>2472</v>
      </c>
      <c r="W690" s="6" t="s">
        <v>2473</v>
      </c>
      <c r="X690" s="8" t="s">
        <v>2602</v>
      </c>
      <c r="Y690" s="6" t="s">
        <v>3238</v>
      </c>
      <c r="Z690" s="6" t="s">
        <v>3266</v>
      </c>
      <c r="AA690" s="37" t="s">
        <v>3664</v>
      </c>
      <c r="AB690" s="39" t="s">
        <v>3665</v>
      </c>
      <c r="AC690" s="37" t="s">
        <v>3666</v>
      </c>
      <c r="AD690" s="37" t="s">
        <v>3667</v>
      </c>
      <c r="AE690" s="37" t="s">
        <v>3668</v>
      </c>
      <c r="AF690" s="37" t="s">
        <v>3669</v>
      </c>
      <c r="AG690" s="37" t="s">
        <v>3670</v>
      </c>
      <c r="AH690" s="37" t="s">
        <v>3671</v>
      </c>
    </row>
    <row r="691" spans="1:34" ht="15.75" hidden="1" x14ac:dyDescent="0.3">
      <c r="A691" s="6" t="s">
        <v>721</v>
      </c>
      <c r="B691" s="7">
        <v>0</v>
      </c>
      <c r="C691" s="6" t="s">
        <v>720</v>
      </c>
      <c r="D691" s="6" t="s">
        <v>657</v>
      </c>
      <c r="E691" s="6" t="s">
        <v>658</v>
      </c>
      <c r="F691" s="6" t="s">
        <v>3229</v>
      </c>
      <c r="G691" s="8">
        <v>0.61446999999999996</v>
      </c>
      <c r="H691" s="8">
        <v>9.6808300000000003</v>
      </c>
      <c r="I691" s="6" t="s">
        <v>2497</v>
      </c>
      <c r="J691" s="6" t="s">
        <v>2459</v>
      </c>
      <c r="K691" s="6" t="s">
        <v>2460</v>
      </c>
      <c r="L691" s="6"/>
      <c r="M691" s="6"/>
      <c r="N691" s="21" t="s">
        <v>3269</v>
      </c>
      <c r="O691" s="6" t="s">
        <v>7</v>
      </c>
      <c r="P691" s="6" t="str">
        <f>VLOOKUP(Tableau1[[#This Row],[SITES NAMES]],[1]Feuil1!$1:$1048576,8,FALSE)</f>
        <v>OK</v>
      </c>
      <c r="Q691" s="6" t="str">
        <f>VLOOKUP(Tableau1[[#This Row],[SITES NAMES]],[1]Feuil1!$1:$1048576,9,FALSE)</f>
        <v>NO</v>
      </c>
      <c r="R691" s="6" t="str">
        <f>VLOOKUP(Tableau1[[#This Row],[SITES NAMES]],[1]Feuil1!$1:$1048576,10,FALSE)</f>
        <v>YES</v>
      </c>
      <c r="S691" s="6" t="s">
        <v>2469</v>
      </c>
      <c r="T691" s="6" t="s">
        <v>2470</v>
      </c>
      <c r="U691" s="6" t="s">
        <v>2480</v>
      </c>
      <c r="V691" s="6" t="s">
        <v>2464</v>
      </c>
      <c r="W691" s="6" t="s">
        <v>2465</v>
      </c>
      <c r="X691" s="8" t="s">
        <v>2736</v>
      </c>
      <c r="Y691" s="6" t="s">
        <v>3239</v>
      </c>
      <c r="Z691" s="6" t="s">
        <v>3253</v>
      </c>
      <c r="AA691" s="38" t="s">
        <v>3682</v>
      </c>
      <c r="AB691" s="38" t="s">
        <v>3683</v>
      </c>
      <c r="AC691" s="38" t="s">
        <v>3684</v>
      </c>
      <c r="AD691" s="38" t="s">
        <v>3682</v>
      </c>
      <c r="AE691" s="38" t="s">
        <v>3682</v>
      </c>
      <c r="AF691" s="38" t="s">
        <v>3682</v>
      </c>
      <c r="AG691" s="40" t="s">
        <v>3685</v>
      </c>
      <c r="AH691" s="37" t="s">
        <v>3686</v>
      </c>
    </row>
    <row r="692" spans="1:34" ht="14.45" hidden="1" customHeight="1" x14ac:dyDescent="0.3">
      <c r="A692" s="6" t="s">
        <v>656</v>
      </c>
      <c r="B692" s="7">
        <v>44832</v>
      </c>
      <c r="C692" s="6" t="s">
        <v>655</v>
      </c>
      <c r="D692" s="6" t="s">
        <v>657</v>
      </c>
      <c r="E692" s="6" t="s">
        <v>658</v>
      </c>
      <c r="F692" s="6" t="s">
        <v>3229</v>
      </c>
      <c r="G692" s="8">
        <v>0.61019000000000001</v>
      </c>
      <c r="H692" s="8">
        <v>9.6950099999999999</v>
      </c>
      <c r="I692" s="6" t="s">
        <v>2479</v>
      </c>
      <c r="J692" s="6" t="s">
        <v>2459</v>
      </c>
      <c r="K692" s="6" t="s">
        <v>2460</v>
      </c>
      <c r="L692" s="6" t="s">
        <v>3506</v>
      </c>
      <c r="M692" s="6"/>
      <c r="N692" s="6" t="s">
        <v>3268</v>
      </c>
      <c r="O692" s="6" t="s">
        <v>7</v>
      </c>
      <c r="P692" s="6" t="str">
        <f>VLOOKUP(Tableau1[[#This Row],[SITES NAMES]],[1]Feuil1!$1:$1048576,8,FALSE)</f>
        <v>OK</v>
      </c>
      <c r="Q692" s="6" t="str">
        <f>VLOOKUP(Tableau1[[#This Row],[SITES NAMES]],[1]Feuil1!$1:$1048576,9,FALSE)</f>
        <v>NO</v>
      </c>
      <c r="R692" s="6" t="str">
        <f>VLOOKUP(Tableau1[[#This Row],[SITES NAMES]],[1]Feuil1!$1:$1048576,10,FALSE)</f>
        <v>YES</v>
      </c>
      <c r="S692" s="6" t="s">
        <v>2469</v>
      </c>
      <c r="T692" s="6" t="s">
        <v>2470</v>
      </c>
      <c r="U692" s="6" t="s">
        <v>2480</v>
      </c>
      <c r="V692" s="6" t="s">
        <v>2498</v>
      </c>
      <c r="W692" s="6" t="s">
        <v>2476</v>
      </c>
      <c r="X692" s="8"/>
      <c r="Y692" s="6" t="s">
        <v>3239</v>
      </c>
      <c r="Z692" s="6" t="s">
        <v>3253</v>
      </c>
      <c r="AA692" s="38" t="s">
        <v>3682</v>
      </c>
      <c r="AB692" s="38" t="s">
        <v>3683</v>
      </c>
      <c r="AC692" s="38" t="s">
        <v>3684</v>
      </c>
      <c r="AD692" s="38" t="s">
        <v>3682</v>
      </c>
      <c r="AE692" s="38" t="s">
        <v>3682</v>
      </c>
      <c r="AF692" s="38" t="s">
        <v>3682</v>
      </c>
      <c r="AG692" s="40" t="s">
        <v>3685</v>
      </c>
      <c r="AH692" s="37" t="s">
        <v>3686</v>
      </c>
    </row>
    <row r="693" spans="1:34" ht="15.75" hidden="1" x14ac:dyDescent="0.3">
      <c r="A693" s="6" t="s">
        <v>723</v>
      </c>
      <c r="B693" s="7">
        <v>0</v>
      </c>
      <c r="C693" s="6" t="s">
        <v>722</v>
      </c>
      <c r="D693" s="6" t="s">
        <v>657</v>
      </c>
      <c r="E693" s="6" t="s">
        <v>658</v>
      </c>
      <c r="F693" s="6" t="s">
        <v>3229</v>
      </c>
      <c r="G693" s="8">
        <v>0.62419000000000002</v>
      </c>
      <c r="H693" s="8">
        <v>9.6879399999999993</v>
      </c>
      <c r="I693" s="6" t="s">
        <v>2497</v>
      </c>
      <c r="J693" s="6" t="s">
        <v>2459</v>
      </c>
      <c r="K693" s="6" t="s">
        <v>2460</v>
      </c>
      <c r="L693" s="6"/>
      <c r="M693" s="6"/>
      <c r="N693" s="21" t="s">
        <v>3269</v>
      </c>
      <c r="O693" s="6" t="s">
        <v>18</v>
      </c>
      <c r="P693" s="6" t="str">
        <f>VLOOKUP(Tableau1[[#This Row],[SITES NAMES]],[1]Feuil1!$1:$1048576,8,FALSE)</f>
        <v>OK</v>
      </c>
      <c r="Q693" s="6" t="str">
        <f>VLOOKUP(Tableau1[[#This Row],[SITES NAMES]],[1]Feuil1!$1:$1048576,9,FALSE)</f>
        <v>NO</v>
      </c>
      <c r="R693" s="6" t="str">
        <f>VLOOKUP(Tableau1[[#This Row],[SITES NAMES]],[1]Feuil1!$1:$1048576,10,FALSE)</f>
        <v>NO</v>
      </c>
      <c r="S693" s="6" t="s">
        <v>2461</v>
      </c>
      <c r="T693" s="6" t="s">
        <v>2470</v>
      </c>
      <c r="U693" s="6" t="s">
        <v>2463</v>
      </c>
      <c r="V693" s="6" t="s">
        <v>2472</v>
      </c>
      <c r="W693" s="6" t="s">
        <v>2465</v>
      </c>
      <c r="X693" s="8" t="s">
        <v>2737</v>
      </c>
      <c r="Y693" s="6" t="s">
        <v>3239</v>
      </c>
      <c r="Z693" s="6" t="s">
        <v>3253</v>
      </c>
      <c r="AA693" s="38" t="s">
        <v>3682</v>
      </c>
      <c r="AB693" s="38" t="s">
        <v>3683</v>
      </c>
      <c r="AC693" s="38" t="s">
        <v>3684</v>
      </c>
      <c r="AD693" s="38" t="s">
        <v>3682</v>
      </c>
      <c r="AE693" s="38" t="s">
        <v>3682</v>
      </c>
      <c r="AF693" s="38" t="s">
        <v>3682</v>
      </c>
      <c r="AG693" s="40" t="s">
        <v>3685</v>
      </c>
      <c r="AH693" s="37" t="s">
        <v>3686</v>
      </c>
    </row>
    <row r="694" spans="1:34" ht="14.45" hidden="1" customHeight="1" x14ac:dyDescent="0.3">
      <c r="A694" s="6" t="s">
        <v>2013</v>
      </c>
      <c r="B694" s="7">
        <v>0</v>
      </c>
      <c r="C694" s="6" t="s">
        <v>2012</v>
      </c>
      <c r="D694" s="6" t="s">
        <v>395</v>
      </c>
      <c r="E694" s="6" t="s">
        <v>1965</v>
      </c>
      <c r="F694" s="6" t="s">
        <v>3229</v>
      </c>
      <c r="G694" s="8">
        <v>0.39729999999999999</v>
      </c>
      <c r="H694" s="8">
        <v>9.9932359999999996</v>
      </c>
      <c r="I694" s="6" t="s">
        <v>2477</v>
      </c>
      <c r="J694" s="6" t="s">
        <v>2459</v>
      </c>
      <c r="K694" s="6" t="s">
        <v>2468</v>
      </c>
      <c r="L694" s="6" t="s">
        <v>3507</v>
      </c>
      <c r="M694" s="6"/>
      <c r="N694" s="6" t="s">
        <v>2468</v>
      </c>
      <c r="O694" s="6" t="s">
        <v>40</v>
      </c>
      <c r="P694" s="6" t="str">
        <f>VLOOKUP(Tableau1[[#This Row],[SITES NAMES]],[1]Feuil1!$1:$1048576,8,FALSE)</f>
        <v>NOK</v>
      </c>
      <c r="Q694" s="6" t="str">
        <f>VLOOKUP(Tableau1[[#This Row],[SITES NAMES]],[1]Feuil1!$1:$1048576,9,FALSE)</f>
        <v>NO</v>
      </c>
      <c r="R694" s="6" t="str">
        <f>VLOOKUP(Tableau1[[#This Row],[SITES NAMES]],[1]Feuil1!$1:$1048576,10,FALSE)</f>
        <v>NO</v>
      </c>
      <c r="S694" s="6" t="s">
        <v>2461</v>
      </c>
      <c r="T694" s="6" t="s">
        <v>2462</v>
      </c>
      <c r="U694" s="6" t="s">
        <v>2463</v>
      </c>
      <c r="V694" s="6" t="s">
        <v>2472</v>
      </c>
      <c r="W694" s="6" t="s">
        <v>2473</v>
      </c>
      <c r="X694" s="8" t="s">
        <v>3082</v>
      </c>
      <c r="Y694" s="6" t="s">
        <v>3240</v>
      </c>
      <c r="Z694" s="6" t="s">
        <v>3255</v>
      </c>
      <c r="AA694" s="37" t="s">
        <v>3712</v>
      </c>
      <c r="AB694" s="39" t="s">
        <v>3705</v>
      </c>
      <c r="AC694" s="37" t="s">
        <v>3713</v>
      </c>
      <c r="AD694" s="37" t="s">
        <v>3712</v>
      </c>
      <c r="AE694" s="37" t="s">
        <v>3712</v>
      </c>
      <c r="AF694" s="37" t="s">
        <v>3712</v>
      </c>
      <c r="AG694" s="40" t="s">
        <v>3714</v>
      </c>
      <c r="AH694" s="37" t="s">
        <v>3715</v>
      </c>
    </row>
    <row r="695" spans="1:34" ht="14.45" hidden="1" customHeight="1" x14ac:dyDescent="0.3">
      <c r="A695" s="6" t="s">
        <v>2286</v>
      </c>
      <c r="B695" s="7">
        <v>0</v>
      </c>
      <c r="C695" s="6" t="s">
        <v>2285</v>
      </c>
      <c r="D695" s="6" t="s">
        <v>320</v>
      </c>
      <c r="E695" s="6" t="s">
        <v>2274</v>
      </c>
      <c r="F695" s="6" t="s">
        <v>3229</v>
      </c>
      <c r="G695" s="8">
        <v>1.5180199999999999</v>
      </c>
      <c r="H695" s="8">
        <v>8.9497</v>
      </c>
      <c r="I695" s="6" t="s">
        <v>2477</v>
      </c>
      <c r="J695" s="6" t="s">
        <v>2459</v>
      </c>
      <c r="K695" s="6" t="s">
        <v>2460</v>
      </c>
      <c r="L695" s="6" t="s">
        <v>3508</v>
      </c>
      <c r="M695" s="6"/>
      <c r="N695" s="6" t="s">
        <v>3268</v>
      </c>
      <c r="O695" s="6" t="s">
        <v>7</v>
      </c>
      <c r="P695" s="6" t="str">
        <f>VLOOKUP(Tableau1[[#This Row],[SITES NAMES]],[1]Feuil1!$1:$1048576,8,FALSE)</f>
        <v>NOK</v>
      </c>
      <c r="Q695" s="6" t="str">
        <f>VLOOKUP(Tableau1[[#This Row],[SITES NAMES]],[1]Feuil1!$1:$1048576,9,FALSE)</f>
        <v>NO</v>
      </c>
      <c r="R695" s="6" t="str">
        <f>VLOOKUP(Tableau1[[#This Row],[SITES NAMES]],[1]Feuil1!$1:$1048576,10,FALSE)</f>
        <v>NO</v>
      </c>
      <c r="S695" s="6" t="s">
        <v>2461</v>
      </c>
      <c r="T695" s="6" t="s">
        <v>2470</v>
      </c>
      <c r="U695" s="6" t="s">
        <v>2463</v>
      </c>
      <c r="V695" s="6" t="s">
        <v>2472</v>
      </c>
      <c r="W695" s="6" t="s">
        <v>2473</v>
      </c>
      <c r="X695" s="8" t="s">
        <v>3182</v>
      </c>
      <c r="Y695" s="6" t="s">
        <v>3238</v>
      </c>
      <c r="Z695" s="6" t="s">
        <v>3254</v>
      </c>
      <c r="AA695" s="37" t="s">
        <v>3678</v>
      </c>
      <c r="AB695" s="39" t="s">
        <v>3665</v>
      </c>
      <c r="AC695" s="37" t="s">
        <v>3679</v>
      </c>
      <c r="AD695" s="37" t="s">
        <v>3678</v>
      </c>
      <c r="AE695" s="37" t="s">
        <v>3680</v>
      </c>
      <c r="AF695" s="39" t="s">
        <v>3676</v>
      </c>
      <c r="AG695" s="37" t="s">
        <v>3670</v>
      </c>
      <c r="AH695" s="37" t="s">
        <v>3681</v>
      </c>
    </row>
    <row r="696" spans="1:34" ht="14.45" hidden="1" customHeight="1" x14ac:dyDescent="0.3">
      <c r="A696" s="6" t="s">
        <v>2213</v>
      </c>
      <c r="B696" s="7">
        <v>0</v>
      </c>
      <c r="C696" s="6" t="s">
        <v>2212</v>
      </c>
      <c r="D696" s="6" t="s">
        <v>320</v>
      </c>
      <c r="E696" s="6" t="s">
        <v>2141</v>
      </c>
      <c r="F696" s="6" t="s">
        <v>3229</v>
      </c>
      <c r="G696" s="8">
        <v>1.1676944440000001</v>
      </c>
      <c r="H696" s="8">
        <v>8.972138889</v>
      </c>
      <c r="I696" s="6" t="s">
        <v>2497</v>
      </c>
      <c r="J696" s="6" t="s">
        <v>2459</v>
      </c>
      <c r="K696" s="6" t="s">
        <v>2460</v>
      </c>
      <c r="L696" s="6"/>
      <c r="M696" s="6"/>
      <c r="N696" s="6" t="s">
        <v>3268</v>
      </c>
      <c r="O696" s="6" t="s">
        <v>7</v>
      </c>
      <c r="P696" s="6" t="str">
        <f>VLOOKUP(Tableau1[[#This Row],[SITES NAMES]],[1]Feuil1!$1:$1048576,8,FALSE)</f>
        <v>OK</v>
      </c>
      <c r="Q696" s="6" t="str">
        <f>VLOOKUP(Tableau1[[#This Row],[SITES NAMES]],[1]Feuil1!$1:$1048576,9,FALSE)</f>
        <v>NO</v>
      </c>
      <c r="R696" s="6" t="str">
        <f>VLOOKUP(Tableau1[[#This Row],[SITES NAMES]],[1]Feuil1!$1:$1048576,10,FALSE)</f>
        <v>NO</v>
      </c>
      <c r="S696" s="6" t="s">
        <v>2469</v>
      </c>
      <c r="T696" s="6" t="s">
        <v>2470</v>
      </c>
      <c r="U696" s="6" t="s">
        <v>2471</v>
      </c>
      <c r="V696" s="6" t="s">
        <v>2464</v>
      </c>
      <c r="W696" s="6" t="s">
        <v>2476</v>
      </c>
      <c r="X696" s="8">
        <v>70996912</v>
      </c>
      <c r="Y696" s="6" t="s">
        <v>3238</v>
      </c>
      <c r="Z696" s="6" t="s">
        <v>3254</v>
      </c>
      <c r="AA696" s="37" t="s">
        <v>3672</v>
      </c>
      <c r="AB696" s="39" t="s">
        <v>3665</v>
      </c>
      <c r="AC696" s="37" t="s">
        <v>3673</v>
      </c>
      <c r="AD696" s="37" t="s">
        <v>3674</v>
      </c>
      <c r="AE696" s="37" t="s">
        <v>3675</v>
      </c>
      <c r="AF696" s="39" t="s">
        <v>3676</v>
      </c>
      <c r="AG696" s="37" t="s">
        <v>3670</v>
      </c>
      <c r="AH696" s="37" t="s">
        <v>3677</v>
      </c>
    </row>
    <row r="697" spans="1:34" ht="14.45" hidden="1" customHeight="1" x14ac:dyDescent="0.3">
      <c r="A697" s="6" t="s">
        <v>1092</v>
      </c>
      <c r="B697" s="7">
        <v>0</v>
      </c>
      <c r="C697" s="6" t="s">
        <v>1091</v>
      </c>
      <c r="D697" s="6" t="s">
        <v>5</v>
      </c>
      <c r="E697" s="6" t="s">
        <v>1003</v>
      </c>
      <c r="F697" s="6" t="s">
        <v>3229</v>
      </c>
      <c r="G697" s="8">
        <v>0.57130999999999998</v>
      </c>
      <c r="H697" s="8">
        <v>6.9953599999999998</v>
      </c>
      <c r="I697" s="6" t="s">
        <v>2477</v>
      </c>
      <c r="J697" s="6" t="s">
        <v>2459</v>
      </c>
      <c r="K697" s="6" t="s">
        <v>2468</v>
      </c>
      <c r="L697" s="6" t="s">
        <v>3509</v>
      </c>
      <c r="M697" s="6"/>
      <c r="N697" s="6" t="s">
        <v>2468</v>
      </c>
      <c r="O697" s="6" t="s">
        <v>7</v>
      </c>
      <c r="P697" s="6" t="str">
        <f>VLOOKUP(Tableau1[[#This Row],[SITES NAMES]],[1]Feuil1!$1:$1048576,8,FALSE)</f>
        <v>OK</v>
      </c>
      <c r="Q697" s="6" t="str">
        <f>VLOOKUP(Tableau1[[#This Row],[SITES NAMES]],[1]Feuil1!$1:$1048576,9,FALSE)</f>
        <v>NO</v>
      </c>
      <c r="R697" s="6" t="str">
        <f>VLOOKUP(Tableau1[[#This Row],[SITES NAMES]],[1]Feuil1!$1:$1048576,10,FALSE)</f>
        <v>NO</v>
      </c>
      <c r="S697" s="6" t="s">
        <v>2469</v>
      </c>
      <c r="T697" s="6" t="s">
        <v>2470</v>
      </c>
      <c r="U697" s="6" t="s">
        <v>2480</v>
      </c>
      <c r="V697" s="6" t="s">
        <v>2472</v>
      </c>
      <c r="W697" s="6" t="s">
        <v>2473</v>
      </c>
      <c r="X697" s="8" t="s">
        <v>2866</v>
      </c>
      <c r="Y697" s="6" t="s">
        <v>3241</v>
      </c>
      <c r="Z697" s="6"/>
      <c r="AA697" s="37" t="s">
        <v>3634</v>
      </c>
      <c r="AB697" s="38" t="s">
        <v>3627</v>
      </c>
      <c r="AC697" s="37" t="s">
        <v>3635</v>
      </c>
      <c r="AD697" s="37" t="s">
        <v>3636</v>
      </c>
      <c r="AE697" s="37" t="s">
        <v>3637</v>
      </c>
      <c r="AF697" s="37" t="s">
        <v>3636</v>
      </c>
      <c r="AG697" s="37" t="s">
        <v>3638</v>
      </c>
      <c r="AH697" s="37" t="s">
        <v>3639</v>
      </c>
    </row>
    <row r="698" spans="1:34" ht="14.45" hidden="1" customHeight="1" x14ac:dyDescent="0.3">
      <c r="A698" s="6" t="s">
        <v>1016</v>
      </c>
      <c r="B698" s="7">
        <v>0</v>
      </c>
      <c r="C698" s="6" t="s">
        <v>1015</v>
      </c>
      <c r="D698" s="6" t="s">
        <v>5</v>
      </c>
      <c r="E698" s="6" t="s">
        <v>1003</v>
      </c>
      <c r="F698" s="6" t="s">
        <v>3229</v>
      </c>
      <c r="G698" s="8">
        <v>0.56949000000000005</v>
      </c>
      <c r="H698" s="8">
        <v>6.95275</v>
      </c>
      <c r="I698" s="6" t="s">
        <v>2477</v>
      </c>
      <c r="J698" s="6" t="s">
        <v>2459</v>
      </c>
      <c r="K698" s="6" t="s">
        <v>2468</v>
      </c>
      <c r="L698" s="6" t="s">
        <v>3454</v>
      </c>
      <c r="M698" s="6"/>
      <c r="N698" s="6" t="s">
        <v>2468</v>
      </c>
      <c r="O698" s="6" t="s">
        <v>7</v>
      </c>
      <c r="P698" s="6" t="str">
        <f>VLOOKUP(Tableau1[[#This Row],[SITES NAMES]],[1]Feuil1!$1:$1048576,8,FALSE)</f>
        <v>NOK</v>
      </c>
      <c r="Q698" s="6" t="str">
        <f>VLOOKUP(Tableau1[[#This Row],[SITES NAMES]],[1]Feuil1!$1:$1048576,9,FALSE)</f>
        <v>NO</v>
      </c>
      <c r="R698" s="6" t="str">
        <f>VLOOKUP(Tableau1[[#This Row],[SITES NAMES]],[1]Feuil1!$1:$1048576,10,FALSE)</f>
        <v>NO</v>
      </c>
      <c r="S698" s="6" t="s">
        <v>2469</v>
      </c>
      <c r="T698" s="6" t="s">
        <v>2470</v>
      </c>
      <c r="U698" s="6" t="s">
        <v>2480</v>
      </c>
      <c r="V698" s="6" t="s">
        <v>2472</v>
      </c>
      <c r="W698" s="6" t="s">
        <v>2473</v>
      </c>
      <c r="X698" s="8" t="s">
        <v>2843</v>
      </c>
      <c r="Y698" s="6" t="s">
        <v>3241</v>
      </c>
      <c r="Z698" s="6"/>
      <c r="AA698" s="37" t="s">
        <v>3634</v>
      </c>
      <c r="AB698" s="38" t="s">
        <v>3627</v>
      </c>
      <c r="AC698" s="37" t="s">
        <v>3635</v>
      </c>
      <c r="AD698" s="37" t="s">
        <v>3636</v>
      </c>
      <c r="AE698" s="37" t="s">
        <v>3637</v>
      </c>
      <c r="AF698" s="37" t="s">
        <v>3636</v>
      </c>
      <c r="AG698" s="37" t="s">
        <v>3638</v>
      </c>
      <c r="AH698" s="37" t="s">
        <v>3639</v>
      </c>
    </row>
    <row r="699" spans="1:34" ht="14.45" hidden="1" customHeight="1" x14ac:dyDescent="0.3">
      <c r="A699" s="6" t="s">
        <v>534</v>
      </c>
      <c r="B699" s="7">
        <v>0</v>
      </c>
      <c r="C699" s="6" t="s">
        <v>533</v>
      </c>
      <c r="D699" s="6" t="s">
        <v>395</v>
      </c>
      <c r="E699" s="6" t="s">
        <v>396</v>
      </c>
      <c r="F699" s="6" t="s">
        <v>3229</v>
      </c>
      <c r="G699" s="8">
        <v>7.7799999999999996E-3</v>
      </c>
      <c r="H699" s="8">
        <v>10.6564</v>
      </c>
      <c r="I699" s="6" t="s">
        <v>2477</v>
      </c>
      <c r="J699" s="6" t="s">
        <v>2459</v>
      </c>
      <c r="K699" s="6" t="s">
        <v>2468</v>
      </c>
      <c r="L699" s="6" t="s">
        <v>3510</v>
      </c>
      <c r="M699" s="6"/>
      <c r="N699" s="6" t="s">
        <v>2468</v>
      </c>
      <c r="O699" s="6" t="s">
        <v>40</v>
      </c>
      <c r="P699" s="6" t="str">
        <f>VLOOKUP(Tableau1[[#This Row],[SITES NAMES]],[1]Feuil1!$1:$1048576,8,FALSE)</f>
        <v>OK</v>
      </c>
      <c r="Q699" s="6" t="str">
        <f>VLOOKUP(Tableau1[[#This Row],[SITES NAMES]],[1]Feuil1!$1:$1048576,9,FALSE)</f>
        <v>NO</v>
      </c>
      <c r="R699" s="6" t="str">
        <f>VLOOKUP(Tableau1[[#This Row],[SITES NAMES]],[1]Feuil1!$1:$1048576,10,FALSE)</f>
        <v>YES</v>
      </c>
      <c r="S699" s="6" t="s">
        <v>2469</v>
      </c>
      <c r="T699" s="6" t="s">
        <v>2470</v>
      </c>
      <c r="U699" s="6" t="s">
        <v>2471</v>
      </c>
      <c r="V699" s="6" t="s">
        <v>2472</v>
      </c>
      <c r="W699" s="6" t="s">
        <v>2473</v>
      </c>
      <c r="X699" s="8" t="s">
        <v>2667</v>
      </c>
      <c r="Y699" s="6" t="s">
        <v>3240</v>
      </c>
      <c r="Z699" s="6" t="s">
        <v>3255</v>
      </c>
      <c r="AA699" s="37" t="s">
        <v>3704</v>
      </c>
      <c r="AB699" s="39" t="s">
        <v>3705</v>
      </c>
      <c r="AC699" s="37" t="s">
        <v>3706</v>
      </c>
      <c r="AD699" s="37" t="s">
        <v>3707</v>
      </c>
      <c r="AE699" s="37" t="s">
        <v>3708</v>
      </c>
      <c r="AF699" s="37" t="s">
        <v>3709</v>
      </c>
      <c r="AG699" s="46" t="s">
        <v>3710</v>
      </c>
      <c r="AH699" s="37" t="s">
        <v>3711</v>
      </c>
    </row>
    <row r="700" spans="1:34" ht="14.45" hidden="1" customHeight="1" x14ac:dyDescent="0.3">
      <c r="A700" s="6" t="s">
        <v>867</v>
      </c>
      <c r="B700" s="7">
        <v>0</v>
      </c>
      <c r="C700" s="6" t="s">
        <v>866</v>
      </c>
      <c r="D700" s="6" t="s">
        <v>657</v>
      </c>
      <c r="E700" s="6" t="s">
        <v>3237</v>
      </c>
      <c r="F700" s="6" t="s">
        <v>3229</v>
      </c>
      <c r="G700" s="8">
        <v>1.1880599999999999</v>
      </c>
      <c r="H700" s="8">
        <v>9.7182999999999993</v>
      </c>
      <c r="I700" s="6" t="s">
        <v>2477</v>
      </c>
      <c r="J700" s="6" t="s">
        <v>2459</v>
      </c>
      <c r="K700" s="6" t="s">
        <v>2468</v>
      </c>
      <c r="L700" s="6" t="s">
        <v>3511</v>
      </c>
      <c r="M700" s="6"/>
      <c r="N700" s="6" t="s">
        <v>2468</v>
      </c>
      <c r="O700" s="6" t="s">
        <v>18</v>
      </c>
      <c r="P700" s="6" t="str">
        <f>VLOOKUP(Tableau1[[#This Row],[SITES NAMES]],[1]Feuil1!$1:$1048576,8,FALSE)</f>
        <v>NOK</v>
      </c>
      <c r="Q700" s="6" t="str">
        <f>VLOOKUP(Tableau1[[#This Row],[SITES NAMES]],[1]Feuil1!$1:$1048576,9,FALSE)</f>
        <v>NO</v>
      </c>
      <c r="R700" s="6" t="str">
        <f>VLOOKUP(Tableau1[[#This Row],[SITES NAMES]],[1]Feuil1!$1:$1048576,10,FALSE)</f>
        <v>YES</v>
      </c>
      <c r="S700" s="6" t="s">
        <v>2469</v>
      </c>
      <c r="T700" s="6" t="s">
        <v>2470</v>
      </c>
      <c r="U700" s="6" t="s">
        <v>2471</v>
      </c>
      <c r="V700" s="6" t="s">
        <v>2472</v>
      </c>
      <c r="W700" s="6" t="s">
        <v>2473</v>
      </c>
      <c r="X700" s="8" t="s">
        <v>2791</v>
      </c>
      <c r="Y700" s="6" t="s">
        <v>3239</v>
      </c>
      <c r="Z700" s="6" t="s">
        <v>3253</v>
      </c>
      <c r="AA700" s="37" t="s">
        <v>3692</v>
      </c>
      <c r="AB700" s="38" t="s">
        <v>3683</v>
      </c>
      <c r="AC700" s="39" t="s">
        <v>3693</v>
      </c>
      <c r="AD700" s="39" t="s">
        <v>3694</v>
      </c>
      <c r="AE700" s="37" t="s">
        <v>3695</v>
      </c>
      <c r="AF700" s="39" t="s">
        <v>3696</v>
      </c>
      <c r="AG700" s="40" t="s">
        <v>3685</v>
      </c>
      <c r="AH700" s="37" t="s">
        <v>3697</v>
      </c>
    </row>
    <row r="701" spans="1:34" ht="14.45" hidden="1" customHeight="1" x14ac:dyDescent="0.3">
      <c r="A701" s="6" t="s">
        <v>977</v>
      </c>
      <c r="B701" s="7">
        <v>0</v>
      </c>
      <c r="C701" s="6" t="s">
        <v>976</v>
      </c>
      <c r="D701" s="6" t="s">
        <v>657</v>
      </c>
      <c r="E701" s="6" t="s">
        <v>3235</v>
      </c>
      <c r="F701" s="6" t="s">
        <v>3229</v>
      </c>
      <c r="G701" s="8">
        <v>1.2340100000000001</v>
      </c>
      <c r="H701" s="8">
        <v>9.3093699999999995</v>
      </c>
      <c r="I701" s="6" t="s">
        <v>2486</v>
      </c>
      <c r="J701" s="6" t="s">
        <v>2459</v>
      </c>
      <c r="K701" s="6" t="s">
        <v>2460</v>
      </c>
      <c r="L701" s="6"/>
      <c r="M701" s="6"/>
      <c r="N701" s="6" t="s">
        <v>3268</v>
      </c>
      <c r="O701" s="6" t="s">
        <v>7</v>
      </c>
      <c r="P701" s="6" t="str">
        <f>VLOOKUP(Tableau1[[#This Row],[SITES NAMES]],[1]Feuil1!$1:$1048576,8,FALSE)</f>
        <v>OK</v>
      </c>
      <c r="Q701" s="6" t="str">
        <f>VLOOKUP(Tableau1[[#This Row],[SITES NAMES]],[1]Feuil1!$1:$1048576,9,FALSE)</f>
        <v>NO</v>
      </c>
      <c r="R701" s="6" t="str">
        <f>VLOOKUP(Tableau1[[#This Row],[SITES NAMES]],[1]Feuil1!$1:$1048576,10,FALSE)</f>
        <v>NO</v>
      </c>
      <c r="S701" s="6" t="s">
        <v>2461</v>
      </c>
      <c r="T701" s="6" t="s">
        <v>2462</v>
      </c>
      <c r="U701" s="6" t="s">
        <v>2463</v>
      </c>
      <c r="V701" s="6" t="s">
        <v>2472</v>
      </c>
      <c r="W701" s="6" t="s">
        <v>2473</v>
      </c>
      <c r="X701" s="8" t="s">
        <v>2827</v>
      </c>
      <c r="Y701" s="6" t="s">
        <v>3239</v>
      </c>
      <c r="Z701" s="6" t="s">
        <v>3253</v>
      </c>
      <c r="AA701" s="37" t="s">
        <v>3698</v>
      </c>
      <c r="AB701" s="38" t="s">
        <v>3683</v>
      </c>
      <c r="AC701" s="39" t="s">
        <v>3699</v>
      </c>
      <c r="AD701" s="39" t="s">
        <v>3700</v>
      </c>
      <c r="AE701" s="37" t="s">
        <v>3701</v>
      </c>
      <c r="AF701" s="39" t="s">
        <v>3702</v>
      </c>
      <c r="AG701" s="40" t="s">
        <v>3685</v>
      </c>
      <c r="AH701" s="37" t="s">
        <v>3703</v>
      </c>
    </row>
    <row r="702" spans="1:34" ht="15.75" hidden="1" x14ac:dyDescent="0.3">
      <c r="A702" s="6" t="s">
        <v>1981</v>
      </c>
      <c r="B702" s="7">
        <v>0</v>
      </c>
      <c r="C702" s="6" t="s">
        <v>1980</v>
      </c>
      <c r="D702" s="6" t="s">
        <v>395</v>
      </c>
      <c r="E702" s="6" t="s">
        <v>1965</v>
      </c>
      <c r="F702" s="6" t="s">
        <v>3229</v>
      </c>
      <c r="G702" s="8">
        <v>0.44574999999999998</v>
      </c>
      <c r="H702" s="8">
        <v>10.175219999999999</v>
      </c>
      <c r="I702" s="6" t="s">
        <v>2467</v>
      </c>
      <c r="J702" s="6" t="s">
        <v>2459</v>
      </c>
      <c r="K702" s="6" t="s">
        <v>2460</v>
      </c>
      <c r="L702" s="6"/>
      <c r="M702" s="6"/>
      <c r="N702" s="21" t="s">
        <v>3269</v>
      </c>
      <c r="O702" s="6" t="s">
        <v>40</v>
      </c>
      <c r="P702" s="6" t="str">
        <f>VLOOKUP(Tableau1[[#This Row],[SITES NAMES]],[1]Feuil1!$1:$1048576,8,FALSE)</f>
        <v>OK</v>
      </c>
      <c r="Q702" s="6" t="str">
        <f>VLOOKUP(Tableau1[[#This Row],[SITES NAMES]],[1]Feuil1!$1:$1048576,9,FALSE)</f>
        <v>NO</v>
      </c>
      <c r="R702" s="6" t="str">
        <f>VLOOKUP(Tableau1[[#This Row],[SITES NAMES]],[1]Feuil1!$1:$1048576,10,FALSE)</f>
        <v>NO</v>
      </c>
      <c r="S702" s="6" t="s">
        <v>2461</v>
      </c>
      <c r="T702" s="6" t="s">
        <v>2470</v>
      </c>
      <c r="U702" s="6" t="s">
        <v>2463</v>
      </c>
      <c r="V702" s="6" t="s">
        <v>2472</v>
      </c>
      <c r="W702" s="6" t="s">
        <v>2473</v>
      </c>
      <c r="X702" s="8" t="s">
        <v>3071</v>
      </c>
      <c r="Y702" s="6" t="s">
        <v>3240</v>
      </c>
      <c r="Z702" s="6" t="s">
        <v>3255</v>
      </c>
      <c r="AA702" s="37" t="s">
        <v>3712</v>
      </c>
      <c r="AB702" s="39" t="s">
        <v>3705</v>
      </c>
      <c r="AC702" s="37" t="s">
        <v>3713</v>
      </c>
      <c r="AD702" s="37" t="s">
        <v>3712</v>
      </c>
      <c r="AE702" s="37" t="s">
        <v>3712</v>
      </c>
      <c r="AF702" s="37" t="s">
        <v>3712</v>
      </c>
      <c r="AG702" s="40" t="s">
        <v>3714</v>
      </c>
      <c r="AH702" s="37" t="s">
        <v>3715</v>
      </c>
    </row>
    <row r="703" spans="1:34" ht="14.45" hidden="1" customHeight="1" x14ac:dyDescent="0.3">
      <c r="A703" s="6" t="s">
        <v>2015</v>
      </c>
      <c r="B703" s="7">
        <v>0</v>
      </c>
      <c r="C703" s="6" t="s">
        <v>2014</v>
      </c>
      <c r="D703" s="6" t="s">
        <v>395</v>
      </c>
      <c r="E703" s="6" t="s">
        <v>1965</v>
      </c>
      <c r="F703" s="6" t="s">
        <v>3229</v>
      </c>
      <c r="G703" s="8">
        <v>0.40240999999999999</v>
      </c>
      <c r="H703" s="8">
        <v>10.240130000000001</v>
      </c>
      <c r="I703" s="6" t="s">
        <v>2467</v>
      </c>
      <c r="J703" s="6" t="s">
        <v>2459</v>
      </c>
      <c r="K703" s="6" t="s">
        <v>2468</v>
      </c>
      <c r="L703" s="6" t="s">
        <v>3512</v>
      </c>
      <c r="M703" s="6"/>
      <c r="N703" s="6" t="s">
        <v>2468</v>
      </c>
      <c r="O703" s="6" t="s">
        <v>18</v>
      </c>
      <c r="P703" s="6" t="str">
        <f>VLOOKUP(Tableau1[[#This Row],[SITES NAMES]],[1]Feuil1!$1:$1048576,8,FALSE)</f>
        <v>OK</v>
      </c>
      <c r="Q703" s="6" t="str">
        <f>VLOOKUP(Tableau1[[#This Row],[SITES NAMES]],[1]Feuil1!$1:$1048576,9,FALSE)</f>
        <v>NO</v>
      </c>
      <c r="R703" s="6" t="str">
        <f>VLOOKUP(Tableau1[[#This Row],[SITES NAMES]],[1]Feuil1!$1:$1048576,10,FALSE)</f>
        <v>NO</v>
      </c>
      <c r="S703" s="6" t="s">
        <v>2469</v>
      </c>
      <c r="T703" s="6" t="s">
        <v>2470</v>
      </c>
      <c r="U703" s="6" t="s">
        <v>2471</v>
      </c>
      <c r="V703" s="6" t="s">
        <v>2472</v>
      </c>
      <c r="W703" s="6" t="s">
        <v>2473</v>
      </c>
      <c r="X703" s="8" t="s">
        <v>3083</v>
      </c>
      <c r="Y703" s="6" t="s">
        <v>3240</v>
      </c>
      <c r="Z703" s="6" t="s">
        <v>3255</v>
      </c>
      <c r="AA703" s="37" t="s">
        <v>3712</v>
      </c>
      <c r="AB703" s="39" t="s">
        <v>3705</v>
      </c>
      <c r="AC703" s="37" t="s">
        <v>3713</v>
      </c>
      <c r="AD703" s="37" t="s">
        <v>3712</v>
      </c>
      <c r="AE703" s="37" t="s">
        <v>3712</v>
      </c>
      <c r="AF703" s="37" t="s">
        <v>3712</v>
      </c>
      <c r="AG703" s="40" t="s">
        <v>3714</v>
      </c>
      <c r="AH703" s="37" t="s">
        <v>3715</v>
      </c>
    </row>
    <row r="704" spans="1:34" ht="14.45" hidden="1" customHeight="1" x14ac:dyDescent="0.3">
      <c r="A704" s="6" t="s">
        <v>2147</v>
      </c>
      <c r="B704" s="7">
        <v>0</v>
      </c>
      <c r="C704" s="6" t="s">
        <v>2146</v>
      </c>
      <c r="D704" s="6" t="s">
        <v>320</v>
      </c>
      <c r="E704" s="6" t="s">
        <v>2141</v>
      </c>
      <c r="F704" s="6" t="s">
        <v>3229</v>
      </c>
      <c r="G704" s="8">
        <v>1.1331663999999999</v>
      </c>
      <c r="H704" s="8">
        <v>9.0611976999999992</v>
      </c>
      <c r="I704" s="6" t="s">
        <v>2477</v>
      </c>
      <c r="J704" s="6" t="s">
        <v>2459</v>
      </c>
      <c r="K704" s="6" t="s">
        <v>2468</v>
      </c>
      <c r="L704" s="6" t="s">
        <v>2159</v>
      </c>
      <c r="M704" s="6"/>
      <c r="N704" s="6" t="s">
        <v>2468</v>
      </c>
      <c r="O704" s="6" t="s">
        <v>40</v>
      </c>
      <c r="P704" s="6" t="str">
        <f>VLOOKUP(Tableau1[[#This Row],[SITES NAMES]],[1]Feuil1!$1:$1048576,8,FALSE)</f>
        <v>OK</v>
      </c>
      <c r="Q704" s="6" t="str">
        <f>VLOOKUP(Tableau1[[#This Row],[SITES NAMES]],[1]Feuil1!$1:$1048576,9,FALSE)</f>
        <v>NO</v>
      </c>
      <c r="R704" s="6" t="str">
        <f>VLOOKUP(Tableau1[[#This Row],[SITES NAMES]],[1]Feuil1!$1:$1048576,10,FALSE)</f>
        <v>NO</v>
      </c>
      <c r="S704" s="6" t="s">
        <v>2469</v>
      </c>
      <c r="T704" s="6" t="s">
        <v>2470</v>
      </c>
      <c r="U704" s="6" t="s">
        <v>2480</v>
      </c>
      <c r="V704" s="6" t="s">
        <v>2472</v>
      </c>
      <c r="W704" s="6" t="s">
        <v>2473</v>
      </c>
      <c r="X704" s="8" t="s">
        <v>3135</v>
      </c>
      <c r="Y704" s="6" t="s">
        <v>3238</v>
      </c>
      <c r="Z704" s="6" t="s">
        <v>3254</v>
      </c>
      <c r="AA704" s="37" t="s">
        <v>3672</v>
      </c>
      <c r="AB704" s="39" t="s">
        <v>3665</v>
      </c>
      <c r="AC704" s="37" t="s">
        <v>3673</v>
      </c>
      <c r="AD704" s="37" t="s">
        <v>3674</v>
      </c>
      <c r="AE704" s="37" t="s">
        <v>3675</v>
      </c>
      <c r="AF704" s="39" t="s">
        <v>3676</v>
      </c>
      <c r="AG704" s="37" t="s">
        <v>3670</v>
      </c>
      <c r="AH704" s="37" t="s">
        <v>3677</v>
      </c>
    </row>
    <row r="705" spans="1:34" ht="14.45" hidden="1" customHeight="1" x14ac:dyDescent="0.3">
      <c r="A705" s="6" t="s">
        <v>404</v>
      </c>
      <c r="B705" s="7">
        <v>0</v>
      </c>
      <c r="C705" s="6" t="s">
        <v>403</v>
      </c>
      <c r="D705" s="6" t="s">
        <v>395</v>
      </c>
      <c r="E705" s="6" t="s">
        <v>396</v>
      </c>
      <c r="F705" s="6" t="s">
        <v>3229</v>
      </c>
      <c r="G705" s="8">
        <v>0.64530699999999996</v>
      </c>
      <c r="H705" s="8">
        <v>10.944839999999999</v>
      </c>
      <c r="I705" s="6" t="s">
        <v>2477</v>
      </c>
      <c r="J705" s="6" t="s">
        <v>2459</v>
      </c>
      <c r="K705" s="6" t="s">
        <v>2468</v>
      </c>
      <c r="L705" s="6" t="s">
        <v>3513</v>
      </c>
      <c r="M705" s="6"/>
      <c r="N705" s="6" t="s">
        <v>2468</v>
      </c>
      <c r="O705" s="6" t="s">
        <v>18</v>
      </c>
      <c r="P705" s="6" t="str">
        <f>VLOOKUP(Tableau1[[#This Row],[SITES NAMES]],[1]Feuil1!$1:$1048576,8,FALSE)</f>
        <v>NOK</v>
      </c>
      <c r="Q705" s="6" t="str">
        <f>VLOOKUP(Tableau1[[#This Row],[SITES NAMES]],[1]Feuil1!$1:$1048576,9,FALSE)</f>
        <v>NO</v>
      </c>
      <c r="R705" s="6" t="str">
        <f>VLOOKUP(Tableau1[[#This Row],[SITES NAMES]],[1]Feuil1!$1:$1048576,10,FALSE)</f>
        <v>YES</v>
      </c>
      <c r="S705" s="6" t="s">
        <v>2469</v>
      </c>
      <c r="T705" s="6" t="s">
        <v>2470</v>
      </c>
      <c r="U705" s="6" t="s">
        <v>2480</v>
      </c>
      <c r="V705" s="6" t="s">
        <v>2464</v>
      </c>
      <c r="W705" s="6" t="s">
        <v>2473</v>
      </c>
      <c r="X705" s="8" t="s">
        <v>2620</v>
      </c>
      <c r="Y705" s="6" t="s">
        <v>3240</v>
      </c>
      <c r="Z705" s="6" t="s">
        <v>3255</v>
      </c>
      <c r="AA705" s="37" t="s">
        <v>3704</v>
      </c>
      <c r="AB705" s="39" t="s">
        <v>3705</v>
      </c>
      <c r="AC705" s="37" t="s">
        <v>3706</v>
      </c>
      <c r="AD705" s="37" t="s">
        <v>3707</v>
      </c>
      <c r="AE705" s="37" t="s">
        <v>3708</v>
      </c>
      <c r="AF705" s="37" t="s">
        <v>3709</v>
      </c>
      <c r="AG705" s="46" t="s">
        <v>3710</v>
      </c>
      <c r="AH705" s="37" t="s">
        <v>3711</v>
      </c>
    </row>
    <row r="706" spans="1:34" ht="14.45" hidden="1" customHeight="1" x14ac:dyDescent="0.3">
      <c r="A706" s="6" t="s">
        <v>725</v>
      </c>
      <c r="B706" s="7">
        <v>43750</v>
      </c>
      <c r="C706" s="6" t="s">
        <v>724</v>
      </c>
      <c r="D706" s="6" t="s">
        <v>657</v>
      </c>
      <c r="E706" s="6" t="s">
        <v>658</v>
      </c>
      <c r="F706" s="6" t="s">
        <v>3229</v>
      </c>
      <c r="G706" s="8">
        <v>0.87961</v>
      </c>
      <c r="H706" s="8">
        <v>9.5465599999999995</v>
      </c>
      <c r="I706" s="6" t="s">
        <v>2467</v>
      </c>
      <c r="J706" s="6" t="s">
        <v>2459</v>
      </c>
      <c r="K706" s="6" t="s">
        <v>2468</v>
      </c>
      <c r="L706" s="6" t="s">
        <v>3514</v>
      </c>
      <c r="M706" s="6"/>
      <c r="N706" s="6" t="s">
        <v>2468</v>
      </c>
      <c r="O706" s="6" t="s">
        <v>40</v>
      </c>
      <c r="P706" s="6" t="str">
        <f>VLOOKUP(Tableau1[[#This Row],[SITES NAMES]],[1]Feuil1!$1:$1048576,8,FALSE)</f>
        <v>OK</v>
      </c>
      <c r="Q706" s="6" t="str">
        <f>VLOOKUP(Tableau1[[#This Row],[SITES NAMES]],[1]Feuil1!$1:$1048576,9,FALSE)</f>
        <v>NO</v>
      </c>
      <c r="R706" s="6" t="str">
        <f>VLOOKUP(Tableau1[[#This Row],[SITES NAMES]],[1]Feuil1!$1:$1048576,10,FALSE)</f>
        <v>NO</v>
      </c>
      <c r="S706" s="6" t="s">
        <v>2461</v>
      </c>
      <c r="T706" s="6" t="s">
        <v>2462</v>
      </c>
      <c r="U706" s="6" t="s">
        <v>2463</v>
      </c>
      <c r="V706" s="6" t="s">
        <v>2472</v>
      </c>
      <c r="W706" s="6" t="s">
        <v>2473</v>
      </c>
      <c r="X706" s="8" t="s">
        <v>2738</v>
      </c>
      <c r="Y706" s="6" t="s">
        <v>3239</v>
      </c>
      <c r="Z706" s="6" t="s">
        <v>3253</v>
      </c>
      <c r="AA706" s="38" t="s">
        <v>3682</v>
      </c>
      <c r="AB706" s="38" t="s">
        <v>3683</v>
      </c>
      <c r="AC706" s="38" t="s">
        <v>3684</v>
      </c>
      <c r="AD706" s="38" t="s">
        <v>3682</v>
      </c>
      <c r="AE706" s="38" t="s">
        <v>3682</v>
      </c>
      <c r="AF706" s="38" t="s">
        <v>3682</v>
      </c>
      <c r="AG706" s="40" t="s">
        <v>3685</v>
      </c>
      <c r="AH706" s="37" t="s">
        <v>3686</v>
      </c>
    </row>
    <row r="707" spans="1:34" ht="14.45" hidden="1" customHeight="1" x14ac:dyDescent="0.3">
      <c r="A707" s="6" t="s">
        <v>536</v>
      </c>
      <c r="B707" s="7">
        <v>0</v>
      </c>
      <c r="C707" s="6" t="s">
        <v>535</v>
      </c>
      <c r="D707" s="6" t="s">
        <v>395</v>
      </c>
      <c r="E707" s="6" t="s">
        <v>396</v>
      </c>
      <c r="F707" s="6" t="s">
        <v>3229</v>
      </c>
      <c r="G707" s="8">
        <v>0.22209999999999999</v>
      </c>
      <c r="H707" s="8">
        <v>10.87649</v>
      </c>
      <c r="I707" s="6" t="s">
        <v>2497</v>
      </c>
      <c r="J707" s="6" t="s">
        <v>2459</v>
      </c>
      <c r="K707" s="6" t="s">
        <v>2460</v>
      </c>
      <c r="L707" s="6"/>
      <c r="M707" s="6"/>
      <c r="N707" s="6" t="s">
        <v>3268</v>
      </c>
      <c r="O707" s="6" t="s">
        <v>7</v>
      </c>
      <c r="P707" s="6" t="str">
        <f>VLOOKUP(Tableau1[[#This Row],[SITES NAMES]],[1]Feuil1!$1:$1048576,8,FALSE)</f>
        <v>OK</v>
      </c>
      <c r="Q707" s="6" t="str">
        <f>VLOOKUP(Tableau1[[#This Row],[SITES NAMES]],[1]Feuil1!$1:$1048576,9,FALSE)</f>
        <v>NO</v>
      </c>
      <c r="R707" s="6" t="str">
        <f>VLOOKUP(Tableau1[[#This Row],[SITES NAMES]],[1]Feuil1!$1:$1048576,10,FALSE)</f>
        <v>YES</v>
      </c>
      <c r="S707" s="6" t="s">
        <v>2461</v>
      </c>
      <c r="T707" s="6" t="s">
        <v>2462</v>
      </c>
      <c r="U707" s="6" t="s">
        <v>2463</v>
      </c>
      <c r="V707" s="6" t="s">
        <v>2478</v>
      </c>
      <c r="W707" s="6" t="s">
        <v>2473</v>
      </c>
      <c r="X707" s="8" t="s">
        <v>2668</v>
      </c>
      <c r="Y707" s="6" t="s">
        <v>3240</v>
      </c>
      <c r="Z707" s="6" t="s">
        <v>3255</v>
      </c>
      <c r="AA707" s="37" t="s">
        <v>3704</v>
      </c>
      <c r="AB707" s="39" t="s">
        <v>3705</v>
      </c>
      <c r="AC707" s="37" t="s">
        <v>3706</v>
      </c>
      <c r="AD707" s="37" t="s">
        <v>3707</v>
      </c>
      <c r="AE707" s="37" t="s">
        <v>3708</v>
      </c>
      <c r="AF707" s="37" t="s">
        <v>3709</v>
      </c>
      <c r="AG707" s="46" t="s">
        <v>3710</v>
      </c>
      <c r="AH707" s="37" t="s">
        <v>3711</v>
      </c>
    </row>
    <row r="708" spans="1:34" ht="14.45" hidden="1" customHeight="1" x14ac:dyDescent="0.3">
      <c r="A708" s="6" t="s">
        <v>1983</v>
      </c>
      <c r="B708" s="7">
        <v>44008</v>
      </c>
      <c r="C708" s="6" t="s">
        <v>1982</v>
      </c>
      <c r="D708" s="6" t="s">
        <v>395</v>
      </c>
      <c r="E708" s="6" t="s">
        <v>1965</v>
      </c>
      <c r="F708" s="6" t="s">
        <v>3229</v>
      </c>
      <c r="G708" s="8">
        <v>0.61697999999999997</v>
      </c>
      <c r="H708" s="8">
        <v>10.11257</v>
      </c>
      <c r="I708" s="6" t="s">
        <v>2482</v>
      </c>
      <c r="J708" s="6" t="s">
        <v>2459</v>
      </c>
      <c r="K708" s="6" t="s">
        <v>2468</v>
      </c>
      <c r="L708" s="6" t="s">
        <v>3515</v>
      </c>
      <c r="M708" s="6"/>
      <c r="N708" s="6" t="s">
        <v>2468</v>
      </c>
      <c r="O708" s="6" t="s">
        <v>40</v>
      </c>
      <c r="P708" s="6" t="str">
        <f>VLOOKUP(Tableau1[[#This Row],[SITES NAMES]],[1]Feuil1!$1:$1048576,8,FALSE)</f>
        <v>OK</v>
      </c>
      <c r="Q708" s="6" t="str">
        <f>VLOOKUP(Tableau1[[#This Row],[SITES NAMES]],[1]Feuil1!$1:$1048576,9,FALSE)</f>
        <v>NO</v>
      </c>
      <c r="R708" s="6" t="str">
        <f>VLOOKUP(Tableau1[[#This Row],[SITES NAMES]],[1]Feuil1!$1:$1048576,10,FALSE)</f>
        <v>YES</v>
      </c>
      <c r="S708" s="6" t="s">
        <v>2461</v>
      </c>
      <c r="T708" s="6" t="s">
        <v>2462</v>
      </c>
      <c r="U708" s="6" t="s">
        <v>2463</v>
      </c>
      <c r="V708" s="6" t="s">
        <v>2472</v>
      </c>
      <c r="W708" s="6" t="s">
        <v>2473</v>
      </c>
      <c r="X708" s="8" t="s">
        <v>3072</v>
      </c>
      <c r="Y708" s="6" t="s">
        <v>3240</v>
      </c>
      <c r="Z708" s="6" t="s">
        <v>3255</v>
      </c>
      <c r="AA708" s="37" t="s">
        <v>3712</v>
      </c>
      <c r="AB708" s="39" t="s">
        <v>3705</v>
      </c>
      <c r="AC708" s="37" t="s">
        <v>3713</v>
      </c>
      <c r="AD708" s="37" t="s">
        <v>3712</v>
      </c>
      <c r="AE708" s="37" t="s">
        <v>3712</v>
      </c>
      <c r="AF708" s="37" t="s">
        <v>3712</v>
      </c>
      <c r="AG708" s="40" t="s">
        <v>3714</v>
      </c>
      <c r="AH708" s="37" t="s">
        <v>3715</v>
      </c>
    </row>
    <row r="709" spans="1:34" ht="14.45" hidden="1" customHeight="1" x14ac:dyDescent="0.3">
      <c r="A709" s="6" t="s">
        <v>406</v>
      </c>
      <c r="B709" s="7">
        <v>44020</v>
      </c>
      <c r="C709" s="6" t="s">
        <v>405</v>
      </c>
      <c r="D709" s="6" t="s">
        <v>395</v>
      </c>
      <c r="E709" s="6" t="s">
        <v>396</v>
      </c>
      <c r="F709" s="6" t="s">
        <v>3229</v>
      </c>
      <c r="G709" s="8">
        <v>0.23937</v>
      </c>
      <c r="H709" s="8">
        <v>11.020759999999999</v>
      </c>
      <c r="I709" s="6" t="s">
        <v>2467</v>
      </c>
      <c r="J709" s="6" t="s">
        <v>2459</v>
      </c>
      <c r="K709" s="6" t="s">
        <v>2468</v>
      </c>
      <c r="L709" s="6" t="s">
        <v>3516</v>
      </c>
      <c r="M709" s="6"/>
      <c r="N709" s="6" t="s">
        <v>2468</v>
      </c>
      <c r="O709" s="6" t="s">
        <v>40</v>
      </c>
      <c r="P709" s="6" t="str">
        <f>VLOOKUP(Tableau1[[#This Row],[SITES NAMES]],[1]Feuil1!$1:$1048576,8,FALSE)</f>
        <v>OK</v>
      </c>
      <c r="Q709" s="6" t="str">
        <f>VLOOKUP(Tableau1[[#This Row],[SITES NAMES]],[1]Feuil1!$1:$1048576,9,FALSE)</f>
        <v>NO</v>
      </c>
      <c r="R709" s="6" t="str">
        <f>VLOOKUP(Tableau1[[#This Row],[SITES NAMES]],[1]Feuil1!$1:$1048576,10,FALSE)</f>
        <v>NO</v>
      </c>
      <c r="S709" s="6" t="s">
        <v>2461</v>
      </c>
      <c r="T709" s="6" t="s">
        <v>2462</v>
      </c>
      <c r="U709" s="6" t="s">
        <v>2463</v>
      </c>
      <c r="V709" s="6" t="s">
        <v>2472</v>
      </c>
      <c r="W709" s="6" t="s">
        <v>2473</v>
      </c>
      <c r="X709" s="8" t="s">
        <v>2621</v>
      </c>
      <c r="Y709" s="6" t="s">
        <v>3240</v>
      </c>
      <c r="Z709" s="6" t="s">
        <v>3255</v>
      </c>
      <c r="AA709" s="37" t="s">
        <v>3704</v>
      </c>
      <c r="AB709" s="39" t="s">
        <v>3705</v>
      </c>
      <c r="AC709" s="37" t="s">
        <v>3706</v>
      </c>
      <c r="AD709" s="37" t="s">
        <v>3707</v>
      </c>
      <c r="AE709" s="37" t="s">
        <v>3708</v>
      </c>
      <c r="AF709" s="37" t="s">
        <v>3709</v>
      </c>
      <c r="AG709" s="46" t="s">
        <v>3710</v>
      </c>
      <c r="AH709" s="37" t="s">
        <v>3711</v>
      </c>
    </row>
    <row r="710" spans="1:34" ht="14.45" hidden="1" customHeight="1" x14ac:dyDescent="0.3">
      <c r="A710" s="6" t="s">
        <v>767</v>
      </c>
      <c r="B710" s="7">
        <v>46022</v>
      </c>
      <c r="C710" s="6" t="s">
        <v>766</v>
      </c>
      <c r="D710" s="6" t="s">
        <v>657</v>
      </c>
      <c r="E710" s="6" t="s">
        <v>758</v>
      </c>
      <c r="F710" s="6" t="s">
        <v>3229</v>
      </c>
      <c r="G710" s="8">
        <v>1.0251600000000001</v>
      </c>
      <c r="H710" s="8">
        <v>10.153729999999999</v>
      </c>
      <c r="I710" s="15" t="s">
        <v>2477</v>
      </c>
      <c r="J710" s="6" t="s">
        <v>2459</v>
      </c>
      <c r="K710" s="6" t="s">
        <v>2468</v>
      </c>
      <c r="L710" s="6"/>
      <c r="M710" s="6"/>
      <c r="N710" s="6" t="s">
        <v>2468</v>
      </c>
      <c r="O710" s="6" t="s">
        <v>40</v>
      </c>
      <c r="P710" s="6"/>
      <c r="Q710" s="6"/>
      <c r="R710" s="6"/>
      <c r="S710" s="6"/>
      <c r="T710" s="6"/>
      <c r="U710" s="6"/>
      <c r="V710" s="6"/>
      <c r="W710" s="6"/>
      <c r="X710" s="8"/>
      <c r="Y710" s="6" t="s">
        <v>3239</v>
      </c>
      <c r="Z710" s="6" t="s">
        <v>3253</v>
      </c>
      <c r="AA710" s="37" t="s">
        <v>3687</v>
      </c>
      <c r="AB710" s="38" t="s">
        <v>3683</v>
      </c>
      <c r="AC710" s="37" t="s">
        <v>3688</v>
      </c>
      <c r="AD710" s="37" t="s">
        <v>3687</v>
      </c>
      <c r="AE710" s="37" t="s">
        <v>3689</v>
      </c>
      <c r="AF710" s="39" t="s">
        <v>3690</v>
      </c>
      <c r="AG710" s="40" t="s">
        <v>3685</v>
      </c>
      <c r="AH710" s="37" t="s">
        <v>3691</v>
      </c>
    </row>
    <row r="711" spans="1:34" ht="14.45" hidden="1" customHeight="1" x14ac:dyDescent="0.3">
      <c r="A711" s="6" t="s">
        <v>2288</v>
      </c>
      <c r="B711" s="7">
        <v>0</v>
      </c>
      <c r="C711" s="6" t="s">
        <v>2287</v>
      </c>
      <c r="D711" s="6" t="s">
        <v>320</v>
      </c>
      <c r="E711" s="6" t="s">
        <v>2274</v>
      </c>
      <c r="F711" s="6" t="s">
        <v>3229</v>
      </c>
      <c r="G711" s="8">
        <v>1.51938</v>
      </c>
      <c r="H711" s="8">
        <v>8.8346499999999999</v>
      </c>
      <c r="I711" s="6" t="s">
        <v>2486</v>
      </c>
      <c r="J711" s="6" t="s">
        <v>2459</v>
      </c>
      <c r="K711" s="6" t="s">
        <v>2460</v>
      </c>
      <c r="L711" s="6"/>
      <c r="M711" s="6"/>
      <c r="N711" s="6" t="s">
        <v>3268</v>
      </c>
      <c r="O711" s="6" t="s">
        <v>18</v>
      </c>
      <c r="P711" s="6" t="str">
        <f>VLOOKUP(Tableau1[[#This Row],[SITES NAMES]],[1]Feuil1!$1:$1048576,8,FALSE)</f>
        <v>OK</v>
      </c>
      <c r="Q711" s="6" t="str">
        <f>VLOOKUP(Tableau1[[#This Row],[SITES NAMES]],[1]Feuil1!$1:$1048576,9,FALSE)</f>
        <v>NO</v>
      </c>
      <c r="R711" s="6" t="str">
        <f>VLOOKUP(Tableau1[[#This Row],[SITES NAMES]],[1]Feuil1!$1:$1048576,10,FALSE)</f>
        <v>NO</v>
      </c>
      <c r="S711" s="6" t="s">
        <v>2461</v>
      </c>
      <c r="T711" s="6" t="s">
        <v>2462</v>
      </c>
      <c r="U711" s="6" t="s">
        <v>2463</v>
      </c>
      <c r="V711" s="6" t="s">
        <v>2464</v>
      </c>
      <c r="W711" s="6" t="s">
        <v>2473</v>
      </c>
      <c r="X711" s="8" t="s">
        <v>3183</v>
      </c>
      <c r="Y711" s="6" t="s">
        <v>3238</v>
      </c>
      <c r="Z711" s="6" t="s">
        <v>3254</v>
      </c>
      <c r="AA711" s="37" t="s">
        <v>3678</v>
      </c>
      <c r="AB711" s="39" t="s">
        <v>3665</v>
      </c>
      <c r="AC711" s="37" t="s">
        <v>3679</v>
      </c>
      <c r="AD711" s="37" t="s">
        <v>3678</v>
      </c>
      <c r="AE711" s="37" t="s">
        <v>3680</v>
      </c>
      <c r="AF711" s="39" t="s">
        <v>3676</v>
      </c>
      <c r="AG711" s="37" t="s">
        <v>3670</v>
      </c>
      <c r="AH711" s="37" t="s">
        <v>3681</v>
      </c>
    </row>
    <row r="712" spans="1:34" ht="14.45" hidden="1" customHeight="1" x14ac:dyDescent="0.3">
      <c r="A712" s="6" t="s">
        <v>783</v>
      </c>
      <c r="B712" s="7">
        <v>44009</v>
      </c>
      <c r="C712" s="6" t="s">
        <v>782</v>
      </c>
      <c r="D712" s="6" t="s">
        <v>657</v>
      </c>
      <c r="E712" s="6" t="s">
        <v>758</v>
      </c>
      <c r="F712" s="6" t="s">
        <v>3229</v>
      </c>
      <c r="G712" s="8">
        <v>1.00109</v>
      </c>
      <c r="H712" s="8">
        <v>10.117520000000001</v>
      </c>
      <c r="I712" s="6" t="s">
        <v>2467</v>
      </c>
      <c r="J712" s="6" t="s">
        <v>2459</v>
      </c>
      <c r="K712" s="6" t="s">
        <v>2468</v>
      </c>
      <c r="L712" s="6"/>
      <c r="M712" s="6"/>
      <c r="N712" s="6" t="s">
        <v>2468</v>
      </c>
      <c r="O712" s="6" t="s">
        <v>40</v>
      </c>
      <c r="P712" s="6" t="str">
        <f>VLOOKUP(Tableau1[[#This Row],[SITES NAMES]],[1]Feuil1!$1:$1048576,8,FALSE)</f>
        <v>OK</v>
      </c>
      <c r="Q712" s="6" t="str">
        <f>VLOOKUP(Tableau1[[#This Row],[SITES NAMES]],[1]Feuil1!$1:$1048576,9,FALSE)</f>
        <v>NO</v>
      </c>
      <c r="R712" s="6" t="str">
        <f>VLOOKUP(Tableau1[[#This Row],[SITES NAMES]],[1]Feuil1!$1:$1048576,10,FALSE)</f>
        <v>YES</v>
      </c>
      <c r="S712" s="6" t="s">
        <v>2461</v>
      </c>
      <c r="T712" s="6" t="s">
        <v>2462</v>
      </c>
      <c r="U712" s="6" t="s">
        <v>2463</v>
      </c>
      <c r="V712" s="6" t="s">
        <v>2472</v>
      </c>
      <c r="W712" s="6" t="s">
        <v>2473</v>
      </c>
      <c r="X712" s="8" t="s">
        <v>2763</v>
      </c>
      <c r="Y712" s="6" t="s">
        <v>3239</v>
      </c>
      <c r="Z712" s="6" t="s">
        <v>3253</v>
      </c>
      <c r="AA712" s="37" t="s">
        <v>3687</v>
      </c>
      <c r="AB712" s="38" t="s">
        <v>3683</v>
      </c>
      <c r="AC712" s="37" t="s">
        <v>3688</v>
      </c>
      <c r="AD712" s="37" t="s">
        <v>3687</v>
      </c>
      <c r="AE712" s="37" t="s">
        <v>3689</v>
      </c>
      <c r="AF712" s="39" t="s">
        <v>3690</v>
      </c>
      <c r="AG712" s="40" t="s">
        <v>3685</v>
      </c>
      <c r="AH712" s="37" t="s">
        <v>3691</v>
      </c>
    </row>
    <row r="713" spans="1:34" ht="14.45" hidden="1" customHeight="1" x14ac:dyDescent="0.3">
      <c r="A713" s="6" t="s">
        <v>727</v>
      </c>
      <c r="B713" s="7">
        <v>44016</v>
      </c>
      <c r="C713" s="6" t="s">
        <v>726</v>
      </c>
      <c r="D713" s="6" t="s">
        <v>657</v>
      </c>
      <c r="E713" s="6" t="s">
        <v>658</v>
      </c>
      <c r="F713" s="6" t="s">
        <v>3229</v>
      </c>
      <c r="G713" s="8">
        <v>0.77559800000000001</v>
      </c>
      <c r="H713" s="8">
        <v>9.6016239999999993</v>
      </c>
      <c r="I713" s="6" t="s">
        <v>2467</v>
      </c>
      <c r="J713" s="6" t="s">
        <v>2459</v>
      </c>
      <c r="K713" s="6" t="s">
        <v>2468</v>
      </c>
      <c r="L713" s="6" t="s">
        <v>3517</v>
      </c>
      <c r="M713" s="6"/>
      <c r="N713" s="6" t="s">
        <v>2468</v>
      </c>
      <c r="O713" s="6" t="s">
        <v>40</v>
      </c>
      <c r="P713" s="6" t="str">
        <f>VLOOKUP(Tableau1[[#This Row],[SITES NAMES]],[1]Feuil1!$1:$1048576,8,FALSE)</f>
        <v>OK</v>
      </c>
      <c r="Q713" s="6" t="str">
        <f>VLOOKUP(Tableau1[[#This Row],[SITES NAMES]],[1]Feuil1!$1:$1048576,9,FALSE)</f>
        <v>NO</v>
      </c>
      <c r="R713" s="6" t="str">
        <f>VLOOKUP(Tableau1[[#This Row],[SITES NAMES]],[1]Feuil1!$1:$1048576,10,FALSE)</f>
        <v>YES</v>
      </c>
      <c r="S713" s="6" t="s">
        <v>2461</v>
      </c>
      <c r="T713" s="6" t="s">
        <v>2462</v>
      </c>
      <c r="U713" s="6" t="s">
        <v>2463</v>
      </c>
      <c r="V713" s="6" t="s">
        <v>2472</v>
      </c>
      <c r="W713" s="6" t="s">
        <v>2473</v>
      </c>
      <c r="X713" s="8" t="s">
        <v>2739</v>
      </c>
      <c r="Y713" s="6" t="s">
        <v>3239</v>
      </c>
      <c r="Z713" s="6" t="s">
        <v>3253</v>
      </c>
      <c r="AA713" s="38" t="s">
        <v>3682</v>
      </c>
      <c r="AB713" s="38" t="s">
        <v>3683</v>
      </c>
      <c r="AC713" s="38" t="s">
        <v>3684</v>
      </c>
      <c r="AD713" s="38" t="s">
        <v>3682</v>
      </c>
      <c r="AE713" s="38" t="s">
        <v>3682</v>
      </c>
      <c r="AF713" s="38" t="s">
        <v>3682</v>
      </c>
      <c r="AG713" s="40" t="s">
        <v>3685</v>
      </c>
      <c r="AH713" s="37" t="s">
        <v>3686</v>
      </c>
    </row>
    <row r="714" spans="1:34" ht="14.45" hidden="1" customHeight="1" x14ac:dyDescent="0.3">
      <c r="A714" s="6" t="s">
        <v>979</v>
      </c>
      <c r="B714" s="7">
        <v>45016</v>
      </c>
      <c r="C714" s="6" t="s">
        <v>978</v>
      </c>
      <c r="D714" s="6" t="s">
        <v>657</v>
      </c>
      <c r="E714" s="6" t="s">
        <v>3235</v>
      </c>
      <c r="F714" s="6" t="s">
        <v>3229</v>
      </c>
      <c r="G714" s="8">
        <v>0.80563300000000004</v>
      </c>
      <c r="H714" s="8">
        <v>9.8191170000000003</v>
      </c>
      <c r="I714" s="6" t="s">
        <v>2477</v>
      </c>
      <c r="J714" s="6" t="s">
        <v>2459</v>
      </c>
      <c r="K714" s="6" t="s">
        <v>2468</v>
      </c>
      <c r="L714" s="6"/>
      <c r="M714" s="6"/>
      <c r="N714" s="6" t="s">
        <v>2468</v>
      </c>
      <c r="O714" s="6" t="s">
        <v>40</v>
      </c>
      <c r="P714" s="6" t="str">
        <f>VLOOKUP(Tableau1[[#This Row],[SITES NAMES]],[1]Feuil1!$1:$1048576,8,FALSE)</f>
        <v>OK</v>
      </c>
      <c r="Q714" s="6" t="str">
        <f>VLOOKUP(Tableau1[[#This Row],[SITES NAMES]],[1]Feuil1!$1:$1048576,9,FALSE)</f>
        <v>NO</v>
      </c>
      <c r="R714" s="6" t="str">
        <f>VLOOKUP(Tableau1[[#This Row],[SITES NAMES]],[1]Feuil1!$1:$1048576,10,FALSE)</f>
        <v>YES</v>
      </c>
      <c r="S714" s="6" t="s">
        <v>2461</v>
      </c>
      <c r="T714" s="6" t="s">
        <v>2462</v>
      </c>
      <c r="U714" s="6" t="s">
        <v>2463</v>
      </c>
      <c r="V714" s="6" t="s">
        <v>2472</v>
      </c>
      <c r="W714" s="6" t="s">
        <v>2473</v>
      </c>
      <c r="X714" s="8">
        <v>70997269</v>
      </c>
      <c r="Y714" s="6" t="s">
        <v>3239</v>
      </c>
      <c r="Z714" s="6" t="s">
        <v>3253</v>
      </c>
      <c r="AA714" s="37" t="s">
        <v>3698</v>
      </c>
      <c r="AB714" s="38" t="s">
        <v>3683</v>
      </c>
      <c r="AC714" s="39" t="s">
        <v>3699</v>
      </c>
      <c r="AD714" s="39" t="s">
        <v>3700</v>
      </c>
      <c r="AE714" s="37" t="s">
        <v>3701</v>
      </c>
      <c r="AF714" s="39" t="s">
        <v>3702</v>
      </c>
      <c r="AG714" s="40" t="s">
        <v>3685</v>
      </c>
      <c r="AH714" s="37" t="s">
        <v>3703</v>
      </c>
    </row>
    <row r="715" spans="1:34" ht="14.45" hidden="1" customHeight="1" x14ac:dyDescent="0.3">
      <c r="A715" s="6" t="s">
        <v>28</v>
      </c>
      <c r="B715" s="7">
        <v>43557</v>
      </c>
      <c r="C715" s="6" t="s">
        <v>27</v>
      </c>
      <c r="D715" s="6" t="s">
        <v>5</v>
      </c>
      <c r="E715" s="6" t="s">
        <v>6</v>
      </c>
      <c r="F715" s="6" t="s">
        <v>3229</v>
      </c>
      <c r="G715" s="8">
        <v>1.56368</v>
      </c>
      <c r="H715" s="8">
        <v>6.3689299999999998</v>
      </c>
      <c r="I715" s="6" t="s">
        <v>2477</v>
      </c>
      <c r="J715" s="6" t="s">
        <v>2459</v>
      </c>
      <c r="K715" s="6" t="s">
        <v>2468</v>
      </c>
      <c r="L715" s="6" t="s">
        <v>3518</v>
      </c>
      <c r="M715" s="6"/>
      <c r="N715" s="6" t="s">
        <v>2468</v>
      </c>
      <c r="O715" s="6" t="s">
        <v>7</v>
      </c>
      <c r="P715" s="6" t="str">
        <f>VLOOKUP(Tableau1[[#This Row],[SITES NAMES]],[1]Feuil1!$1:$1048576,8,FALSE)</f>
        <v>NOK</v>
      </c>
      <c r="Q715" s="6" t="str">
        <f>VLOOKUP(Tableau1[[#This Row],[SITES NAMES]],[1]Feuil1!$1:$1048576,9,FALSE)</f>
        <v>NO</v>
      </c>
      <c r="R715" s="6" t="str">
        <f>VLOOKUP(Tableau1[[#This Row],[SITES NAMES]],[1]Feuil1!$1:$1048576,10,FALSE)</f>
        <v>NO</v>
      </c>
      <c r="S715" s="6" t="s">
        <v>2469</v>
      </c>
      <c r="T715" s="6" t="s">
        <v>2470</v>
      </c>
      <c r="U715" s="6" t="s">
        <v>2471</v>
      </c>
      <c r="V715" s="6" t="s">
        <v>2472</v>
      </c>
      <c r="W715" s="6" t="s">
        <v>2473</v>
      </c>
      <c r="X715" s="8"/>
      <c r="Y715" s="6" t="s">
        <v>3241</v>
      </c>
      <c r="Z715" s="6"/>
      <c r="AA715" s="37" t="s">
        <v>3626</v>
      </c>
      <c r="AB715" s="38" t="s">
        <v>3627</v>
      </c>
      <c r="AC715" s="37" t="s">
        <v>3633</v>
      </c>
      <c r="AD715" s="37" t="s">
        <v>3628</v>
      </c>
      <c r="AE715" s="37" t="s">
        <v>3629</v>
      </c>
      <c r="AF715" s="39" t="s">
        <v>3630</v>
      </c>
      <c r="AG715" s="37" t="s">
        <v>3631</v>
      </c>
      <c r="AH715" s="37" t="s">
        <v>3632</v>
      </c>
    </row>
    <row r="716" spans="1:34" ht="14.45" hidden="1" customHeight="1" x14ac:dyDescent="0.3">
      <c r="A716" s="6" t="s">
        <v>869</v>
      </c>
      <c r="B716" s="7">
        <v>0</v>
      </c>
      <c r="C716" s="6" t="s">
        <v>868</v>
      </c>
      <c r="D716" s="6" t="s">
        <v>657</v>
      </c>
      <c r="E716" s="6" t="s">
        <v>3237</v>
      </c>
      <c r="F716" s="6" t="s">
        <v>3229</v>
      </c>
      <c r="G716" s="8">
        <v>1.19129</v>
      </c>
      <c r="H716" s="8">
        <v>10.05442</v>
      </c>
      <c r="I716" s="6" t="s">
        <v>2467</v>
      </c>
      <c r="J716" s="6" t="s">
        <v>2459</v>
      </c>
      <c r="K716" s="6" t="s">
        <v>2468</v>
      </c>
      <c r="L716" s="6" t="s">
        <v>905</v>
      </c>
      <c r="M716" s="6"/>
      <c r="N716" s="6" t="s">
        <v>2468</v>
      </c>
      <c r="O716" s="6" t="s">
        <v>40</v>
      </c>
      <c r="P716" s="6" t="str">
        <f>VLOOKUP(Tableau1[[#This Row],[SITES NAMES]],[1]Feuil1!$1:$1048576,8,FALSE)</f>
        <v>OK</v>
      </c>
      <c r="Q716" s="6" t="str">
        <f>VLOOKUP(Tableau1[[#This Row],[SITES NAMES]],[1]Feuil1!$1:$1048576,9,FALSE)</f>
        <v>NO</v>
      </c>
      <c r="R716" s="6" t="str">
        <f>VLOOKUP(Tableau1[[#This Row],[SITES NAMES]],[1]Feuil1!$1:$1048576,10,FALSE)</f>
        <v>NO</v>
      </c>
      <c r="S716" s="6" t="s">
        <v>2461</v>
      </c>
      <c r="T716" s="6" t="s">
        <v>2462</v>
      </c>
      <c r="U716" s="6" t="s">
        <v>2463</v>
      </c>
      <c r="V716" s="6" t="s">
        <v>2472</v>
      </c>
      <c r="W716" s="6" t="s">
        <v>2473</v>
      </c>
      <c r="X716" s="8" t="s">
        <v>2792</v>
      </c>
      <c r="Y716" s="6" t="s">
        <v>3239</v>
      </c>
      <c r="Z716" s="6" t="s">
        <v>3253</v>
      </c>
      <c r="AA716" s="37" t="s">
        <v>3692</v>
      </c>
      <c r="AB716" s="38" t="s">
        <v>3683</v>
      </c>
      <c r="AC716" s="39" t="s">
        <v>3693</v>
      </c>
      <c r="AD716" s="39" t="s">
        <v>3694</v>
      </c>
      <c r="AE716" s="37" t="s">
        <v>3695</v>
      </c>
      <c r="AF716" s="39" t="s">
        <v>3696</v>
      </c>
      <c r="AG716" s="40" t="s">
        <v>3685</v>
      </c>
      <c r="AH716" s="37" t="s">
        <v>3697</v>
      </c>
    </row>
    <row r="717" spans="1:34" ht="14.45" hidden="1" customHeight="1" x14ac:dyDescent="0.3">
      <c r="A717" s="6" t="s">
        <v>2343</v>
      </c>
      <c r="B717" s="7">
        <v>0</v>
      </c>
      <c r="C717" s="6" t="s">
        <v>2342</v>
      </c>
      <c r="D717" s="6" t="s">
        <v>5</v>
      </c>
      <c r="E717" s="6" t="s">
        <v>2333</v>
      </c>
      <c r="F717" s="6" t="s">
        <v>3229</v>
      </c>
      <c r="G717" s="8">
        <v>1.4087400000000001</v>
      </c>
      <c r="H717" s="8">
        <v>6.6679000000000004</v>
      </c>
      <c r="I717" s="6" t="s">
        <v>2467</v>
      </c>
      <c r="J717" s="6" t="s">
        <v>2459</v>
      </c>
      <c r="K717" s="6" t="s">
        <v>2468</v>
      </c>
      <c r="L717" s="6" t="s">
        <v>3519</v>
      </c>
      <c r="M717" s="6"/>
      <c r="N717" s="6" t="s">
        <v>2468</v>
      </c>
      <c r="O717" s="6" t="s">
        <v>7</v>
      </c>
      <c r="P717" s="6" t="str">
        <f>VLOOKUP(Tableau1[[#This Row],[SITES NAMES]],[1]Feuil1!$1:$1048576,8,FALSE)</f>
        <v>OK</v>
      </c>
      <c r="Q717" s="6" t="str">
        <f>VLOOKUP(Tableau1[[#This Row],[SITES NAMES]],[1]Feuil1!$1:$1048576,9,FALSE)</f>
        <v>NO</v>
      </c>
      <c r="R717" s="6" t="str">
        <f>VLOOKUP(Tableau1[[#This Row],[SITES NAMES]],[1]Feuil1!$1:$1048576,10,FALSE)</f>
        <v>NO</v>
      </c>
      <c r="S717" s="6" t="s">
        <v>2461</v>
      </c>
      <c r="T717" s="6" t="s">
        <v>2462</v>
      </c>
      <c r="U717" s="6" t="s">
        <v>2463</v>
      </c>
      <c r="V717" s="6" t="s">
        <v>2464</v>
      </c>
      <c r="W717" s="6" t="s">
        <v>2473</v>
      </c>
      <c r="X717" s="8" t="s">
        <v>3203</v>
      </c>
      <c r="Y717" s="6" t="s">
        <v>3241</v>
      </c>
      <c r="Z717" t="e">
        <f>VLOOKUP(Tableau1[[#This Row],[SITES NAMES]],#REF!,3,FALSE)</f>
        <v>#REF!</v>
      </c>
      <c r="AA717" s="37"/>
      <c r="AB717" s="38" t="s">
        <v>3627</v>
      </c>
      <c r="AC717" s="37" t="s">
        <v>3640</v>
      </c>
      <c r="AD717" s="39" t="s">
        <v>3641</v>
      </c>
      <c r="AE717" s="37"/>
      <c r="AF717" s="39" t="s">
        <v>3641</v>
      </c>
      <c r="AG717" s="37"/>
      <c r="AH717" s="37" t="s">
        <v>3642</v>
      </c>
    </row>
    <row r="718" spans="1:34" ht="14.45" hidden="1" customHeight="1" x14ac:dyDescent="0.25">
      <c r="A718" s="6" t="s">
        <v>1668</v>
      </c>
      <c r="B718" s="7">
        <v>0</v>
      </c>
      <c r="C718" s="6" t="s">
        <v>1667</v>
      </c>
      <c r="D718" s="6" t="s">
        <v>66</v>
      </c>
      <c r="E718" s="6" t="s">
        <v>3236</v>
      </c>
      <c r="F718" s="6" t="s">
        <v>3229</v>
      </c>
      <c r="G718" s="8">
        <v>1.167451</v>
      </c>
      <c r="H718" s="8">
        <v>6.2450932789999998</v>
      </c>
      <c r="I718" s="6" t="s">
        <v>2497</v>
      </c>
      <c r="J718" s="6" t="s">
        <v>2459</v>
      </c>
      <c r="K718" s="6" t="s">
        <v>2460</v>
      </c>
      <c r="L718" s="6"/>
      <c r="M718" s="6"/>
      <c r="N718" s="6" t="s">
        <v>3268</v>
      </c>
      <c r="O718" s="6" t="s">
        <v>7</v>
      </c>
      <c r="P718" s="6" t="str">
        <f>VLOOKUP(Tableau1[[#This Row],[SITES NAMES]],[1]Feuil1!$1:$1048576,8,FALSE)</f>
        <v>OK</v>
      </c>
      <c r="Q718" s="6" t="str">
        <f>VLOOKUP(Tableau1[[#This Row],[SITES NAMES]],[1]Feuil1!$1:$1048576,9,FALSE)</f>
        <v>NO</v>
      </c>
      <c r="R718" s="6" t="str">
        <f>VLOOKUP(Tableau1[[#This Row],[SITES NAMES]],[1]Feuil1!$1:$1048576,10,FALSE)</f>
        <v>NO</v>
      </c>
      <c r="S718" s="6" t="s">
        <v>2461</v>
      </c>
      <c r="T718" s="6" t="s">
        <v>2462</v>
      </c>
      <c r="U718" s="6" t="s">
        <v>2463</v>
      </c>
      <c r="V718" s="6" t="s">
        <v>2478</v>
      </c>
      <c r="W718" s="6" t="s">
        <v>2476</v>
      </c>
      <c r="X718" s="8" t="s">
        <v>3000</v>
      </c>
      <c r="Y718" s="6" t="s">
        <v>3238</v>
      </c>
      <c r="Z718" s="6" t="s">
        <v>3263</v>
      </c>
      <c r="AA718" s="35" t="s">
        <v>3616</v>
      </c>
      <c r="AB718" s="35" t="s">
        <v>3608</v>
      </c>
      <c r="AC718" s="35" t="s">
        <v>3619</v>
      </c>
      <c r="AD718" s="35" t="s">
        <v>3610</v>
      </c>
      <c r="AE718" s="35" t="s">
        <v>3610</v>
      </c>
      <c r="AF718" s="35" t="s">
        <v>3611</v>
      </c>
      <c r="AG718" s="35" t="s">
        <v>3612</v>
      </c>
      <c r="AH718" s="35" t="s">
        <v>3620</v>
      </c>
    </row>
    <row r="719" spans="1:34" ht="14.45" hidden="1" customHeight="1" x14ac:dyDescent="0.25">
      <c r="A719" s="6" t="s">
        <v>1592</v>
      </c>
      <c r="B719" s="7">
        <v>0</v>
      </c>
      <c r="C719" s="6" t="s">
        <v>1591</v>
      </c>
      <c r="D719" s="6" t="s">
        <v>66</v>
      </c>
      <c r="E719" s="6" t="s">
        <v>3236</v>
      </c>
      <c r="F719" s="6" t="s">
        <v>3229</v>
      </c>
      <c r="G719" s="8">
        <v>1.1587777779999999</v>
      </c>
      <c r="H719" s="8">
        <v>6.2525000000000004</v>
      </c>
      <c r="I719" s="6" t="s">
        <v>2486</v>
      </c>
      <c r="J719" s="6" t="s">
        <v>2459</v>
      </c>
      <c r="K719" s="6" t="s">
        <v>2460</v>
      </c>
      <c r="L719" s="6"/>
      <c r="M719" s="6"/>
      <c r="N719" s="6" t="s">
        <v>3268</v>
      </c>
      <c r="O719" s="6" t="s">
        <v>7</v>
      </c>
      <c r="P719" s="6" t="str">
        <f>VLOOKUP(Tableau1[[#This Row],[SITES NAMES]],[1]Feuil1!$1:$1048576,8,FALSE)</f>
        <v>OK</v>
      </c>
      <c r="Q719" s="6" t="str">
        <f>VLOOKUP(Tableau1[[#This Row],[SITES NAMES]],[1]Feuil1!$1:$1048576,9,FALSE)</f>
        <v>NO</v>
      </c>
      <c r="R719" s="6" t="str">
        <f>VLOOKUP(Tableau1[[#This Row],[SITES NAMES]],[1]Feuil1!$1:$1048576,10,FALSE)</f>
        <v>NO</v>
      </c>
      <c r="S719" s="6" t="s">
        <v>2461</v>
      </c>
      <c r="T719" s="6" t="s">
        <v>2462</v>
      </c>
      <c r="U719" s="6" t="s">
        <v>2463</v>
      </c>
      <c r="V719" s="6" t="s">
        <v>2478</v>
      </c>
      <c r="W719" s="6" t="s">
        <v>2476</v>
      </c>
      <c r="X719" s="8" t="s">
        <v>2980</v>
      </c>
      <c r="Y719" s="6" t="s">
        <v>3238</v>
      </c>
      <c r="Z719" s="6" t="s">
        <v>3263</v>
      </c>
      <c r="AA719" s="35" t="s">
        <v>3616</v>
      </c>
      <c r="AB719" s="35" t="s">
        <v>3608</v>
      </c>
      <c r="AC719" s="35" t="s">
        <v>3619</v>
      </c>
      <c r="AD719" s="35" t="s">
        <v>3610</v>
      </c>
      <c r="AE719" s="35" t="s">
        <v>3610</v>
      </c>
      <c r="AF719" s="35" t="s">
        <v>3611</v>
      </c>
      <c r="AG719" s="35" t="s">
        <v>3612</v>
      </c>
      <c r="AH719" s="35" t="s">
        <v>3620</v>
      </c>
    </row>
    <row r="720" spans="1:34" ht="14.45" hidden="1" customHeight="1" x14ac:dyDescent="0.25">
      <c r="A720" s="6" t="s">
        <v>1670</v>
      </c>
      <c r="B720" s="7">
        <v>45129</v>
      </c>
      <c r="C720" s="6" t="s">
        <v>1669</v>
      </c>
      <c r="D720" s="6" t="s">
        <v>66</v>
      </c>
      <c r="E720" s="6" t="s">
        <v>3236</v>
      </c>
      <c r="F720" s="6" t="s">
        <v>3229</v>
      </c>
      <c r="G720" s="8">
        <v>1.1536120000000001</v>
      </c>
      <c r="H720" s="8">
        <v>6.2597500000000004</v>
      </c>
      <c r="I720" s="6" t="s">
        <v>2475</v>
      </c>
      <c r="J720" s="6" t="s">
        <v>2459</v>
      </c>
      <c r="K720" s="6" t="s">
        <v>2468</v>
      </c>
      <c r="L720" s="6"/>
      <c r="M720" s="6"/>
      <c r="N720" s="6" t="s">
        <v>2468</v>
      </c>
      <c r="O720" s="6" t="s">
        <v>7</v>
      </c>
      <c r="P720" s="6" t="str">
        <f>VLOOKUP(Tableau1[[#This Row],[SITES NAMES]],[1]Feuil1!$1:$1048576,8,FALSE)</f>
        <v>OK</v>
      </c>
      <c r="Q720" s="6" t="str">
        <f>VLOOKUP(Tableau1[[#This Row],[SITES NAMES]],[1]Feuil1!$1:$1048576,9,FALSE)</f>
        <v>NO</v>
      </c>
      <c r="R720" s="6" t="str">
        <f>VLOOKUP(Tableau1[[#This Row],[SITES NAMES]],[1]Feuil1!$1:$1048576,10,FALSE)</f>
        <v>NO</v>
      </c>
      <c r="S720" s="6" t="s">
        <v>2469</v>
      </c>
      <c r="T720" s="6" t="s">
        <v>2470</v>
      </c>
      <c r="U720" s="6" t="s">
        <v>2480</v>
      </c>
      <c r="V720" s="6" t="s">
        <v>2464</v>
      </c>
      <c r="W720" s="6" t="s">
        <v>2476</v>
      </c>
      <c r="X720" s="8"/>
      <c r="Y720" s="6" t="s">
        <v>3238</v>
      </c>
      <c r="Z720" s="6" t="s">
        <v>3263</v>
      </c>
      <c r="AA720" s="35" t="s">
        <v>3616</v>
      </c>
      <c r="AB720" s="35" t="s">
        <v>3608</v>
      </c>
      <c r="AC720" s="35" t="s">
        <v>3619</v>
      </c>
      <c r="AD720" s="35" t="s">
        <v>3610</v>
      </c>
      <c r="AE720" s="35" t="s">
        <v>3610</v>
      </c>
      <c r="AF720" s="35" t="s">
        <v>3611</v>
      </c>
      <c r="AG720" s="35" t="s">
        <v>3612</v>
      </c>
      <c r="AH720" s="35" t="s">
        <v>3620</v>
      </c>
    </row>
    <row r="721" spans="1:34" ht="14.45" hidden="1" customHeight="1" x14ac:dyDescent="0.25">
      <c r="A721" s="6" t="s">
        <v>1672</v>
      </c>
      <c r="B721" s="7">
        <v>44721</v>
      </c>
      <c r="C721" s="6" t="s">
        <v>1671</v>
      </c>
      <c r="D721" s="6" t="s">
        <v>66</v>
      </c>
      <c r="E721" s="6" t="s">
        <v>3236</v>
      </c>
      <c r="F721" s="6" t="s">
        <v>3229</v>
      </c>
      <c r="G721" s="8">
        <v>1.163592</v>
      </c>
      <c r="H721" s="8">
        <v>6.25752899</v>
      </c>
      <c r="I721" s="6" t="s">
        <v>2475</v>
      </c>
      <c r="J721" s="6" t="s">
        <v>2459</v>
      </c>
      <c r="K721" s="6" t="s">
        <v>2460</v>
      </c>
      <c r="L721" s="6" t="s">
        <v>1644</v>
      </c>
      <c r="M721" s="6"/>
      <c r="N721" s="6" t="s">
        <v>3268</v>
      </c>
      <c r="O721" s="6" t="s">
        <v>7</v>
      </c>
      <c r="P721" s="6" t="str">
        <f>VLOOKUP(Tableau1[[#This Row],[SITES NAMES]],[1]Feuil1!$1:$1048576,8,FALSE)</f>
        <v>OK</v>
      </c>
      <c r="Q721" s="6" t="str">
        <f>VLOOKUP(Tableau1[[#This Row],[SITES NAMES]],[1]Feuil1!$1:$1048576,9,FALSE)</f>
        <v>NO</v>
      </c>
      <c r="R721" s="6" t="str">
        <f>VLOOKUP(Tableau1[[#This Row],[SITES NAMES]],[1]Feuil1!$1:$1048576,10,FALSE)</f>
        <v>YES</v>
      </c>
      <c r="S721" s="6" t="s">
        <v>2461</v>
      </c>
      <c r="T721" s="6" t="s">
        <v>2462</v>
      </c>
      <c r="U721" s="6" t="s">
        <v>2463</v>
      </c>
      <c r="V721" s="6" t="s">
        <v>2478</v>
      </c>
      <c r="W721" s="6" t="s">
        <v>2476</v>
      </c>
      <c r="X721" s="8" t="s">
        <v>3001</v>
      </c>
      <c r="Y721" s="6" t="s">
        <v>3238</v>
      </c>
      <c r="Z721" s="6" t="s">
        <v>3263</v>
      </c>
      <c r="AA721" s="35" t="s">
        <v>3616</v>
      </c>
      <c r="AB721" s="35" t="s">
        <v>3608</v>
      </c>
      <c r="AC721" s="35" t="s">
        <v>3619</v>
      </c>
      <c r="AD721" s="35" t="s">
        <v>3610</v>
      </c>
      <c r="AE721" s="35" t="s">
        <v>3610</v>
      </c>
      <c r="AF721" s="35" t="s">
        <v>3611</v>
      </c>
      <c r="AG721" s="35" t="s">
        <v>3612</v>
      </c>
      <c r="AH721" s="35" t="s">
        <v>3620</v>
      </c>
    </row>
    <row r="722" spans="1:34" ht="14.45" hidden="1" customHeight="1" x14ac:dyDescent="0.25">
      <c r="A722" s="6" t="s">
        <v>1600</v>
      </c>
      <c r="B722" s="7">
        <v>46022</v>
      </c>
      <c r="C722" s="6" t="s">
        <v>1599</v>
      </c>
      <c r="D722" s="6" t="s">
        <v>66</v>
      </c>
      <c r="E722" s="6" t="s">
        <v>3236</v>
      </c>
      <c r="F722" s="6" t="s">
        <v>3229</v>
      </c>
      <c r="G722" s="8">
        <v>1.1664939999999999</v>
      </c>
      <c r="H722" s="8">
        <v>6.2511570000000001</v>
      </c>
      <c r="I722" s="16" t="s">
        <v>2475</v>
      </c>
      <c r="J722" s="6" t="s">
        <v>2459</v>
      </c>
      <c r="K722" s="6" t="s">
        <v>2468</v>
      </c>
      <c r="L722" s="6"/>
      <c r="M722" s="6"/>
      <c r="N722" s="6" t="s">
        <v>2468</v>
      </c>
      <c r="O722" s="6" t="s">
        <v>7</v>
      </c>
      <c r="P722" s="6"/>
      <c r="Q722" s="6"/>
      <c r="R722" s="6"/>
      <c r="S722" s="6"/>
      <c r="T722" s="6"/>
      <c r="U722" s="6"/>
      <c r="V722" s="6"/>
      <c r="W722" s="6"/>
      <c r="X722" s="8"/>
      <c r="Y722" s="6" t="s">
        <v>3238</v>
      </c>
      <c r="Z722" s="6" t="s">
        <v>3263</v>
      </c>
      <c r="AA722" s="35" t="s">
        <v>3616</v>
      </c>
      <c r="AB722" s="35" t="s">
        <v>3608</v>
      </c>
      <c r="AC722" s="35" t="s">
        <v>3619</v>
      </c>
      <c r="AD722" s="35" t="s">
        <v>3610</v>
      </c>
      <c r="AE722" s="35" t="s">
        <v>3610</v>
      </c>
      <c r="AF722" s="35" t="s">
        <v>3611</v>
      </c>
      <c r="AG722" s="35" t="s">
        <v>3612</v>
      </c>
      <c r="AH722" s="35" t="s">
        <v>3620</v>
      </c>
    </row>
    <row r="723" spans="1:34" ht="14.45" hidden="1" customHeight="1" x14ac:dyDescent="0.3">
      <c r="A723" s="6" t="s">
        <v>1094</v>
      </c>
      <c r="B723" s="7">
        <v>0</v>
      </c>
      <c r="C723" s="6" t="s">
        <v>1093</v>
      </c>
      <c r="D723" s="6" t="s">
        <v>5</v>
      </c>
      <c r="E723" s="6" t="s">
        <v>1003</v>
      </c>
      <c r="F723" s="6" t="s">
        <v>3229</v>
      </c>
      <c r="G723" s="8">
        <v>0.59891000000000005</v>
      </c>
      <c r="H723" s="8">
        <v>6.8351100000000002</v>
      </c>
      <c r="I723" s="6" t="s">
        <v>2486</v>
      </c>
      <c r="J723" s="6" t="s">
        <v>2459</v>
      </c>
      <c r="K723" s="6" t="s">
        <v>2468</v>
      </c>
      <c r="L723" s="6" t="s">
        <v>3343</v>
      </c>
      <c r="M723" s="6"/>
      <c r="N723" s="6" t="s">
        <v>2468</v>
      </c>
      <c r="O723" s="6" t="s">
        <v>18</v>
      </c>
      <c r="P723" s="6" t="str">
        <f>VLOOKUP(Tableau1[[#This Row],[SITES NAMES]],[1]Feuil1!$1:$1048576,8,FALSE)</f>
        <v>NOK</v>
      </c>
      <c r="Q723" s="6" t="str">
        <f>VLOOKUP(Tableau1[[#This Row],[SITES NAMES]],[1]Feuil1!$1:$1048576,9,FALSE)</f>
        <v>NO</v>
      </c>
      <c r="R723" s="6" t="str">
        <f>VLOOKUP(Tableau1[[#This Row],[SITES NAMES]],[1]Feuil1!$1:$1048576,10,FALSE)</f>
        <v>NO</v>
      </c>
      <c r="S723" s="6" t="s">
        <v>2461</v>
      </c>
      <c r="T723" s="6" t="s">
        <v>2462</v>
      </c>
      <c r="U723" s="6" t="s">
        <v>2463</v>
      </c>
      <c r="V723" s="6" t="s">
        <v>2472</v>
      </c>
      <c r="W723" s="6" t="s">
        <v>2473</v>
      </c>
      <c r="X723" s="8" t="s">
        <v>2867</v>
      </c>
      <c r="Y723" s="6" t="s">
        <v>3241</v>
      </c>
      <c r="Z723" s="6"/>
      <c r="AA723" s="37" t="s">
        <v>3634</v>
      </c>
      <c r="AB723" s="38" t="s">
        <v>3627</v>
      </c>
      <c r="AC723" s="37" t="s">
        <v>3635</v>
      </c>
      <c r="AD723" s="37" t="s">
        <v>3636</v>
      </c>
      <c r="AE723" s="37" t="s">
        <v>3637</v>
      </c>
      <c r="AF723" s="37" t="s">
        <v>3636</v>
      </c>
      <c r="AG723" s="37" t="s">
        <v>3638</v>
      </c>
      <c r="AH723" s="37" t="s">
        <v>3639</v>
      </c>
    </row>
    <row r="724" spans="1:34" ht="14.45" hidden="1" customHeight="1" x14ac:dyDescent="0.25">
      <c r="A724" s="6" t="s">
        <v>1674</v>
      </c>
      <c r="B724" s="7">
        <v>45215</v>
      </c>
      <c r="C724" s="6" t="s">
        <v>1673</v>
      </c>
      <c r="D724" s="6" t="s">
        <v>66</v>
      </c>
      <c r="E724" s="6" t="s">
        <v>3236</v>
      </c>
      <c r="F724" s="6" t="s">
        <v>3229</v>
      </c>
      <c r="G724" s="8">
        <v>1.105</v>
      </c>
      <c r="H724" s="8">
        <v>6.2832299999999996</v>
      </c>
      <c r="I724" s="6" t="s">
        <v>2479</v>
      </c>
      <c r="J724" s="6" t="s">
        <v>2459</v>
      </c>
      <c r="K724" s="6" t="s">
        <v>2468</v>
      </c>
      <c r="L724" s="6" t="s">
        <v>3520</v>
      </c>
      <c r="M724" s="6"/>
      <c r="N724" s="6" t="s">
        <v>2468</v>
      </c>
      <c r="O724" s="6" t="s">
        <v>37</v>
      </c>
      <c r="P724" s="6" t="str">
        <f>VLOOKUP(Tableau1[[#This Row],[SITES NAMES]],[1]Feuil1!$1:$1048576,8,FALSE)</f>
        <v>OK</v>
      </c>
      <c r="Q724" s="6" t="str">
        <f>VLOOKUP(Tableau1[[#This Row],[SITES NAMES]],[1]Feuil1!$1:$1048576,9,FALSE)</f>
        <v>NO</v>
      </c>
      <c r="R724" s="6" t="str">
        <f>VLOOKUP(Tableau1[[#This Row],[SITES NAMES]],[1]Feuil1!$1:$1048576,10,FALSE)</f>
        <v>NO</v>
      </c>
      <c r="S724" s="6" t="s">
        <v>2461</v>
      </c>
      <c r="T724" s="6" t="s">
        <v>2462</v>
      </c>
      <c r="U724" s="6" t="s">
        <v>2463</v>
      </c>
      <c r="V724" s="6" t="s">
        <v>2472</v>
      </c>
      <c r="W724" s="6" t="s">
        <v>2974</v>
      </c>
      <c r="X724" s="8"/>
      <c r="Y724" s="6" t="s">
        <v>3238</v>
      </c>
      <c r="Z724" s="6" t="s">
        <v>3263</v>
      </c>
      <c r="AA724" s="35" t="s">
        <v>3616</v>
      </c>
      <c r="AB724" s="35" t="s">
        <v>3608</v>
      </c>
      <c r="AC724" s="35" t="s">
        <v>3619</v>
      </c>
      <c r="AD724" s="35" t="s">
        <v>3610</v>
      </c>
      <c r="AE724" s="35" t="s">
        <v>3610</v>
      </c>
      <c r="AF724" s="35" t="s">
        <v>3611</v>
      </c>
      <c r="AG724" s="35" t="s">
        <v>3612</v>
      </c>
      <c r="AH724" s="35" t="s">
        <v>3620</v>
      </c>
    </row>
    <row r="725" spans="1:34" ht="15.75" hidden="1" x14ac:dyDescent="0.3">
      <c r="A725" s="6" t="s">
        <v>1003</v>
      </c>
      <c r="B725" s="7">
        <v>0</v>
      </c>
      <c r="C725" s="6" t="s">
        <v>1095</v>
      </c>
      <c r="D725" s="6" t="s">
        <v>5</v>
      </c>
      <c r="E725" s="6" t="s">
        <v>1003</v>
      </c>
      <c r="F725" s="6" t="s">
        <v>3230</v>
      </c>
      <c r="G725" s="8">
        <v>0.63146999999999998</v>
      </c>
      <c r="H725" s="8">
        <v>6.9077849999999996</v>
      </c>
      <c r="I725" s="6" t="s">
        <v>2497</v>
      </c>
      <c r="J725" s="6" t="s">
        <v>2459</v>
      </c>
      <c r="K725" s="6" t="s">
        <v>2460</v>
      </c>
      <c r="L725" s="6"/>
      <c r="M725" s="6"/>
      <c r="N725" s="21" t="s">
        <v>3269</v>
      </c>
      <c r="O725" s="6" t="s">
        <v>291</v>
      </c>
      <c r="P725" s="6" t="str">
        <f>VLOOKUP(Tableau1[[#This Row],[SITES NAMES]],[1]Feuil1!$1:$1048576,8,FALSE)</f>
        <v>OK</v>
      </c>
      <c r="Q725" s="6" t="str">
        <f>VLOOKUP(Tableau1[[#This Row],[SITES NAMES]],[1]Feuil1!$1:$1048576,9,FALSE)</f>
        <v>NO</v>
      </c>
      <c r="R725" s="6" t="str">
        <f>VLOOKUP(Tableau1[[#This Row],[SITES NAMES]],[1]Feuil1!$1:$1048576,10,FALSE)</f>
        <v>YES</v>
      </c>
      <c r="S725" s="6" t="s">
        <v>2469</v>
      </c>
      <c r="T725" s="6" t="s">
        <v>2470</v>
      </c>
      <c r="U725" s="6" t="s">
        <v>2471</v>
      </c>
      <c r="V725" s="6" t="s">
        <v>2498</v>
      </c>
      <c r="W725" s="6" t="s">
        <v>2476</v>
      </c>
      <c r="X725" s="8" t="s">
        <v>2868</v>
      </c>
      <c r="Y725" s="6" t="s">
        <v>3241</v>
      </c>
      <c r="Z725" s="6"/>
      <c r="AA725" s="37" t="s">
        <v>3634</v>
      </c>
      <c r="AB725" s="38" t="s">
        <v>3627</v>
      </c>
      <c r="AC725" s="37" t="s">
        <v>3635</v>
      </c>
      <c r="AD725" s="37" t="s">
        <v>3636</v>
      </c>
      <c r="AE725" s="37" t="s">
        <v>3637</v>
      </c>
      <c r="AF725" s="37" t="s">
        <v>3636</v>
      </c>
      <c r="AG725" s="37" t="s">
        <v>3638</v>
      </c>
      <c r="AH725" s="37" t="s">
        <v>3639</v>
      </c>
    </row>
    <row r="726" spans="1:34" ht="14.45" hidden="1" customHeight="1" x14ac:dyDescent="0.3">
      <c r="A726" s="6" t="s">
        <v>1041</v>
      </c>
      <c r="B726" s="7">
        <v>46022</v>
      </c>
      <c r="C726" s="6" t="s">
        <v>1040</v>
      </c>
      <c r="D726" s="6" t="s">
        <v>5</v>
      </c>
      <c r="E726" s="6" t="s">
        <v>1003</v>
      </c>
      <c r="F726" s="6" t="s">
        <v>3229</v>
      </c>
      <c r="G726" s="8">
        <v>0.62119690000000005</v>
      </c>
      <c r="H726" s="8">
        <v>6.9260070000000002</v>
      </c>
      <c r="I726" s="6" t="e">
        <v>#N/A</v>
      </c>
      <c r="J726" s="6" t="s">
        <v>2459</v>
      </c>
      <c r="K726" s="6" t="s">
        <v>2468</v>
      </c>
      <c r="L726" s="6"/>
      <c r="M726" s="6"/>
      <c r="N726" s="6" t="s">
        <v>2468</v>
      </c>
      <c r="O726" s="6" t="s">
        <v>47</v>
      </c>
      <c r="P726" s="6"/>
      <c r="Q726" s="6"/>
      <c r="R726" s="6"/>
      <c r="S726" s="6"/>
      <c r="T726" s="6"/>
      <c r="U726" s="6"/>
      <c r="V726" s="6"/>
      <c r="W726" s="6"/>
      <c r="X726" s="8"/>
      <c r="Y726" s="6" t="s">
        <v>3241</v>
      </c>
      <c r="Z726" s="6"/>
      <c r="AA726" s="37" t="s">
        <v>3634</v>
      </c>
      <c r="AB726" s="38" t="s">
        <v>3627</v>
      </c>
      <c r="AC726" s="37" t="s">
        <v>3635</v>
      </c>
      <c r="AD726" s="37" t="s">
        <v>3636</v>
      </c>
      <c r="AE726" s="37" t="s">
        <v>3637</v>
      </c>
      <c r="AF726" s="37" t="s">
        <v>3636</v>
      </c>
      <c r="AG726" s="37" t="s">
        <v>3638</v>
      </c>
      <c r="AH726" s="37" t="s">
        <v>3639</v>
      </c>
    </row>
    <row r="727" spans="1:34" ht="14.45" hidden="1" customHeight="1" x14ac:dyDescent="0.3">
      <c r="A727" s="6" t="s">
        <v>1043</v>
      </c>
      <c r="B727" s="7">
        <v>46022</v>
      </c>
      <c r="C727" s="6" t="s">
        <v>1042</v>
      </c>
      <c r="D727" s="6" t="s">
        <v>5</v>
      </c>
      <c r="E727" s="6" t="s">
        <v>1003</v>
      </c>
      <c r="F727" s="6" t="s">
        <v>3229</v>
      </c>
      <c r="G727" s="8">
        <v>0.65248799999999996</v>
      </c>
      <c r="H727" s="8">
        <v>6.9000199999999996</v>
      </c>
      <c r="I727" s="6" t="e">
        <v>#N/A</v>
      </c>
      <c r="J727" s="6" t="s">
        <v>2459</v>
      </c>
      <c r="K727" s="6" t="s">
        <v>2468</v>
      </c>
      <c r="L727" s="6"/>
      <c r="M727" s="6"/>
      <c r="N727" s="6" t="s">
        <v>2468</v>
      </c>
      <c r="O727" s="6" t="s">
        <v>47</v>
      </c>
      <c r="P727" s="6"/>
      <c r="Q727" s="6"/>
      <c r="R727" s="6"/>
      <c r="S727" s="6"/>
      <c r="T727" s="6"/>
      <c r="U727" s="6"/>
      <c r="V727" s="6"/>
      <c r="W727" s="6"/>
      <c r="X727" s="8"/>
      <c r="Y727" s="6" t="s">
        <v>3241</v>
      </c>
      <c r="Z727" s="6"/>
      <c r="AA727" s="37" t="s">
        <v>3634</v>
      </c>
      <c r="AB727" s="38" t="s">
        <v>3627</v>
      </c>
      <c r="AC727" s="37" t="s">
        <v>3635</v>
      </c>
      <c r="AD727" s="37" t="s">
        <v>3636</v>
      </c>
      <c r="AE727" s="37" t="s">
        <v>3637</v>
      </c>
      <c r="AF727" s="37" t="s">
        <v>3636</v>
      </c>
      <c r="AG727" s="37" t="s">
        <v>3638</v>
      </c>
      <c r="AH727" s="37" t="s">
        <v>3639</v>
      </c>
    </row>
    <row r="728" spans="1:34" ht="14.45" hidden="1" customHeight="1" x14ac:dyDescent="0.3">
      <c r="A728" s="6" t="s">
        <v>1097</v>
      </c>
      <c r="B728" s="7">
        <v>46022</v>
      </c>
      <c r="C728" s="6" t="s">
        <v>1096</v>
      </c>
      <c r="D728" s="6" t="s">
        <v>5</v>
      </c>
      <c r="E728" s="6" t="s">
        <v>1003</v>
      </c>
      <c r="F728" s="6" t="s">
        <v>3229</v>
      </c>
      <c r="G728" s="8">
        <v>0.63911700000000005</v>
      </c>
      <c r="H728" s="8">
        <v>6.912172</v>
      </c>
      <c r="I728" s="6" t="e">
        <v>#N/A</v>
      </c>
      <c r="J728" s="6" t="s">
        <v>2459</v>
      </c>
      <c r="K728" s="6" t="s">
        <v>2468</v>
      </c>
      <c r="L728" s="6" t="s">
        <v>1109</v>
      </c>
      <c r="M728" s="6" t="s">
        <v>1003</v>
      </c>
      <c r="N728" s="6" t="s">
        <v>2468</v>
      </c>
      <c r="O728" s="6" t="s">
        <v>7</v>
      </c>
      <c r="P728" s="6"/>
      <c r="Q728" s="6"/>
      <c r="R728" s="6"/>
      <c r="S728" s="6"/>
      <c r="T728" s="6"/>
      <c r="U728" s="6"/>
      <c r="V728" s="6"/>
      <c r="W728" s="6"/>
      <c r="X728" s="8"/>
      <c r="Y728" s="6" t="s">
        <v>3241</v>
      </c>
      <c r="Z728" s="6"/>
      <c r="AA728" s="37" t="s">
        <v>3634</v>
      </c>
      <c r="AB728" s="38" t="s">
        <v>3627</v>
      </c>
      <c r="AC728" s="37" t="s">
        <v>3635</v>
      </c>
      <c r="AD728" s="37" t="s">
        <v>3636</v>
      </c>
      <c r="AE728" s="37" t="s">
        <v>3637</v>
      </c>
      <c r="AF728" s="37" t="s">
        <v>3636</v>
      </c>
      <c r="AG728" s="37" t="s">
        <v>3638</v>
      </c>
      <c r="AH728" s="37" t="s">
        <v>3639</v>
      </c>
    </row>
    <row r="729" spans="1:34" ht="14.45" hidden="1" customHeight="1" x14ac:dyDescent="0.3">
      <c r="A729" s="6" t="s">
        <v>1099</v>
      </c>
      <c r="B729" s="7">
        <v>0</v>
      </c>
      <c r="C729" s="6" t="s">
        <v>1098</v>
      </c>
      <c r="D729" s="6" t="s">
        <v>5</v>
      </c>
      <c r="E729" s="6" t="s">
        <v>1003</v>
      </c>
      <c r="F729" s="6" t="s">
        <v>3230</v>
      </c>
      <c r="G729" s="8">
        <v>0.63970000000000005</v>
      </c>
      <c r="H729" s="8">
        <v>6.9199200000000003</v>
      </c>
      <c r="I729" s="6" t="s">
        <v>2497</v>
      </c>
      <c r="J729" s="6" t="s">
        <v>2459</v>
      </c>
      <c r="K729" s="6" t="s">
        <v>2460</v>
      </c>
      <c r="L729" s="6"/>
      <c r="M729" s="6"/>
      <c r="N729" s="6" t="s">
        <v>3268</v>
      </c>
      <c r="O729" s="6" t="s">
        <v>7</v>
      </c>
      <c r="P729" s="6" t="str">
        <f>VLOOKUP(Tableau1[[#This Row],[SITES NAMES]],[1]Feuil1!$1:$1048576,8,FALSE)</f>
        <v>NOK</v>
      </c>
      <c r="Q729" s="6" t="str">
        <f>VLOOKUP(Tableau1[[#This Row],[SITES NAMES]],[1]Feuil1!$1:$1048576,9,FALSE)</f>
        <v>NO</v>
      </c>
      <c r="R729" s="6" t="str">
        <f>VLOOKUP(Tableau1[[#This Row],[SITES NAMES]],[1]Feuil1!$1:$1048576,10,FALSE)</f>
        <v>YES</v>
      </c>
      <c r="S729" s="6" t="s">
        <v>2461</v>
      </c>
      <c r="T729" s="6" t="s">
        <v>2470</v>
      </c>
      <c r="U729" s="6" t="s">
        <v>2480</v>
      </c>
      <c r="V729" s="6" t="s">
        <v>2478</v>
      </c>
      <c r="W729" s="6" t="s">
        <v>2476</v>
      </c>
      <c r="X729" s="8" t="s">
        <v>2869</v>
      </c>
      <c r="Y729" s="6" t="s">
        <v>3241</v>
      </c>
      <c r="Z729" s="6"/>
      <c r="AA729" s="37" t="s">
        <v>3634</v>
      </c>
      <c r="AB729" s="38" t="s">
        <v>3627</v>
      </c>
      <c r="AC729" s="37" t="s">
        <v>3635</v>
      </c>
      <c r="AD729" s="37" t="s">
        <v>3636</v>
      </c>
      <c r="AE729" s="37" t="s">
        <v>3637</v>
      </c>
      <c r="AF729" s="37" t="s">
        <v>3636</v>
      </c>
      <c r="AG729" s="37" t="s">
        <v>3638</v>
      </c>
      <c r="AH729" s="37" t="s">
        <v>3639</v>
      </c>
    </row>
    <row r="730" spans="1:34" ht="14.45" hidden="1" customHeight="1" x14ac:dyDescent="0.3">
      <c r="A730" s="6" t="s">
        <v>1024</v>
      </c>
      <c r="B730" s="7">
        <v>0</v>
      </c>
      <c r="C730" s="6" t="s">
        <v>1023</v>
      </c>
      <c r="D730" s="6" t="s">
        <v>5</v>
      </c>
      <c r="E730" s="6" t="s">
        <v>1003</v>
      </c>
      <c r="F730" s="6" t="s">
        <v>3229</v>
      </c>
      <c r="G730" s="8">
        <v>0.61151999999999995</v>
      </c>
      <c r="H730" s="8">
        <v>6.9218590000000004</v>
      </c>
      <c r="I730" s="6" t="s">
        <v>2486</v>
      </c>
      <c r="J730" s="6" t="s">
        <v>2459</v>
      </c>
      <c r="K730" s="6" t="s">
        <v>2460</v>
      </c>
      <c r="L730" s="6"/>
      <c r="M730" s="6"/>
      <c r="N730" s="6" t="s">
        <v>3268</v>
      </c>
      <c r="O730" s="6" t="s">
        <v>7</v>
      </c>
      <c r="P730" s="6" t="str">
        <f>VLOOKUP(Tableau1[[#This Row],[SITES NAMES]],[1]Feuil1!$1:$1048576,8,FALSE)</f>
        <v>OK</v>
      </c>
      <c r="Q730" s="6" t="str">
        <f>VLOOKUP(Tableau1[[#This Row],[SITES NAMES]],[1]Feuil1!$1:$1048576,9,FALSE)</f>
        <v>NO</v>
      </c>
      <c r="R730" s="6" t="str">
        <f>VLOOKUP(Tableau1[[#This Row],[SITES NAMES]],[1]Feuil1!$1:$1048576,10,FALSE)</f>
        <v>NO</v>
      </c>
      <c r="S730" s="6" t="s">
        <v>2461</v>
      </c>
      <c r="T730" s="6" t="s">
        <v>2462</v>
      </c>
      <c r="U730" s="6" t="s">
        <v>2463</v>
      </c>
      <c r="V730" s="6" t="s">
        <v>2464</v>
      </c>
      <c r="W730" s="6" t="s">
        <v>2476</v>
      </c>
      <c r="X730" s="8" t="s">
        <v>2845</v>
      </c>
      <c r="Y730" s="6" t="s">
        <v>3241</v>
      </c>
      <c r="Z730" s="6"/>
      <c r="AA730" s="37" t="s">
        <v>3634</v>
      </c>
      <c r="AB730" s="38" t="s">
        <v>3627</v>
      </c>
      <c r="AC730" s="37" t="s">
        <v>3635</v>
      </c>
      <c r="AD730" s="37" t="s">
        <v>3636</v>
      </c>
      <c r="AE730" s="37" t="s">
        <v>3637</v>
      </c>
      <c r="AF730" s="37" t="s">
        <v>3636</v>
      </c>
      <c r="AG730" s="37" t="s">
        <v>3638</v>
      </c>
      <c r="AH730" s="37" t="s">
        <v>3639</v>
      </c>
    </row>
    <row r="731" spans="1:34" ht="14.45" hidden="1" customHeight="1" x14ac:dyDescent="0.3">
      <c r="A731" s="6" t="s">
        <v>1101</v>
      </c>
      <c r="B731" s="7">
        <v>0</v>
      </c>
      <c r="C731" s="6" t="s">
        <v>1100</v>
      </c>
      <c r="D731" s="6" t="s">
        <v>5</v>
      </c>
      <c r="E731" s="6" t="s">
        <v>1003</v>
      </c>
      <c r="F731" s="6" t="s">
        <v>3229</v>
      </c>
      <c r="G731" s="8">
        <v>0.64023799999999997</v>
      </c>
      <c r="H731" s="8">
        <v>6.9030810000000002</v>
      </c>
      <c r="I731" s="6" t="s">
        <v>2497</v>
      </c>
      <c r="J731" s="6" t="s">
        <v>2459</v>
      </c>
      <c r="K731" s="6" t="s">
        <v>2460</v>
      </c>
      <c r="L731" s="6"/>
      <c r="M731" s="6"/>
      <c r="N731" s="6" t="s">
        <v>3268</v>
      </c>
      <c r="O731" s="6" t="s">
        <v>7</v>
      </c>
      <c r="P731" s="6" t="str">
        <f>VLOOKUP(Tableau1[[#This Row],[SITES NAMES]],[1]Feuil1!$1:$1048576,8,FALSE)</f>
        <v>OK</v>
      </c>
      <c r="Q731" s="6" t="str">
        <f>VLOOKUP(Tableau1[[#This Row],[SITES NAMES]],[1]Feuil1!$1:$1048576,9,FALSE)</f>
        <v>NO</v>
      </c>
      <c r="R731" s="6" t="str">
        <f>VLOOKUP(Tableau1[[#This Row],[SITES NAMES]],[1]Feuil1!$1:$1048576,10,FALSE)</f>
        <v>NO</v>
      </c>
      <c r="S731" s="6" t="s">
        <v>2461</v>
      </c>
      <c r="T731" s="6" t="s">
        <v>2462</v>
      </c>
      <c r="U731" s="6" t="s">
        <v>2463</v>
      </c>
      <c r="V731" s="6" t="s">
        <v>2464</v>
      </c>
      <c r="W731" s="6" t="s">
        <v>2476</v>
      </c>
      <c r="X731" s="8" t="s">
        <v>2870</v>
      </c>
      <c r="Y731" s="6" t="s">
        <v>3241</v>
      </c>
      <c r="Z731" s="6"/>
      <c r="AA731" s="37" t="s">
        <v>3634</v>
      </c>
      <c r="AB731" s="38" t="s">
        <v>3627</v>
      </c>
      <c r="AC731" s="37" t="s">
        <v>3635</v>
      </c>
      <c r="AD731" s="37" t="s">
        <v>3636</v>
      </c>
      <c r="AE731" s="37" t="s">
        <v>3637</v>
      </c>
      <c r="AF731" s="37" t="s">
        <v>3636</v>
      </c>
      <c r="AG731" s="37" t="s">
        <v>3638</v>
      </c>
      <c r="AH731" s="37" t="s">
        <v>3639</v>
      </c>
    </row>
    <row r="732" spans="1:34" ht="14.45" hidden="1" customHeight="1" x14ac:dyDescent="0.3">
      <c r="A732" s="6" t="s">
        <v>1103</v>
      </c>
      <c r="B732" s="7">
        <v>44625</v>
      </c>
      <c r="C732" s="6" t="s">
        <v>1102</v>
      </c>
      <c r="D732" s="6" t="s">
        <v>5</v>
      </c>
      <c r="E732" s="6" t="s">
        <v>1003</v>
      </c>
      <c r="F732" s="6" t="s">
        <v>3229</v>
      </c>
      <c r="G732" s="8">
        <v>0.62912378999999996</v>
      </c>
      <c r="H732" s="8">
        <v>6.8966762900000003</v>
      </c>
      <c r="I732" s="6" t="s">
        <v>2497</v>
      </c>
      <c r="J732" s="6" t="s">
        <v>2459</v>
      </c>
      <c r="K732" s="6" t="s">
        <v>2460</v>
      </c>
      <c r="L732" s="6" t="s">
        <v>3521</v>
      </c>
      <c r="M732" s="6"/>
      <c r="N732" s="6" t="s">
        <v>3268</v>
      </c>
      <c r="O732" s="6" t="s">
        <v>7</v>
      </c>
      <c r="P732" s="6" t="str">
        <f>VLOOKUP(Tableau1[[#This Row],[SITES NAMES]],[1]Feuil1!$1:$1048576,8,FALSE)</f>
        <v>OK</v>
      </c>
      <c r="Q732" s="6" t="str">
        <f>VLOOKUP(Tableau1[[#This Row],[SITES NAMES]],[1]Feuil1!$1:$1048576,9,FALSE)</f>
        <v>NO</v>
      </c>
      <c r="R732" s="6" t="str">
        <f>VLOOKUP(Tableau1[[#This Row],[SITES NAMES]],[1]Feuil1!$1:$1048576,10,FALSE)</f>
        <v>YES</v>
      </c>
      <c r="S732" s="6" t="s">
        <v>2469</v>
      </c>
      <c r="T732" s="6" t="s">
        <v>2470</v>
      </c>
      <c r="U732" s="6" t="s">
        <v>2463</v>
      </c>
      <c r="V732" s="6" t="s">
        <v>2464</v>
      </c>
      <c r="W732" s="6" t="s">
        <v>2476</v>
      </c>
      <c r="X732" s="8" t="s">
        <v>2871</v>
      </c>
      <c r="Y732" s="6" t="s">
        <v>3241</v>
      </c>
      <c r="Z732" s="6"/>
      <c r="AA732" s="37" t="s">
        <v>3634</v>
      </c>
      <c r="AB732" s="38" t="s">
        <v>3627</v>
      </c>
      <c r="AC732" s="37" t="s">
        <v>3635</v>
      </c>
      <c r="AD732" s="37" t="s">
        <v>3636</v>
      </c>
      <c r="AE732" s="37" t="s">
        <v>3637</v>
      </c>
      <c r="AF732" s="37" t="s">
        <v>3636</v>
      </c>
      <c r="AG732" s="37" t="s">
        <v>3638</v>
      </c>
      <c r="AH732" s="37" t="s">
        <v>3639</v>
      </c>
    </row>
    <row r="733" spans="1:34" ht="14.45" hidden="1" customHeight="1" x14ac:dyDescent="0.3">
      <c r="A733" s="6" t="s">
        <v>1105</v>
      </c>
      <c r="B733" s="7">
        <v>44609</v>
      </c>
      <c r="C733" s="6" t="s">
        <v>1104</v>
      </c>
      <c r="D733" s="6" t="s">
        <v>5</v>
      </c>
      <c r="E733" s="6" t="s">
        <v>1003</v>
      </c>
      <c r="F733" s="6" t="s">
        <v>3229</v>
      </c>
      <c r="G733" s="8">
        <v>0.64831000000000005</v>
      </c>
      <c r="H733" s="8">
        <v>6.9097200000000001</v>
      </c>
      <c r="I733" s="6" t="s">
        <v>2497</v>
      </c>
      <c r="J733" s="6" t="s">
        <v>2459</v>
      </c>
      <c r="K733" s="6" t="s">
        <v>2460</v>
      </c>
      <c r="L733" s="6"/>
      <c r="M733" s="6"/>
      <c r="N733" s="6" t="s">
        <v>3268</v>
      </c>
      <c r="O733" s="6" t="s">
        <v>7</v>
      </c>
      <c r="P733" s="6" t="str">
        <f>VLOOKUP(Tableau1[[#This Row],[SITES NAMES]],[1]Feuil1!$1:$1048576,8,FALSE)</f>
        <v>OK</v>
      </c>
      <c r="Q733" s="6" t="str">
        <f>VLOOKUP(Tableau1[[#This Row],[SITES NAMES]],[1]Feuil1!$1:$1048576,9,FALSE)</f>
        <v>NO</v>
      </c>
      <c r="R733" s="6" t="str">
        <f>VLOOKUP(Tableau1[[#This Row],[SITES NAMES]],[1]Feuil1!$1:$1048576,10,FALSE)</f>
        <v>YES</v>
      </c>
      <c r="S733" s="6" t="s">
        <v>2461</v>
      </c>
      <c r="T733" s="6" t="s">
        <v>2462</v>
      </c>
      <c r="U733" s="6" t="s">
        <v>2463</v>
      </c>
      <c r="V733" s="6" t="s">
        <v>2464</v>
      </c>
      <c r="W733" s="6" t="s">
        <v>2465</v>
      </c>
      <c r="X733" s="8" t="s">
        <v>2872</v>
      </c>
      <c r="Y733" s="6" t="s">
        <v>3241</v>
      </c>
      <c r="Z733" s="6"/>
      <c r="AA733" s="37" t="s">
        <v>3634</v>
      </c>
      <c r="AB733" s="38" t="s">
        <v>3627</v>
      </c>
      <c r="AC733" s="37" t="s">
        <v>3635</v>
      </c>
      <c r="AD733" s="37" t="s">
        <v>3636</v>
      </c>
      <c r="AE733" s="37" t="s">
        <v>3637</v>
      </c>
      <c r="AF733" s="37" t="s">
        <v>3636</v>
      </c>
      <c r="AG733" s="37" t="s">
        <v>3638</v>
      </c>
      <c r="AH733" s="37" t="s">
        <v>3639</v>
      </c>
    </row>
    <row r="734" spans="1:34" ht="14.45" hidden="1" customHeight="1" x14ac:dyDescent="0.3">
      <c r="A734" s="6" t="s">
        <v>1034</v>
      </c>
      <c r="B734" s="7">
        <v>46022</v>
      </c>
      <c r="C734" s="6" t="s">
        <v>1033</v>
      </c>
      <c r="D734" s="6" t="s">
        <v>5</v>
      </c>
      <c r="E734" s="6" t="s">
        <v>1003</v>
      </c>
      <c r="F734" s="6" t="s">
        <v>3229</v>
      </c>
      <c r="G734" s="8">
        <v>0.64846199999999998</v>
      </c>
      <c r="H734" s="8">
        <v>6.924417</v>
      </c>
      <c r="I734" s="6" t="s">
        <v>2479</v>
      </c>
      <c r="J734" s="6" t="s">
        <v>2459</v>
      </c>
      <c r="K734" s="6" t="s">
        <v>2468</v>
      </c>
      <c r="L734" s="6"/>
      <c r="M734" s="6"/>
      <c r="N734" s="6" t="s">
        <v>2468</v>
      </c>
      <c r="O734" s="6" t="s">
        <v>7</v>
      </c>
      <c r="P734" s="6"/>
      <c r="Q734" s="6"/>
      <c r="R734" s="6"/>
      <c r="S734" s="6"/>
      <c r="T734" s="6"/>
      <c r="U734" s="6"/>
      <c r="V734" s="6"/>
      <c r="W734" s="6"/>
      <c r="X734" s="8"/>
      <c r="Y734" s="6" t="s">
        <v>3241</v>
      </c>
      <c r="Z734" s="6"/>
      <c r="AA734" s="37" t="s">
        <v>3634</v>
      </c>
      <c r="AB734" s="38" t="s">
        <v>3627</v>
      </c>
      <c r="AC734" s="37" t="s">
        <v>3635</v>
      </c>
      <c r="AD734" s="37" t="s">
        <v>3636</v>
      </c>
      <c r="AE734" s="37" t="s">
        <v>3637</v>
      </c>
      <c r="AF734" s="37" t="s">
        <v>3636</v>
      </c>
      <c r="AG734" s="37" t="s">
        <v>3638</v>
      </c>
      <c r="AH734" s="37" t="s">
        <v>3639</v>
      </c>
    </row>
    <row r="735" spans="1:34" ht="14.45" hidden="1" customHeight="1" x14ac:dyDescent="0.3">
      <c r="A735" s="6" t="s">
        <v>1107</v>
      </c>
      <c r="B735" s="7">
        <v>44136</v>
      </c>
      <c r="C735" s="6" t="s">
        <v>1106</v>
      </c>
      <c r="D735" s="6" t="s">
        <v>5</v>
      </c>
      <c r="E735" s="6" t="s">
        <v>1003</v>
      </c>
      <c r="F735" s="6" t="s">
        <v>3229</v>
      </c>
      <c r="G735" s="8">
        <v>0.64229999999999998</v>
      </c>
      <c r="H735" s="8">
        <v>6.8930400000000001</v>
      </c>
      <c r="I735" s="6" t="s">
        <v>2497</v>
      </c>
      <c r="J735" s="6" t="s">
        <v>2459</v>
      </c>
      <c r="K735" s="6" t="s">
        <v>2460</v>
      </c>
      <c r="L735" s="6"/>
      <c r="M735" s="6"/>
      <c r="N735" s="6" t="s">
        <v>3268</v>
      </c>
      <c r="O735" s="6" t="s">
        <v>7</v>
      </c>
      <c r="P735" s="6" t="str">
        <f>VLOOKUP(Tableau1[[#This Row],[SITES NAMES]],[1]Feuil1!$1:$1048576,8,FALSE)</f>
        <v>OK</v>
      </c>
      <c r="Q735" s="6" t="str">
        <f>VLOOKUP(Tableau1[[#This Row],[SITES NAMES]],[1]Feuil1!$1:$1048576,9,FALSE)</f>
        <v>NO</v>
      </c>
      <c r="R735" s="6" t="str">
        <f>VLOOKUP(Tableau1[[#This Row],[SITES NAMES]],[1]Feuil1!$1:$1048576,10,FALSE)</f>
        <v>NO</v>
      </c>
      <c r="S735" s="6" t="s">
        <v>2461</v>
      </c>
      <c r="T735" s="6" t="s">
        <v>2462</v>
      </c>
      <c r="U735" s="6" t="s">
        <v>2463</v>
      </c>
      <c r="V735" s="6" t="s">
        <v>2464</v>
      </c>
      <c r="W735" s="6" t="s">
        <v>2476</v>
      </c>
      <c r="X735" s="8" t="s">
        <v>2873</v>
      </c>
      <c r="Y735" s="6" t="s">
        <v>3241</v>
      </c>
      <c r="Z735" s="6"/>
      <c r="AA735" s="37" t="s">
        <v>3634</v>
      </c>
      <c r="AB735" s="38" t="s">
        <v>3627</v>
      </c>
      <c r="AC735" s="37" t="s">
        <v>3635</v>
      </c>
      <c r="AD735" s="37" t="s">
        <v>3636</v>
      </c>
      <c r="AE735" s="37" t="s">
        <v>3637</v>
      </c>
      <c r="AF735" s="37" t="s">
        <v>3636</v>
      </c>
      <c r="AG735" s="37" t="s">
        <v>3638</v>
      </c>
      <c r="AH735" s="37" t="s">
        <v>3639</v>
      </c>
    </row>
    <row r="736" spans="1:34" ht="14.45" hidden="1" customHeight="1" x14ac:dyDescent="0.3">
      <c r="A736" s="6" t="s">
        <v>1032</v>
      </c>
      <c r="B736" s="7">
        <v>46022</v>
      </c>
      <c r="C736" s="6" t="s">
        <v>1031</v>
      </c>
      <c r="D736" s="6" t="s">
        <v>5</v>
      </c>
      <c r="E736" s="6" t="s">
        <v>1003</v>
      </c>
      <c r="F736" s="6" t="s">
        <v>3229</v>
      </c>
      <c r="G736" s="8">
        <v>0.61054399999999998</v>
      </c>
      <c r="H736" s="8">
        <v>6.912102</v>
      </c>
      <c r="I736" s="6" t="s">
        <v>2479</v>
      </c>
      <c r="J736" s="6" t="s">
        <v>2459</v>
      </c>
      <c r="K736" s="6" t="s">
        <v>2468</v>
      </c>
      <c r="L736" s="6"/>
      <c r="M736" s="6"/>
      <c r="N736" s="6" t="s">
        <v>2468</v>
      </c>
      <c r="O736" s="6" t="s">
        <v>37</v>
      </c>
      <c r="P736" s="6"/>
      <c r="Q736" s="6"/>
      <c r="R736" s="6"/>
      <c r="S736" s="6"/>
      <c r="T736" s="6"/>
      <c r="U736" s="6"/>
      <c r="V736" s="6"/>
      <c r="W736" s="6"/>
      <c r="X736" s="8"/>
      <c r="Y736" s="6" t="s">
        <v>3241</v>
      </c>
      <c r="Z736" s="6"/>
      <c r="AA736" s="37" t="s">
        <v>3634</v>
      </c>
      <c r="AB736" s="38" t="s">
        <v>3627</v>
      </c>
      <c r="AC736" s="37" t="s">
        <v>3635</v>
      </c>
      <c r="AD736" s="37" t="s">
        <v>3636</v>
      </c>
      <c r="AE736" s="37" t="s">
        <v>3637</v>
      </c>
      <c r="AF736" s="37" t="s">
        <v>3636</v>
      </c>
      <c r="AG736" s="37" t="s">
        <v>3638</v>
      </c>
      <c r="AH736" s="37" t="s">
        <v>3639</v>
      </c>
    </row>
    <row r="737" spans="1:34" ht="15.75" hidden="1" x14ac:dyDescent="0.3">
      <c r="A737" s="6" t="s">
        <v>1109</v>
      </c>
      <c r="B737" s="7">
        <v>0</v>
      </c>
      <c r="C737" s="6" t="s">
        <v>1108</v>
      </c>
      <c r="D737" s="6" t="s">
        <v>5</v>
      </c>
      <c r="E737" s="6" t="s">
        <v>1003</v>
      </c>
      <c r="F737" s="6" t="s">
        <v>3230</v>
      </c>
      <c r="G737" s="8">
        <v>0.63348300000000002</v>
      </c>
      <c r="H737" s="8">
        <v>6.9305000000000003</v>
      </c>
      <c r="I737" s="6" t="s">
        <v>2497</v>
      </c>
      <c r="J737" s="6" t="s">
        <v>2459</v>
      </c>
      <c r="K737" s="6" t="s">
        <v>2460</v>
      </c>
      <c r="L737" s="6"/>
      <c r="M737" s="6"/>
      <c r="N737" s="21" t="s">
        <v>3269</v>
      </c>
      <c r="O737" s="6" t="s">
        <v>18</v>
      </c>
      <c r="P737" s="6" t="str">
        <f>VLOOKUP(Tableau1[[#This Row],[SITES NAMES]],[1]Feuil1!$1:$1048576,8,FALSE)</f>
        <v>NOK</v>
      </c>
      <c r="Q737" s="6" t="str">
        <f>VLOOKUP(Tableau1[[#This Row],[SITES NAMES]],[1]Feuil1!$1:$1048576,9,FALSE)</f>
        <v>NO</v>
      </c>
      <c r="R737" s="6" t="str">
        <f>VLOOKUP(Tableau1[[#This Row],[SITES NAMES]],[1]Feuil1!$1:$1048576,10,FALSE)</f>
        <v>NO</v>
      </c>
      <c r="S737" s="6" t="s">
        <v>2461</v>
      </c>
      <c r="T737" s="6" t="s">
        <v>2462</v>
      </c>
      <c r="U737" s="6" t="s">
        <v>2463</v>
      </c>
      <c r="V737" s="6" t="s">
        <v>2478</v>
      </c>
      <c r="W737" s="6" t="s">
        <v>2476</v>
      </c>
      <c r="X737" s="8" t="s">
        <v>2874</v>
      </c>
      <c r="Y737" s="6" t="s">
        <v>3241</v>
      </c>
      <c r="Z737" s="6"/>
      <c r="AA737" s="37" t="s">
        <v>3634</v>
      </c>
      <c r="AB737" s="38" t="s">
        <v>3627</v>
      </c>
      <c r="AC737" s="37" t="s">
        <v>3635</v>
      </c>
      <c r="AD737" s="37" t="s">
        <v>3636</v>
      </c>
      <c r="AE737" s="37" t="s">
        <v>3637</v>
      </c>
      <c r="AF737" s="37" t="s">
        <v>3636</v>
      </c>
      <c r="AG737" s="37" t="s">
        <v>3638</v>
      </c>
      <c r="AH737" s="37" t="s">
        <v>3639</v>
      </c>
    </row>
    <row r="738" spans="1:34" ht="14.45" hidden="1" customHeight="1" x14ac:dyDescent="0.3">
      <c r="A738" s="6" t="s">
        <v>1026</v>
      </c>
      <c r="B738" s="7">
        <v>44113</v>
      </c>
      <c r="C738" s="6" t="s">
        <v>1025</v>
      </c>
      <c r="D738" s="6" t="s">
        <v>5</v>
      </c>
      <c r="E738" s="6" t="s">
        <v>1003</v>
      </c>
      <c r="F738" s="6" t="s">
        <v>3229</v>
      </c>
      <c r="G738" s="8">
        <v>0.62901070000000003</v>
      </c>
      <c r="H738" s="8">
        <v>6.9176199</v>
      </c>
      <c r="I738" s="6" t="s">
        <v>2486</v>
      </c>
      <c r="J738" s="6" t="s">
        <v>2459</v>
      </c>
      <c r="K738" s="6" t="s">
        <v>2460</v>
      </c>
      <c r="L738" s="6"/>
      <c r="M738" s="6"/>
      <c r="N738" s="6" t="s">
        <v>3268</v>
      </c>
      <c r="O738" s="6" t="s">
        <v>7</v>
      </c>
      <c r="P738" s="6" t="str">
        <f>VLOOKUP(Tableau1[[#This Row],[SITES NAMES]],[1]Feuil1!$1:$1048576,8,FALSE)</f>
        <v>OK</v>
      </c>
      <c r="Q738" s="6" t="str">
        <f>VLOOKUP(Tableau1[[#This Row],[SITES NAMES]],[1]Feuil1!$1:$1048576,9,FALSE)</f>
        <v>NO</v>
      </c>
      <c r="R738" s="6" t="str">
        <f>VLOOKUP(Tableau1[[#This Row],[SITES NAMES]],[1]Feuil1!$1:$1048576,10,FALSE)</f>
        <v>NO</v>
      </c>
      <c r="S738" s="6" t="s">
        <v>2461</v>
      </c>
      <c r="T738" s="6" t="s">
        <v>2462</v>
      </c>
      <c r="U738" s="6" t="s">
        <v>2463</v>
      </c>
      <c r="V738" s="6" t="s">
        <v>2478</v>
      </c>
      <c r="W738" s="6" t="s">
        <v>2476</v>
      </c>
      <c r="X738" s="8" t="s">
        <v>2846</v>
      </c>
      <c r="Y738" s="6" t="s">
        <v>3241</v>
      </c>
      <c r="Z738" s="6"/>
      <c r="AA738" s="37" t="s">
        <v>3634</v>
      </c>
      <c r="AB738" s="38" t="s">
        <v>3627</v>
      </c>
      <c r="AC738" s="37" t="s">
        <v>3635</v>
      </c>
      <c r="AD738" s="37" t="s">
        <v>3636</v>
      </c>
      <c r="AE738" s="37" t="s">
        <v>3637</v>
      </c>
      <c r="AF738" s="37" t="s">
        <v>3636</v>
      </c>
      <c r="AG738" s="37" t="s">
        <v>3638</v>
      </c>
      <c r="AH738" s="37" t="s">
        <v>3639</v>
      </c>
    </row>
    <row r="739" spans="1:34" ht="14.45" hidden="1" customHeight="1" x14ac:dyDescent="0.3">
      <c r="A739" s="6" t="s">
        <v>1111</v>
      </c>
      <c r="B739" s="7">
        <v>45198</v>
      </c>
      <c r="C739" s="6" t="s">
        <v>1110</v>
      </c>
      <c r="D739" s="6" t="s">
        <v>5</v>
      </c>
      <c r="E739" s="6" t="s">
        <v>1003</v>
      </c>
      <c r="F739" s="6" t="s">
        <v>3229</v>
      </c>
      <c r="G739" s="8">
        <v>0.644509</v>
      </c>
      <c r="H739" s="8">
        <v>6.9271450000000003</v>
      </c>
      <c r="I739" s="6" t="s">
        <v>2479</v>
      </c>
      <c r="J739" s="6" t="s">
        <v>2459</v>
      </c>
      <c r="K739" s="6" t="s">
        <v>2468</v>
      </c>
      <c r="L739" s="6"/>
      <c r="M739" s="6"/>
      <c r="N739" s="6" t="s">
        <v>2468</v>
      </c>
      <c r="O739" s="6" t="s">
        <v>7</v>
      </c>
      <c r="P739" s="6" t="str">
        <f>VLOOKUP(Tableau1[[#This Row],[SITES NAMES]],[1]Feuil1!$1:$1048576,8,FALSE)</f>
        <v>OK</v>
      </c>
      <c r="Q739" s="6" t="str">
        <f>VLOOKUP(Tableau1[[#This Row],[SITES NAMES]],[1]Feuil1!$1:$1048576,9,FALSE)</f>
        <v>NO</v>
      </c>
      <c r="R739" s="6" t="str">
        <f>VLOOKUP(Tableau1[[#This Row],[SITES NAMES]],[1]Feuil1!$1:$1048576,10,FALSE)</f>
        <v>NO</v>
      </c>
      <c r="S739" s="6" t="s">
        <v>2461</v>
      </c>
      <c r="T739" s="6" t="s">
        <v>2462</v>
      </c>
      <c r="U739" s="6" t="s">
        <v>2463</v>
      </c>
      <c r="V739" s="6" t="s">
        <v>2464</v>
      </c>
      <c r="W739" s="6" t="s">
        <v>2493</v>
      </c>
      <c r="X739" s="8"/>
      <c r="Y739" s="6" t="s">
        <v>3241</v>
      </c>
      <c r="Z739" s="6"/>
      <c r="AA739" s="37" t="s">
        <v>3634</v>
      </c>
      <c r="AB739" s="38" t="s">
        <v>3627</v>
      </c>
      <c r="AC739" s="37" t="s">
        <v>3635</v>
      </c>
      <c r="AD739" s="37" t="s">
        <v>3636</v>
      </c>
      <c r="AE739" s="37" t="s">
        <v>3637</v>
      </c>
      <c r="AF739" s="37" t="s">
        <v>3636</v>
      </c>
      <c r="AG739" s="37" t="s">
        <v>3638</v>
      </c>
      <c r="AH739" s="37" t="s">
        <v>3639</v>
      </c>
    </row>
    <row r="740" spans="1:34" ht="14.45" hidden="1" customHeight="1" x14ac:dyDescent="0.3">
      <c r="A740" s="6" t="s">
        <v>729</v>
      </c>
      <c r="B740" s="7">
        <v>43791</v>
      </c>
      <c r="C740" s="6" t="s">
        <v>728</v>
      </c>
      <c r="D740" s="6" t="s">
        <v>657</v>
      </c>
      <c r="E740" s="6" t="s">
        <v>658</v>
      </c>
      <c r="F740" s="6" t="s">
        <v>3229</v>
      </c>
      <c r="G740" s="8">
        <v>0.74480999999999997</v>
      </c>
      <c r="H740" s="8">
        <v>9.1564300000000003</v>
      </c>
      <c r="I740" s="6" t="s">
        <v>2477</v>
      </c>
      <c r="J740" s="6" t="s">
        <v>2459</v>
      </c>
      <c r="K740" s="6" t="s">
        <v>2460</v>
      </c>
      <c r="L740" s="6" t="s">
        <v>3522</v>
      </c>
      <c r="M740" s="6"/>
      <c r="N740" s="6" t="s">
        <v>3268</v>
      </c>
      <c r="O740" s="6" t="s">
        <v>40</v>
      </c>
      <c r="P740" s="6" t="str">
        <f>VLOOKUP(Tableau1[[#This Row],[SITES NAMES]],[1]Feuil1!$1:$1048576,8,FALSE)</f>
        <v>OK</v>
      </c>
      <c r="Q740" s="6" t="str">
        <f>VLOOKUP(Tableau1[[#This Row],[SITES NAMES]],[1]Feuil1!$1:$1048576,9,FALSE)</f>
        <v>NO</v>
      </c>
      <c r="R740" s="6" t="str">
        <f>VLOOKUP(Tableau1[[#This Row],[SITES NAMES]],[1]Feuil1!$1:$1048576,10,FALSE)</f>
        <v>NO</v>
      </c>
      <c r="S740" s="6" t="s">
        <v>2461</v>
      </c>
      <c r="T740" s="6" t="s">
        <v>2462</v>
      </c>
      <c r="U740" s="6" t="s">
        <v>2463</v>
      </c>
      <c r="V740" s="6" t="s">
        <v>2472</v>
      </c>
      <c r="W740" s="6" t="s">
        <v>2473</v>
      </c>
      <c r="X740" s="8" t="s">
        <v>2740</v>
      </c>
      <c r="Y740" s="6" t="s">
        <v>3239</v>
      </c>
      <c r="Z740" s="6" t="s">
        <v>3253</v>
      </c>
      <c r="AA740" s="38" t="s">
        <v>3682</v>
      </c>
      <c r="AB740" s="38" t="s">
        <v>3683</v>
      </c>
      <c r="AC740" s="38" t="s">
        <v>3684</v>
      </c>
      <c r="AD740" s="38" t="s">
        <v>3682</v>
      </c>
      <c r="AE740" s="38" t="s">
        <v>3682</v>
      </c>
      <c r="AF740" s="38" t="s">
        <v>3682</v>
      </c>
      <c r="AG740" s="40" t="s">
        <v>3685</v>
      </c>
      <c r="AH740" s="37" t="s">
        <v>3686</v>
      </c>
    </row>
    <row r="741" spans="1:34" ht="14.45" hidden="1" customHeight="1" x14ac:dyDescent="0.3">
      <c r="A741" s="6" t="s">
        <v>452</v>
      </c>
      <c r="B741" s="7">
        <v>44636</v>
      </c>
      <c r="C741" s="6" t="s">
        <v>451</v>
      </c>
      <c r="D741" s="6" t="s">
        <v>395</v>
      </c>
      <c r="E741" s="6" t="s">
        <v>396</v>
      </c>
      <c r="F741" s="6" t="s">
        <v>3229</v>
      </c>
      <c r="G741" s="8">
        <v>7.5079999999999994E-2</v>
      </c>
      <c r="H741" s="8">
        <v>11.06959</v>
      </c>
      <c r="I741" s="6" t="s">
        <v>2477</v>
      </c>
      <c r="J741" s="6" t="s">
        <v>2459</v>
      </c>
      <c r="K741" s="6" t="s">
        <v>2460</v>
      </c>
      <c r="L741" s="6"/>
      <c r="M741" s="6"/>
      <c r="N741" s="6" t="s">
        <v>3268</v>
      </c>
      <c r="O741" s="6" t="s">
        <v>7</v>
      </c>
      <c r="P741" s="6" t="str">
        <f>VLOOKUP(Tableau1[[#This Row],[SITES NAMES]],[1]Feuil1!$1:$1048576,8,FALSE)</f>
        <v>OK</v>
      </c>
      <c r="Q741" s="6" t="str">
        <f>VLOOKUP(Tableau1[[#This Row],[SITES NAMES]],[1]Feuil1!$1:$1048576,9,FALSE)</f>
        <v>NO</v>
      </c>
      <c r="R741" s="6" t="str">
        <f>VLOOKUP(Tableau1[[#This Row],[SITES NAMES]],[1]Feuil1!$1:$1048576,10,FALSE)</f>
        <v>YES</v>
      </c>
      <c r="S741" s="6" t="s">
        <v>2469</v>
      </c>
      <c r="T741" s="6" t="s">
        <v>2470</v>
      </c>
      <c r="U741" s="6" t="s">
        <v>2480</v>
      </c>
      <c r="V741" s="6" t="s">
        <v>2472</v>
      </c>
      <c r="W741" s="6" t="s">
        <v>2473</v>
      </c>
      <c r="X741" s="8" t="s">
        <v>2644</v>
      </c>
      <c r="Y741" s="6" t="s">
        <v>3240</v>
      </c>
      <c r="Z741" s="6" t="s">
        <v>3255</v>
      </c>
      <c r="AA741" s="37" t="s">
        <v>3704</v>
      </c>
      <c r="AB741" s="39" t="s">
        <v>3705</v>
      </c>
      <c r="AC741" s="37" t="s">
        <v>3706</v>
      </c>
      <c r="AD741" s="37" t="s">
        <v>3707</v>
      </c>
      <c r="AE741" s="37" t="s">
        <v>3708</v>
      </c>
      <c r="AF741" s="37" t="s">
        <v>3709</v>
      </c>
      <c r="AG741" s="46" t="s">
        <v>3710</v>
      </c>
      <c r="AH741" s="37" t="s">
        <v>3711</v>
      </c>
    </row>
    <row r="742" spans="1:34" ht="14.45" hidden="1" customHeight="1" x14ac:dyDescent="0.3">
      <c r="A742" s="6" t="s">
        <v>2215</v>
      </c>
      <c r="B742" s="7">
        <v>0</v>
      </c>
      <c r="C742" s="6" t="s">
        <v>2214</v>
      </c>
      <c r="D742" s="6" t="s">
        <v>320</v>
      </c>
      <c r="E742" s="6" t="s">
        <v>2141</v>
      </c>
      <c r="F742" s="6" t="s">
        <v>3229</v>
      </c>
      <c r="G742" s="8">
        <v>1.1414702000000001</v>
      </c>
      <c r="H742" s="8">
        <v>9.0013909999999999</v>
      </c>
      <c r="I742" s="6" t="s">
        <v>2497</v>
      </c>
      <c r="J742" s="6" t="s">
        <v>2459</v>
      </c>
      <c r="K742" s="6" t="s">
        <v>2460</v>
      </c>
      <c r="L742" s="6"/>
      <c r="M742" s="6"/>
      <c r="N742" s="6" t="s">
        <v>3268</v>
      </c>
      <c r="O742" s="6" t="s">
        <v>7</v>
      </c>
      <c r="P742" s="6" t="str">
        <f>VLOOKUP(Tableau1[[#This Row],[SITES NAMES]],[1]Feuil1!$1:$1048576,8,FALSE)</f>
        <v>OK</v>
      </c>
      <c r="Q742" s="6" t="str">
        <f>VLOOKUP(Tableau1[[#This Row],[SITES NAMES]],[1]Feuil1!$1:$1048576,9,FALSE)</f>
        <v>NO</v>
      </c>
      <c r="R742" s="6" t="str">
        <f>VLOOKUP(Tableau1[[#This Row],[SITES NAMES]],[1]Feuil1!$1:$1048576,10,FALSE)</f>
        <v>NO</v>
      </c>
      <c r="S742" s="6" t="s">
        <v>2461</v>
      </c>
      <c r="T742" s="6" t="s">
        <v>2462</v>
      </c>
      <c r="U742" s="6" t="s">
        <v>2463</v>
      </c>
      <c r="V742" s="6" t="s">
        <v>2464</v>
      </c>
      <c r="W742" s="6" t="s">
        <v>2476</v>
      </c>
      <c r="X742" s="8" t="s">
        <v>3159</v>
      </c>
      <c r="Y742" s="6" t="s">
        <v>3238</v>
      </c>
      <c r="Z742" s="6" t="s">
        <v>3254</v>
      </c>
      <c r="AA742" s="37" t="s">
        <v>3672</v>
      </c>
      <c r="AB742" s="39" t="s">
        <v>3665</v>
      </c>
      <c r="AC742" s="37" t="s">
        <v>3673</v>
      </c>
      <c r="AD742" s="37" t="s">
        <v>3674</v>
      </c>
      <c r="AE742" s="37" t="s">
        <v>3675</v>
      </c>
      <c r="AF742" s="39" t="s">
        <v>3676</v>
      </c>
      <c r="AG742" s="37" t="s">
        <v>3670</v>
      </c>
      <c r="AH742" s="37" t="s">
        <v>3677</v>
      </c>
    </row>
    <row r="743" spans="1:34" ht="14.45" hidden="1" customHeight="1" x14ac:dyDescent="0.3">
      <c r="A743" s="6" t="s">
        <v>2217</v>
      </c>
      <c r="B743" s="7">
        <v>0</v>
      </c>
      <c r="C743" s="6" t="s">
        <v>2216</v>
      </c>
      <c r="D743" s="6" t="s">
        <v>320</v>
      </c>
      <c r="E743" s="6" t="s">
        <v>2141</v>
      </c>
      <c r="F743" s="6" t="s">
        <v>3229</v>
      </c>
      <c r="G743" s="8">
        <v>1.2014868000000001</v>
      </c>
      <c r="H743" s="8">
        <v>8.9493781999999999</v>
      </c>
      <c r="I743" s="6" t="s">
        <v>2497</v>
      </c>
      <c r="J743" s="6" t="s">
        <v>2459</v>
      </c>
      <c r="K743" s="6" t="s">
        <v>2460</v>
      </c>
      <c r="L743" s="6"/>
      <c r="M743" s="6"/>
      <c r="N743" s="6" t="s">
        <v>3268</v>
      </c>
      <c r="O743" s="6" t="s">
        <v>7</v>
      </c>
      <c r="P743" s="6" t="str">
        <f>VLOOKUP(Tableau1[[#This Row],[SITES NAMES]],[1]Feuil1!$1:$1048576,8,FALSE)</f>
        <v>OK</v>
      </c>
      <c r="Q743" s="6" t="str">
        <f>VLOOKUP(Tableau1[[#This Row],[SITES NAMES]],[1]Feuil1!$1:$1048576,9,FALSE)</f>
        <v>NO</v>
      </c>
      <c r="R743" s="6" t="str">
        <f>VLOOKUP(Tableau1[[#This Row],[SITES NAMES]],[1]Feuil1!$1:$1048576,10,FALSE)</f>
        <v>NO</v>
      </c>
      <c r="S743" s="6" t="s">
        <v>2469</v>
      </c>
      <c r="T743" s="6" t="s">
        <v>2470</v>
      </c>
      <c r="U743" s="6" t="s">
        <v>2480</v>
      </c>
      <c r="V743" s="6" t="s">
        <v>2464</v>
      </c>
      <c r="W743" s="6" t="s">
        <v>2476</v>
      </c>
      <c r="X743" s="8" t="s">
        <v>3160</v>
      </c>
      <c r="Y743" s="6" t="s">
        <v>3238</v>
      </c>
      <c r="Z743" s="6" t="s">
        <v>3254</v>
      </c>
      <c r="AA743" s="37" t="s">
        <v>3672</v>
      </c>
      <c r="AB743" s="39" t="s">
        <v>3665</v>
      </c>
      <c r="AC743" s="37" t="s">
        <v>3673</v>
      </c>
      <c r="AD743" s="37" t="s">
        <v>3674</v>
      </c>
      <c r="AE743" s="37" t="s">
        <v>3675</v>
      </c>
      <c r="AF743" s="39" t="s">
        <v>3676</v>
      </c>
      <c r="AG743" s="37" t="s">
        <v>3670</v>
      </c>
      <c r="AH743" s="37" t="s">
        <v>3677</v>
      </c>
    </row>
    <row r="744" spans="1:34" ht="14.45" hidden="1" customHeight="1" x14ac:dyDescent="0.3">
      <c r="A744" s="6" t="s">
        <v>2314</v>
      </c>
      <c r="B744" s="7">
        <v>0</v>
      </c>
      <c r="C744" s="6" t="s">
        <v>2313</v>
      </c>
      <c r="D744" s="6" t="s">
        <v>320</v>
      </c>
      <c r="E744" s="6" t="s">
        <v>2274</v>
      </c>
      <c r="F744" s="6" t="s">
        <v>3229</v>
      </c>
      <c r="G744" s="8">
        <v>1.2933981000000001</v>
      </c>
      <c r="H744" s="8">
        <v>9.0584406000000008</v>
      </c>
      <c r="I744" s="14" t="s">
        <v>2467</v>
      </c>
      <c r="J744" s="6" t="s">
        <v>2459</v>
      </c>
      <c r="K744" s="6" t="s">
        <v>2468</v>
      </c>
      <c r="L744" s="6" t="s">
        <v>3350</v>
      </c>
      <c r="M744" s="6"/>
      <c r="N744" s="6" t="s">
        <v>2468</v>
      </c>
      <c r="O744" s="6" t="s">
        <v>7</v>
      </c>
      <c r="P744" s="6" t="str">
        <f>VLOOKUP(Tableau1[[#This Row],[SITES NAMES]],[1]Feuil1!$1:$1048576,8,FALSE)</f>
        <v>OK</v>
      </c>
      <c r="Q744" s="6" t="str">
        <f>VLOOKUP(Tableau1[[#This Row],[SITES NAMES]],[1]Feuil1!$1:$1048576,9,FALSE)</f>
        <v>NO</v>
      </c>
      <c r="R744" s="6" t="str">
        <f>VLOOKUP(Tableau1[[#This Row],[SITES NAMES]],[1]Feuil1!$1:$1048576,10,FALSE)</f>
        <v>NO</v>
      </c>
      <c r="S744" s="6" t="s">
        <v>2469</v>
      </c>
      <c r="T744" s="6" t="s">
        <v>2470</v>
      </c>
      <c r="U744" s="6" t="s">
        <v>2463</v>
      </c>
      <c r="V744" s="6" t="s">
        <v>2472</v>
      </c>
      <c r="W744" s="6" t="s">
        <v>2473</v>
      </c>
      <c r="X744" s="8" t="s">
        <v>3194</v>
      </c>
      <c r="Y744" s="6" t="s">
        <v>3238</v>
      </c>
      <c r="Z744" s="6" t="s">
        <v>3254</v>
      </c>
      <c r="AA744" s="37" t="s">
        <v>3678</v>
      </c>
      <c r="AB744" s="39" t="s">
        <v>3665</v>
      </c>
      <c r="AC744" s="37" t="s">
        <v>3679</v>
      </c>
      <c r="AD744" s="37" t="s">
        <v>3678</v>
      </c>
      <c r="AE744" s="37" t="s">
        <v>3680</v>
      </c>
      <c r="AF744" s="39" t="s">
        <v>3676</v>
      </c>
      <c r="AG744" s="37" t="s">
        <v>3670</v>
      </c>
      <c r="AH744" s="37" t="s">
        <v>3681</v>
      </c>
    </row>
    <row r="745" spans="1:34" ht="14.45" hidden="1" customHeight="1" x14ac:dyDescent="0.3">
      <c r="A745" s="6" t="s">
        <v>1113</v>
      </c>
      <c r="B745" s="7">
        <v>43864</v>
      </c>
      <c r="C745" s="6" t="s">
        <v>1112</v>
      </c>
      <c r="D745" s="6" t="s">
        <v>5</v>
      </c>
      <c r="E745" s="6" t="s">
        <v>1003</v>
      </c>
      <c r="F745" s="6" t="s">
        <v>3229</v>
      </c>
      <c r="G745" s="8">
        <v>1.04627</v>
      </c>
      <c r="H745" s="8">
        <v>7.3326830000000003</v>
      </c>
      <c r="I745" s="6" t="s">
        <v>2467</v>
      </c>
      <c r="J745" s="6" t="s">
        <v>2459</v>
      </c>
      <c r="K745" s="6" t="s">
        <v>2468</v>
      </c>
      <c r="L745" s="6" t="s">
        <v>3523</v>
      </c>
      <c r="M745" s="6"/>
      <c r="N745" s="6" t="s">
        <v>2468</v>
      </c>
      <c r="O745" s="6" t="s">
        <v>40</v>
      </c>
      <c r="P745" s="6" t="str">
        <f>VLOOKUP(Tableau1[[#This Row],[SITES NAMES]],[1]Feuil1!$1:$1048576,8,FALSE)</f>
        <v>OK</v>
      </c>
      <c r="Q745" s="6" t="str">
        <f>VLOOKUP(Tableau1[[#This Row],[SITES NAMES]],[1]Feuil1!$1:$1048576,9,FALSE)</f>
        <v>NO</v>
      </c>
      <c r="R745" s="6" t="str">
        <f>VLOOKUP(Tableau1[[#This Row],[SITES NAMES]],[1]Feuil1!$1:$1048576,10,FALSE)</f>
        <v>NO</v>
      </c>
      <c r="S745" s="6" t="s">
        <v>2461</v>
      </c>
      <c r="T745" s="6" t="s">
        <v>2462</v>
      </c>
      <c r="U745" s="6" t="s">
        <v>2463</v>
      </c>
      <c r="V745" s="6" t="s">
        <v>2472</v>
      </c>
      <c r="W745" s="6" t="s">
        <v>2473</v>
      </c>
      <c r="X745" s="8" t="s">
        <v>2875</v>
      </c>
      <c r="Y745" s="6" t="s">
        <v>3241</v>
      </c>
      <c r="Z745" s="6"/>
      <c r="AA745" s="37" t="s">
        <v>3634</v>
      </c>
      <c r="AB745" s="38" t="s">
        <v>3627</v>
      </c>
      <c r="AC745" s="37" t="s">
        <v>3635</v>
      </c>
      <c r="AD745" s="37" t="s">
        <v>3636</v>
      </c>
      <c r="AE745" s="37" t="s">
        <v>3637</v>
      </c>
      <c r="AF745" s="37" t="s">
        <v>3636</v>
      </c>
      <c r="AG745" s="37" t="s">
        <v>3638</v>
      </c>
      <c r="AH745" s="37" t="s">
        <v>3639</v>
      </c>
    </row>
    <row r="746" spans="1:34" ht="14.45" hidden="1" customHeight="1" x14ac:dyDescent="0.3">
      <c r="A746" s="6" t="s">
        <v>2219</v>
      </c>
      <c r="B746" s="7">
        <v>0</v>
      </c>
      <c r="C746" s="6" t="s">
        <v>2218</v>
      </c>
      <c r="D746" s="6" t="s">
        <v>320</v>
      </c>
      <c r="E746" s="6" t="s">
        <v>2141</v>
      </c>
      <c r="F746" s="6" t="s">
        <v>3229</v>
      </c>
      <c r="G746" s="8">
        <v>1.33263</v>
      </c>
      <c r="H746" s="8">
        <v>9.2271099999999997</v>
      </c>
      <c r="I746" s="6" t="s">
        <v>2467</v>
      </c>
      <c r="J746" s="6" t="s">
        <v>2459</v>
      </c>
      <c r="K746" s="6" t="s">
        <v>2468</v>
      </c>
      <c r="L746" s="6" t="s">
        <v>2183</v>
      </c>
      <c r="M746" s="6"/>
      <c r="N746" s="6" t="s">
        <v>2468</v>
      </c>
      <c r="O746" s="6" t="s">
        <v>40</v>
      </c>
      <c r="P746" s="6" t="str">
        <f>VLOOKUP(Tableau1[[#This Row],[SITES NAMES]],[1]Feuil1!$1:$1048576,8,FALSE)</f>
        <v>OK</v>
      </c>
      <c r="Q746" s="6" t="str">
        <f>VLOOKUP(Tableau1[[#This Row],[SITES NAMES]],[1]Feuil1!$1:$1048576,9,FALSE)</f>
        <v>NO</v>
      </c>
      <c r="R746" s="6" t="str">
        <f>VLOOKUP(Tableau1[[#This Row],[SITES NAMES]],[1]Feuil1!$1:$1048576,10,FALSE)</f>
        <v>YES</v>
      </c>
      <c r="S746" s="6" t="s">
        <v>2469</v>
      </c>
      <c r="T746" s="6" t="s">
        <v>2470</v>
      </c>
      <c r="U746" s="6" t="s">
        <v>2463</v>
      </c>
      <c r="V746" s="6" t="s">
        <v>2472</v>
      </c>
      <c r="W746" s="6" t="s">
        <v>2473</v>
      </c>
      <c r="X746" s="8" t="s">
        <v>3161</v>
      </c>
      <c r="Y746" s="6" t="s">
        <v>3238</v>
      </c>
      <c r="Z746" s="6" t="s">
        <v>3254</v>
      </c>
      <c r="AA746" s="37" t="s">
        <v>3672</v>
      </c>
      <c r="AB746" s="39" t="s">
        <v>3665</v>
      </c>
      <c r="AC746" s="37" t="s">
        <v>3673</v>
      </c>
      <c r="AD746" s="37" t="s">
        <v>3674</v>
      </c>
      <c r="AE746" s="37" t="s">
        <v>3675</v>
      </c>
      <c r="AF746" s="39" t="s">
        <v>3676</v>
      </c>
      <c r="AG746" s="37" t="s">
        <v>3670</v>
      </c>
      <c r="AH746" s="37" t="s">
        <v>3677</v>
      </c>
    </row>
    <row r="747" spans="1:34" ht="14.45" hidden="1" customHeight="1" x14ac:dyDescent="0.3">
      <c r="A747" s="6" t="s">
        <v>2065</v>
      </c>
      <c r="B747" s="7">
        <v>43871</v>
      </c>
      <c r="C747" s="6" t="s">
        <v>2064</v>
      </c>
      <c r="D747" s="6" t="s">
        <v>132</v>
      </c>
      <c r="E747" s="6" t="s">
        <v>2049</v>
      </c>
      <c r="F747" s="6" t="s">
        <v>3229</v>
      </c>
      <c r="G747" s="8">
        <v>1.018921</v>
      </c>
      <c r="H747" s="8">
        <v>7.1905720000000004</v>
      </c>
      <c r="I747" s="6" t="s">
        <v>2467</v>
      </c>
      <c r="J747" s="6" t="s">
        <v>2459</v>
      </c>
      <c r="K747" s="6" t="s">
        <v>2468</v>
      </c>
      <c r="L747" s="6" t="s">
        <v>2138</v>
      </c>
      <c r="M747" s="6"/>
      <c r="N747" s="6" t="s">
        <v>2468</v>
      </c>
      <c r="O747" s="6" t="s">
        <v>40</v>
      </c>
      <c r="P747" s="6" t="str">
        <f>VLOOKUP(Tableau1[[#This Row],[SITES NAMES]],[1]Feuil1!$1:$1048576,8,FALSE)</f>
        <v>NOK</v>
      </c>
      <c r="Q747" s="6" t="str">
        <f>VLOOKUP(Tableau1[[#This Row],[SITES NAMES]],[1]Feuil1!$1:$1048576,9,FALSE)</f>
        <v>NO</v>
      </c>
      <c r="R747" s="6" t="str">
        <f>VLOOKUP(Tableau1[[#This Row],[SITES NAMES]],[1]Feuil1!$1:$1048576,10,FALSE)</f>
        <v>NO</v>
      </c>
      <c r="S747" s="6" t="s">
        <v>2461</v>
      </c>
      <c r="T747" s="6" t="s">
        <v>2462</v>
      </c>
      <c r="U747" s="6" t="s">
        <v>2463</v>
      </c>
      <c r="V747" s="6" t="s">
        <v>2472</v>
      </c>
      <c r="W747" s="6" t="s">
        <v>2473</v>
      </c>
      <c r="X747" s="8" t="s">
        <v>3102</v>
      </c>
      <c r="Y747" s="6" t="s">
        <v>3238</v>
      </c>
      <c r="Z747" s="6" t="s">
        <v>3257</v>
      </c>
      <c r="AA747" s="45" t="s">
        <v>3656</v>
      </c>
      <c r="AB747" s="39" t="s">
        <v>3644</v>
      </c>
      <c r="AC747" s="45" t="s">
        <v>3657</v>
      </c>
      <c r="AD747" s="37" t="s">
        <v>3658</v>
      </c>
      <c r="AE747" s="37" t="s">
        <v>3647</v>
      </c>
      <c r="AF747" s="39" t="s">
        <v>3648</v>
      </c>
      <c r="AG747" s="37" t="s">
        <v>3649</v>
      </c>
      <c r="AH747" s="37" t="s">
        <v>3659</v>
      </c>
    </row>
    <row r="748" spans="1:34" ht="14.45" hidden="1" customHeight="1" x14ac:dyDescent="0.3">
      <c r="A748" s="6" t="s">
        <v>1115</v>
      </c>
      <c r="B748" s="7">
        <v>44016</v>
      </c>
      <c r="C748" s="6" t="s">
        <v>1114</v>
      </c>
      <c r="D748" s="6" t="s">
        <v>5</v>
      </c>
      <c r="E748" s="6" t="s">
        <v>1003</v>
      </c>
      <c r="F748" s="6" t="s">
        <v>3229</v>
      </c>
      <c r="G748" s="8">
        <v>0.86107</v>
      </c>
      <c r="H748" s="8">
        <v>7.0004799999999996</v>
      </c>
      <c r="I748" s="6" t="s">
        <v>2467</v>
      </c>
      <c r="J748" s="6" t="s">
        <v>2459</v>
      </c>
      <c r="K748" s="6" t="s">
        <v>2468</v>
      </c>
      <c r="L748" s="6" t="s">
        <v>2128</v>
      </c>
      <c r="M748" s="6"/>
      <c r="N748" s="6" t="s">
        <v>2468</v>
      </c>
      <c r="O748" s="6" t="s">
        <v>37</v>
      </c>
      <c r="P748" s="6" t="str">
        <f>VLOOKUP(Tableau1[[#This Row],[SITES NAMES]],[1]Feuil1!$1:$1048576,8,FALSE)</f>
        <v>OK</v>
      </c>
      <c r="Q748" s="6" t="str">
        <f>VLOOKUP(Tableau1[[#This Row],[SITES NAMES]],[1]Feuil1!$1:$1048576,9,FALSE)</f>
        <v>NO</v>
      </c>
      <c r="R748" s="6" t="str">
        <f>VLOOKUP(Tableau1[[#This Row],[SITES NAMES]],[1]Feuil1!$1:$1048576,10,FALSE)</f>
        <v>NO</v>
      </c>
      <c r="S748" s="6" t="s">
        <v>2469</v>
      </c>
      <c r="T748" s="6" t="s">
        <v>2470</v>
      </c>
      <c r="U748" s="6" t="s">
        <v>2471</v>
      </c>
      <c r="V748" s="6" t="s">
        <v>2472</v>
      </c>
      <c r="W748" s="6" t="s">
        <v>2473</v>
      </c>
      <c r="X748" s="8" t="s">
        <v>2876</v>
      </c>
      <c r="Y748" s="6" t="s">
        <v>3241</v>
      </c>
      <c r="Z748" s="6"/>
      <c r="AA748" s="37" t="s">
        <v>3634</v>
      </c>
      <c r="AB748" s="38" t="s">
        <v>3627</v>
      </c>
      <c r="AC748" s="37" t="s">
        <v>3635</v>
      </c>
      <c r="AD748" s="37" t="s">
        <v>3636</v>
      </c>
      <c r="AE748" s="37" t="s">
        <v>3637</v>
      </c>
      <c r="AF748" s="37" t="s">
        <v>3636</v>
      </c>
      <c r="AG748" s="37" t="s">
        <v>3638</v>
      </c>
      <c r="AH748" s="37" t="s">
        <v>3639</v>
      </c>
    </row>
    <row r="749" spans="1:34" ht="14.45" hidden="1" customHeight="1" x14ac:dyDescent="0.3">
      <c r="A749" s="6" t="s">
        <v>2099</v>
      </c>
      <c r="B749" s="7">
        <v>43642</v>
      </c>
      <c r="C749" s="6" t="s">
        <v>2098</v>
      </c>
      <c r="D749" s="6" t="s">
        <v>132</v>
      </c>
      <c r="E749" s="6" t="s">
        <v>2049</v>
      </c>
      <c r="F749" s="6" t="s">
        <v>3229</v>
      </c>
      <c r="G749" s="8">
        <v>1.6228899999999999</v>
      </c>
      <c r="H749" s="8">
        <v>7.3362800000000004</v>
      </c>
      <c r="I749" s="6" t="s">
        <v>2467</v>
      </c>
      <c r="J749" s="6" t="s">
        <v>2459</v>
      </c>
      <c r="K749" s="6" t="s">
        <v>2460</v>
      </c>
      <c r="L749" s="6"/>
      <c r="M749" s="6"/>
      <c r="N749" s="6" t="s">
        <v>3268</v>
      </c>
      <c r="O749" s="6" t="s">
        <v>18</v>
      </c>
      <c r="P749" s="6" t="str">
        <f>VLOOKUP(Tableau1[[#This Row],[SITES NAMES]],[1]Feuil1!$1:$1048576,8,FALSE)</f>
        <v>OK</v>
      </c>
      <c r="Q749" s="6" t="str">
        <f>VLOOKUP(Tableau1[[#This Row],[SITES NAMES]],[1]Feuil1!$1:$1048576,9,FALSE)</f>
        <v>NO</v>
      </c>
      <c r="R749" s="6" t="str">
        <f>VLOOKUP(Tableau1[[#This Row],[SITES NAMES]],[1]Feuil1!$1:$1048576,10,FALSE)</f>
        <v>NO</v>
      </c>
      <c r="S749" s="6" t="s">
        <v>2469</v>
      </c>
      <c r="T749" s="6" t="s">
        <v>2470</v>
      </c>
      <c r="U749" s="6" t="s">
        <v>2471</v>
      </c>
      <c r="V749" s="6" t="s">
        <v>2464</v>
      </c>
      <c r="W749" s="6" t="s">
        <v>2473</v>
      </c>
      <c r="X749" s="8" t="s">
        <v>3112</v>
      </c>
      <c r="Y749" s="6" t="s">
        <v>3238</v>
      </c>
      <c r="Z749" s="6" t="s">
        <v>3257</v>
      </c>
      <c r="AA749" s="45" t="s">
        <v>3656</v>
      </c>
      <c r="AB749" s="39" t="s">
        <v>3644</v>
      </c>
      <c r="AC749" s="45" t="s">
        <v>3657</v>
      </c>
      <c r="AD749" s="37" t="s">
        <v>3658</v>
      </c>
      <c r="AE749" s="37" t="s">
        <v>3647</v>
      </c>
      <c r="AF749" s="39" t="s">
        <v>3648</v>
      </c>
      <c r="AG749" s="37" t="s">
        <v>3649</v>
      </c>
      <c r="AH749" s="37" t="s">
        <v>3659</v>
      </c>
    </row>
    <row r="750" spans="1:34" ht="14.45" hidden="1" customHeight="1" x14ac:dyDescent="0.3">
      <c r="A750" s="6" t="s">
        <v>2053</v>
      </c>
      <c r="B750" s="7">
        <v>0</v>
      </c>
      <c r="C750" s="6" t="s">
        <v>2052</v>
      </c>
      <c r="D750" s="6" t="s">
        <v>132</v>
      </c>
      <c r="E750" s="6" t="s">
        <v>2049</v>
      </c>
      <c r="F750" s="6" t="s">
        <v>3229</v>
      </c>
      <c r="G750" s="8">
        <v>1.1837580000000001</v>
      </c>
      <c r="H750" s="8">
        <v>6.851146</v>
      </c>
      <c r="I750" s="6" t="s">
        <v>2477</v>
      </c>
      <c r="J750" s="6" t="s">
        <v>2459</v>
      </c>
      <c r="K750" s="6" t="s">
        <v>2460</v>
      </c>
      <c r="L750" s="6" t="s">
        <v>3524</v>
      </c>
      <c r="M750" s="6"/>
      <c r="N750" s="6" t="s">
        <v>3268</v>
      </c>
      <c r="O750" s="6" t="s">
        <v>7</v>
      </c>
      <c r="P750" s="6" t="str">
        <f>VLOOKUP(Tableau1[[#This Row],[SITES NAMES]],[1]Feuil1!$1:$1048576,8,FALSE)</f>
        <v>OK</v>
      </c>
      <c r="Q750" s="6" t="str">
        <f>VLOOKUP(Tableau1[[#This Row],[SITES NAMES]],[1]Feuil1!$1:$1048576,9,FALSE)</f>
        <v>NO</v>
      </c>
      <c r="R750" s="6" t="str">
        <f>VLOOKUP(Tableau1[[#This Row],[SITES NAMES]],[1]Feuil1!$1:$1048576,10,FALSE)</f>
        <v>NO</v>
      </c>
      <c r="S750" s="6" t="s">
        <v>2461</v>
      </c>
      <c r="T750" s="6" t="s">
        <v>2470</v>
      </c>
      <c r="U750" s="6" t="s">
        <v>2463</v>
      </c>
      <c r="V750" s="6" t="s">
        <v>2464</v>
      </c>
      <c r="W750" s="6" t="s">
        <v>2473</v>
      </c>
      <c r="X750" s="8" t="s">
        <v>3096</v>
      </c>
      <c r="Y750" s="6" t="s">
        <v>3238</v>
      </c>
      <c r="Z750" s="6" t="s">
        <v>3257</v>
      </c>
      <c r="AA750" s="45" t="s">
        <v>3656</v>
      </c>
      <c r="AB750" s="39" t="s">
        <v>3644</v>
      </c>
      <c r="AC750" s="45" t="s">
        <v>3657</v>
      </c>
      <c r="AD750" s="37" t="s">
        <v>3658</v>
      </c>
      <c r="AE750" s="37" t="s">
        <v>3647</v>
      </c>
      <c r="AF750" s="39" t="s">
        <v>3648</v>
      </c>
      <c r="AG750" s="37" t="s">
        <v>3649</v>
      </c>
      <c r="AH750" s="37" t="s">
        <v>3659</v>
      </c>
    </row>
    <row r="751" spans="1:34" ht="14.45" hidden="1" customHeight="1" x14ac:dyDescent="0.3">
      <c r="A751" s="6" t="s">
        <v>1117</v>
      </c>
      <c r="B751" s="7">
        <v>0</v>
      </c>
      <c r="C751" s="6" t="s">
        <v>1116</v>
      </c>
      <c r="D751" s="6" t="s">
        <v>5</v>
      </c>
      <c r="E751" s="6" t="s">
        <v>1003</v>
      </c>
      <c r="F751" s="6" t="s">
        <v>3229</v>
      </c>
      <c r="G751" s="8">
        <v>0.78974999999999995</v>
      </c>
      <c r="H751" s="8">
        <v>7.23292</v>
      </c>
      <c r="I751" s="6" t="s">
        <v>2477</v>
      </c>
      <c r="J751" s="6" t="s">
        <v>2459</v>
      </c>
      <c r="K751" s="6" t="s">
        <v>2460</v>
      </c>
      <c r="L751" s="6"/>
      <c r="M751" s="6"/>
      <c r="N751" s="6" t="s">
        <v>3268</v>
      </c>
      <c r="O751" s="6" t="s">
        <v>7</v>
      </c>
      <c r="P751" s="6" t="str">
        <f>VLOOKUP(Tableau1[[#This Row],[SITES NAMES]],[1]Feuil1!$1:$1048576,8,FALSE)</f>
        <v>OK</v>
      </c>
      <c r="Q751" s="6" t="str">
        <f>VLOOKUP(Tableau1[[#This Row],[SITES NAMES]],[1]Feuil1!$1:$1048576,9,FALSE)</f>
        <v>NO</v>
      </c>
      <c r="R751" s="6" t="str">
        <f>VLOOKUP(Tableau1[[#This Row],[SITES NAMES]],[1]Feuil1!$1:$1048576,10,FALSE)</f>
        <v>NO</v>
      </c>
      <c r="S751" s="6" t="s">
        <v>2469</v>
      </c>
      <c r="T751" s="6" t="s">
        <v>2470</v>
      </c>
      <c r="U751" s="6" t="s">
        <v>2480</v>
      </c>
      <c r="V751" s="6" t="s">
        <v>2472</v>
      </c>
      <c r="W751" s="6" t="s">
        <v>2473</v>
      </c>
      <c r="X751" s="8" t="s">
        <v>2877</v>
      </c>
      <c r="Y751" s="6" t="s">
        <v>3241</v>
      </c>
      <c r="Z751" s="6"/>
      <c r="AA751" s="37" t="s">
        <v>3634</v>
      </c>
      <c r="AB751" s="38" t="s">
        <v>3627</v>
      </c>
      <c r="AC751" s="37" t="s">
        <v>3635</v>
      </c>
      <c r="AD751" s="37" t="s">
        <v>3636</v>
      </c>
      <c r="AE751" s="37" t="s">
        <v>3637</v>
      </c>
      <c r="AF751" s="37" t="s">
        <v>3636</v>
      </c>
      <c r="AG751" s="37" t="s">
        <v>3638</v>
      </c>
      <c r="AH751" s="37" t="s">
        <v>3639</v>
      </c>
    </row>
    <row r="752" spans="1:34" ht="14.45" hidden="1" customHeight="1" x14ac:dyDescent="0.3">
      <c r="A752" s="6" t="s">
        <v>1119</v>
      </c>
      <c r="B752" s="7">
        <v>44069</v>
      </c>
      <c r="C752" s="6" t="s">
        <v>1118</v>
      </c>
      <c r="D752" s="6" t="s">
        <v>5</v>
      </c>
      <c r="E752" s="6" t="s">
        <v>1003</v>
      </c>
      <c r="F752" s="6" t="s">
        <v>3229</v>
      </c>
      <c r="G752" s="8">
        <v>0.79647299999999999</v>
      </c>
      <c r="H752" s="8">
        <v>7.2636050000000001</v>
      </c>
      <c r="I752" s="6" t="s">
        <v>2497</v>
      </c>
      <c r="J752" s="6" t="s">
        <v>2459</v>
      </c>
      <c r="K752" s="6" t="s">
        <v>2460</v>
      </c>
      <c r="L752" s="6"/>
      <c r="M752" s="6"/>
      <c r="N752" s="6" t="s">
        <v>3268</v>
      </c>
      <c r="O752" s="6" t="s">
        <v>37</v>
      </c>
      <c r="P752" s="6" t="str">
        <f>VLOOKUP(Tableau1[[#This Row],[SITES NAMES]],[1]Feuil1!$1:$1048576,8,FALSE)</f>
        <v>OK</v>
      </c>
      <c r="Q752" s="6" t="str">
        <f>VLOOKUP(Tableau1[[#This Row],[SITES NAMES]],[1]Feuil1!$1:$1048576,9,FALSE)</f>
        <v>YES</v>
      </c>
      <c r="R752" s="6" t="str">
        <f>VLOOKUP(Tableau1[[#This Row],[SITES NAMES]],[1]Feuil1!$1:$1048576,10,FALSE)</f>
        <v>NO</v>
      </c>
      <c r="S752" s="6" t="s">
        <v>2469</v>
      </c>
      <c r="T752" s="6" t="s">
        <v>2470</v>
      </c>
      <c r="U752" s="6" t="s">
        <v>2480</v>
      </c>
      <c r="V752" s="6" t="s">
        <v>2472</v>
      </c>
      <c r="W752" s="6" t="s">
        <v>2473</v>
      </c>
      <c r="X752" s="8" t="s">
        <v>2878</v>
      </c>
      <c r="Y752" s="6" t="s">
        <v>3241</v>
      </c>
      <c r="Z752" s="6"/>
      <c r="AA752" s="37" t="s">
        <v>3634</v>
      </c>
      <c r="AB752" s="38" t="s">
        <v>3627</v>
      </c>
      <c r="AC752" s="37" t="s">
        <v>3635</v>
      </c>
      <c r="AD752" s="37" t="s">
        <v>3636</v>
      </c>
      <c r="AE752" s="37" t="s">
        <v>3637</v>
      </c>
      <c r="AF752" s="37" t="s">
        <v>3636</v>
      </c>
      <c r="AG752" s="37" t="s">
        <v>3638</v>
      </c>
      <c r="AH752" s="37" t="s">
        <v>3639</v>
      </c>
    </row>
    <row r="753" spans="1:34" ht="14.45" hidden="1" customHeight="1" x14ac:dyDescent="0.3">
      <c r="A753" s="6" t="s">
        <v>1121</v>
      </c>
      <c r="B753" s="7">
        <v>0</v>
      </c>
      <c r="C753" s="6" t="s">
        <v>1120</v>
      </c>
      <c r="D753" s="6" t="s">
        <v>5</v>
      </c>
      <c r="E753" s="6" t="s">
        <v>1003</v>
      </c>
      <c r="F753" s="6" t="s">
        <v>3229</v>
      </c>
      <c r="G753" s="8">
        <v>0.70698799999999995</v>
      </c>
      <c r="H753" s="8">
        <v>7.0440670000000001</v>
      </c>
      <c r="I753" s="6" t="s">
        <v>2477</v>
      </c>
      <c r="J753" s="6" t="s">
        <v>2459</v>
      </c>
      <c r="K753" s="6" t="s">
        <v>2460</v>
      </c>
      <c r="L753" s="6"/>
      <c r="M753" s="6"/>
      <c r="N753" s="6" t="s">
        <v>3268</v>
      </c>
      <c r="O753" s="6" t="s">
        <v>7</v>
      </c>
      <c r="P753" s="6" t="str">
        <f>VLOOKUP(Tableau1[[#This Row],[SITES NAMES]],[1]Feuil1!$1:$1048576,8,FALSE)</f>
        <v>OK</v>
      </c>
      <c r="Q753" s="6" t="str">
        <f>VLOOKUP(Tableau1[[#This Row],[SITES NAMES]],[1]Feuil1!$1:$1048576,9,FALSE)</f>
        <v>NO</v>
      </c>
      <c r="R753" s="6" t="str">
        <f>VLOOKUP(Tableau1[[#This Row],[SITES NAMES]],[1]Feuil1!$1:$1048576,10,FALSE)</f>
        <v>NO</v>
      </c>
      <c r="S753" s="6" t="s">
        <v>2469</v>
      </c>
      <c r="T753" s="6" t="s">
        <v>2470</v>
      </c>
      <c r="U753" s="6" t="s">
        <v>2480</v>
      </c>
      <c r="V753" s="6" t="s">
        <v>2472</v>
      </c>
      <c r="W753" s="6" t="s">
        <v>2473</v>
      </c>
      <c r="X753" s="8" t="s">
        <v>2879</v>
      </c>
      <c r="Y753" s="6" t="s">
        <v>3241</v>
      </c>
      <c r="Z753" s="6"/>
      <c r="AA753" s="37" t="s">
        <v>3634</v>
      </c>
      <c r="AB753" s="38" t="s">
        <v>3627</v>
      </c>
      <c r="AC753" s="37" t="s">
        <v>3635</v>
      </c>
      <c r="AD753" s="37" t="s">
        <v>3636</v>
      </c>
      <c r="AE753" s="37" t="s">
        <v>3637</v>
      </c>
      <c r="AF753" s="37" t="s">
        <v>3636</v>
      </c>
      <c r="AG753" s="37" t="s">
        <v>3638</v>
      </c>
      <c r="AH753" s="37" t="s">
        <v>3639</v>
      </c>
    </row>
    <row r="754" spans="1:34" ht="14.45" hidden="1" customHeight="1" x14ac:dyDescent="0.3">
      <c r="A754" s="6" t="s">
        <v>1123</v>
      </c>
      <c r="B754" s="7">
        <v>43650</v>
      </c>
      <c r="C754" s="6" t="s">
        <v>1122</v>
      </c>
      <c r="D754" s="6" t="s">
        <v>5</v>
      </c>
      <c r="E754" s="6" t="s">
        <v>1003</v>
      </c>
      <c r="F754" s="6" t="s">
        <v>3229</v>
      </c>
      <c r="G754" s="8">
        <v>0.80463799999999996</v>
      </c>
      <c r="H754" s="8">
        <v>7.2841250000000004</v>
      </c>
      <c r="I754" s="6" t="s">
        <v>2477</v>
      </c>
      <c r="J754" s="6" t="s">
        <v>2459</v>
      </c>
      <c r="K754" s="6" t="s">
        <v>2460</v>
      </c>
      <c r="L754" s="6"/>
      <c r="M754" s="6"/>
      <c r="N754" s="6" t="s">
        <v>3268</v>
      </c>
      <c r="O754" s="6" t="s">
        <v>7</v>
      </c>
      <c r="P754" s="6" t="str">
        <f>VLOOKUP(Tableau1[[#This Row],[SITES NAMES]],[1]Feuil1!$1:$1048576,8,FALSE)</f>
        <v>OK</v>
      </c>
      <c r="Q754" s="6" t="str">
        <f>VLOOKUP(Tableau1[[#This Row],[SITES NAMES]],[1]Feuil1!$1:$1048576,9,FALSE)</f>
        <v>NO</v>
      </c>
      <c r="R754" s="6" t="str">
        <f>VLOOKUP(Tableau1[[#This Row],[SITES NAMES]],[1]Feuil1!$1:$1048576,10,FALSE)</f>
        <v>YES</v>
      </c>
      <c r="S754" s="6" t="s">
        <v>2469</v>
      </c>
      <c r="T754" s="6" t="s">
        <v>2470</v>
      </c>
      <c r="U754" s="6" t="s">
        <v>2463</v>
      </c>
      <c r="V754" s="6" t="s">
        <v>2472</v>
      </c>
      <c r="W754" s="6" t="s">
        <v>2473</v>
      </c>
      <c r="X754" s="8" t="s">
        <v>2880</v>
      </c>
      <c r="Y754" s="6" t="s">
        <v>3241</v>
      </c>
      <c r="Z754" s="6"/>
      <c r="AA754" s="37" t="s">
        <v>3634</v>
      </c>
      <c r="AB754" s="38" t="s">
        <v>3627</v>
      </c>
      <c r="AC754" s="37" t="s">
        <v>3635</v>
      </c>
      <c r="AD754" s="37" t="s">
        <v>3636</v>
      </c>
      <c r="AE754" s="37" t="s">
        <v>3637</v>
      </c>
      <c r="AF754" s="37" t="s">
        <v>3636</v>
      </c>
      <c r="AG754" s="37" t="s">
        <v>3638</v>
      </c>
      <c r="AH754" s="37" t="s">
        <v>3639</v>
      </c>
    </row>
    <row r="755" spans="1:34" ht="14.45" hidden="1" customHeight="1" x14ac:dyDescent="0.3">
      <c r="A755" s="6" t="s">
        <v>1125</v>
      </c>
      <c r="B755" s="7">
        <v>45075</v>
      </c>
      <c r="C755" s="6" t="s">
        <v>1124</v>
      </c>
      <c r="D755" s="6" t="s">
        <v>5</v>
      </c>
      <c r="E755" s="6" t="s">
        <v>1003</v>
      </c>
      <c r="F755" s="6" t="s">
        <v>3229</v>
      </c>
      <c r="G755" s="8">
        <v>0.76715999999999995</v>
      </c>
      <c r="H755" s="8">
        <v>7.1850800000000001</v>
      </c>
      <c r="I755" s="6" t="s">
        <v>2477</v>
      </c>
      <c r="J755" s="6" t="s">
        <v>2459</v>
      </c>
      <c r="K755" s="6" t="s">
        <v>2460</v>
      </c>
      <c r="L755" s="6" t="s">
        <v>3525</v>
      </c>
      <c r="M755" s="6"/>
      <c r="N755" s="6" t="s">
        <v>3268</v>
      </c>
      <c r="O755" s="6" t="s">
        <v>7</v>
      </c>
      <c r="P755" s="6" t="str">
        <f>VLOOKUP(Tableau1[[#This Row],[SITES NAMES]],[1]Feuil1!$1:$1048576,8,FALSE)</f>
        <v>OK</v>
      </c>
      <c r="Q755" s="6" t="str">
        <f>VLOOKUP(Tableau1[[#This Row],[SITES NAMES]],[1]Feuil1!$1:$1048576,9,FALSE)</f>
        <v>NO</v>
      </c>
      <c r="R755" s="6" t="str">
        <f>VLOOKUP(Tableau1[[#This Row],[SITES NAMES]],[1]Feuil1!$1:$1048576,10,FALSE)</f>
        <v>NO</v>
      </c>
      <c r="S755" s="6" t="s">
        <v>2461</v>
      </c>
      <c r="T755" s="6" t="s">
        <v>2462</v>
      </c>
      <c r="U755" s="6" t="s">
        <v>2463</v>
      </c>
      <c r="V755" s="6" t="s">
        <v>2472</v>
      </c>
      <c r="W755" s="6" t="s">
        <v>2473</v>
      </c>
      <c r="X755" s="8"/>
      <c r="Y755" s="6" t="s">
        <v>3241</v>
      </c>
      <c r="Z755" s="6"/>
      <c r="AA755" s="37" t="s">
        <v>3634</v>
      </c>
      <c r="AB755" s="38" t="s">
        <v>3627</v>
      </c>
      <c r="AC755" s="37" t="s">
        <v>3635</v>
      </c>
      <c r="AD755" s="37" t="s">
        <v>3636</v>
      </c>
      <c r="AE755" s="37" t="s">
        <v>3637</v>
      </c>
      <c r="AF755" s="37" t="s">
        <v>3636</v>
      </c>
      <c r="AG755" s="37" t="s">
        <v>3638</v>
      </c>
      <c r="AH755" s="37" t="s">
        <v>3639</v>
      </c>
    </row>
    <row r="756" spans="1:34" ht="14.45" hidden="1" customHeight="1" x14ac:dyDescent="0.3">
      <c r="A756" s="6" t="s">
        <v>981</v>
      </c>
      <c r="B756" s="7">
        <v>43282</v>
      </c>
      <c r="C756" s="6" t="s">
        <v>980</v>
      </c>
      <c r="D756" s="6" t="s">
        <v>657</v>
      </c>
      <c r="E756" s="6" t="s">
        <v>3235</v>
      </c>
      <c r="F756" s="6" t="s">
        <v>3229</v>
      </c>
      <c r="G756" s="8">
        <v>1.1842900000000001</v>
      </c>
      <c r="H756" s="8">
        <v>9.5352899999999998</v>
      </c>
      <c r="I756" s="6" t="s">
        <v>2497</v>
      </c>
      <c r="J756" s="6" t="s">
        <v>2459</v>
      </c>
      <c r="K756" s="6" t="s">
        <v>2460</v>
      </c>
      <c r="L756" s="6"/>
      <c r="M756" s="6"/>
      <c r="N756" s="6" t="s">
        <v>3268</v>
      </c>
      <c r="O756" s="6" t="s">
        <v>7</v>
      </c>
      <c r="P756" s="6" t="str">
        <f>VLOOKUP(Tableau1[[#This Row],[SITES NAMES]],[1]Feuil1!$1:$1048576,8,FALSE)</f>
        <v>NOK</v>
      </c>
      <c r="Q756" s="6" t="str">
        <f>VLOOKUP(Tableau1[[#This Row],[SITES NAMES]],[1]Feuil1!$1:$1048576,9,FALSE)</f>
        <v>NO</v>
      </c>
      <c r="R756" s="6" t="str">
        <f>VLOOKUP(Tableau1[[#This Row],[SITES NAMES]],[1]Feuil1!$1:$1048576,10,FALSE)</f>
        <v>NO</v>
      </c>
      <c r="S756" s="6" t="s">
        <v>2469</v>
      </c>
      <c r="T756" s="6" t="s">
        <v>2470</v>
      </c>
      <c r="U756" s="6" t="s">
        <v>2480</v>
      </c>
      <c r="V756" s="6" t="s">
        <v>2478</v>
      </c>
      <c r="W756" s="6" t="s">
        <v>2465</v>
      </c>
      <c r="X756" s="8" t="s">
        <v>2828</v>
      </c>
      <c r="Y756" s="6" t="s">
        <v>3239</v>
      </c>
      <c r="Z756" s="6" t="s">
        <v>3253</v>
      </c>
      <c r="AA756" s="37" t="s">
        <v>3698</v>
      </c>
      <c r="AB756" s="38" t="s">
        <v>3683</v>
      </c>
      <c r="AC756" s="39" t="s">
        <v>3699</v>
      </c>
      <c r="AD756" s="39" t="s">
        <v>3700</v>
      </c>
      <c r="AE756" s="37" t="s">
        <v>3701</v>
      </c>
      <c r="AF756" s="39" t="s">
        <v>3702</v>
      </c>
      <c r="AG756" s="40" t="s">
        <v>3685</v>
      </c>
      <c r="AH756" s="37" t="s">
        <v>3703</v>
      </c>
    </row>
    <row r="757" spans="1:34" ht="14.45" hidden="1" customHeight="1" x14ac:dyDescent="0.3">
      <c r="A757" s="6" t="s">
        <v>93</v>
      </c>
      <c r="B757" s="7">
        <v>0</v>
      </c>
      <c r="C757" s="6" t="s">
        <v>92</v>
      </c>
      <c r="D757" s="6" t="s">
        <v>5</v>
      </c>
      <c r="E757" s="6" t="s">
        <v>6</v>
      </c>
      <c r="F757" s="6" t="s">
        <v>3229</v>
      </c>
      <c r="G757" s="8">
        <v>1.51085</v>
      </c>
      <c r="H757" s="8">
        <v>6.2177610000000003</v>
      </c>
      <c r="I757" s="6" t="s">
        <v>2458</v>
      </c>
      <c r="J757" s="6" t="s">
        <v>2459</v>
      </c>
      <c r="K757" s="6" t="s">
        <v>2460</v>
      </c>
      <c r="L757" s="6"/>
      <c r="M757" s="6"/>
      <c r="N757" s="6" t="s">
        <v>3268</v>
      </c>
      <c r="O757" s="6" t="s">
        <v>7</v>
      </c>
      <c r="P757" s="6" t="str">
        <f>VLOOKUP(Tableau1[[#This Row],[SITES NAMES]],[1]Feuil1!$1:$1048576,8,FALSE)</f>
        <v>OK</v>
      </c>
      <c r="Q757" s="6" t="str">
        <f>VLOOKUP(Tableau1[[#This Row],[SITES NAMES]],[1]Feuil1!$1:$1048576,9,FALSE)</f>
        <v>NO</v>
      </c>
      <c r="R757" s="6" t="str">
        <f>VLOOKUP(Tableau1[[#This Row],[SITES NAMES]],[1]Feuil1!$1:$1048576,10,FALSE)</f>
        <v>NO</v>
      </c>
      <c r="S757" s="6" t="s">
        <v>2469</v>
      </c>
      <c r="T757" s="6" t="s">
        <v>2470</v>
      </c>
      <c r="U757" s="6" t="s">
        <v>2480</v>
      </c>
      <c r="V757" s="6" t="s">
        <v>2498</v>
      </c>
      <c r="W757" s="6" t="s">
        <v>2465</v>
      </c>
      <c r="X757" s="8" t="s">
        <v>2508</v>
      </c>
      <c r="Y757" s="6" t="s">
        <v>3241</v>
      </c>
      <c r="Z757" t="e">
        <f>VLOOKUP(Tableau1[[#This Row],[SITES NAMES]],#REF!,3,FALSE)</f>
        <v>#REF!</v>
      </c>
      <c r="AA757" s="37" t="s">
        <v>3626</v>
      </c>
      <c r="AB757" s="38" t="s">
        <v>3627</v>
      </c>
      <c r="AC757" s="37" t="s">
        <v>3633</v>
      </c>
      <c r="AD757" s="37" t="s">
        <v>3628</v>
      </c>
      <c r="AE757" s="37" t="s">
        <v>3629</v>
      </c>
      <c r="AF757" s="39" t="s">
        <v>3630</v>
      </c>
      <c r="AG757" s="37" t="s">
        <v>3631</v>
      </c>
      <c r="AH757" s="37" t="s">
        <v>3632</v>
      </c>
    </row>
    <row r="758" spans="1:34" ht="14.45" hidden="1" customHeight="1" x14ac:dyDescent="0.3">
      <c r="A758" s="6" t="s">
        <v>652</v>
      </c>
      <c r="B758" s="7">
        <v>0</v>
      </c>
      <c r="C758" s="6" t="s">
        <v>651</v>
      </c>
      <c r="D758" s="6" t="s">
        <v>132</v>
      </c>
      <c r="E758" s="6" t="s">
        <v>565</v>
      </c>
      <c r="F758" s="6" t="s">
        <v>3229</v>
      </c>
      <c r="G758" s="8">
        <v>1.2747599999999999</v>
      </c>
      <c r="H758" s="8">
        <v>8.0735799999999998</v>
      </c>
      <c r="I758" s="6" t="s">
        <v>2477</v>
      </c>
      <c r="J758" s="6" t="s">
        <v>2459</v>
      </c>
      <c r="K758" s="6" t="s">
        <v>2468</v>
      </c>
      <c r="L758" s="6" t="s">
        <v>323</v>
      </c>
      <c r="M758" s="6"/>
      <c r="N758" s="6" t="s">
        <v>2468</v>
      </c>
      <c r="O758" s="6" t="s">
        <v>7</v>
      </c>
      <c r="P758" s="6" t="str">
        <f>VLOOKUP(Tableau1[[#This Row],[SITES NAMES]],[1]Feuil1!$1:$1048576,8,FALSE)</f>
        <v>OK</v>
      </c>
      <c r="Q758" s="6" t="str">
        <f>VLOOKUP(Tableau1[[#This Row],[SITES NAMES]],[1]Feuil1!$1:$1048576,9,FALSE)</f>
        <v>NO</v>
      </c>
      <c r="R758" s="6" t="str">
        <f>VLOOKUP(Tableau1[[#This Row],[SITES NAMES]],[1]Feuil1!$1:$1048576,10,FALSE)</f>
        <v>NO</v>
      </c>
      <c r="S758" s="6" t="s">
        <v>2469</v>
      </c>
      <c r="T758" s="6" t="s">
        <v>2470</v>
      </c>
      <c r="U758" s="6" t="s">
        <v>2480</v>
      </c>
      <c r="V758" s="6" t="s">
        <v>2472</v>
      </c>
      <c r="W758" s="6" t="s">
        <v>2473</v>
      </c>
      <c r="X758" s="8" t="s">
        <v>2711</v>
      </c>
      <c r="Y758" s="6" t="s">
        <v>3238</v>
      </c>
      <c r="Z758" s="6" t="s">
        <v>3254</v>
      </c>
      <c r="AA758" s="37" t="s">
        <v>3660</v>
      </c>
      <c r="AB758" s="39" t="s">
        <v>3644</v>
      </c>
      <c r="AC758" s="37" t="s">
        <v>3661</v>
      </c>
      <c r="AD758" s="39" t="s">
        <v>3646</v>
      </c>
      <c r="AE758" s="39" t="s">
        <v>3647</v>
      </c>
      <c r="AF758" s="39" t="s">
        <v>3662</v>
      </c>
      <c r="AG758" s="37" t="s">
        <v>3649</v>
      </c>
      <c r="AH758" s="37" t="s">
        <v>3663</v>
      </c>
    </row>
    <row r="759" spans="1:34" ht="14.45" hidden="1" customHeight="1" x14ac:dyDescent="0.3">
      <c r="A759" s="6" t="s">
        <v>785</v>
      </c>
      <c r="B759" s="7" t="s">
        <v>2514</v>
      </c>
      <c r="C759" s="6" t="s">
        <v>784</v>
      </c>
      <c r="D759" s="6" t="s">
        <v>657</v>
      </c>
      <c r="E759" s="6" t="s">
        <v>758</v>
      </c>
      <c r="F759" s="6" t="s">
        <v>3229</v>
      </c>
      <c r="G759" s="8">
        <v>0.91744999999999999</v>
      </c>
      <c r="H759" s="8">
        <v>10.06372</v>
      </c>
      <c r="I759" s="6" t="s">
        <v>2477</v>
      </c>
      <c r="J759" s="6" t="s">
        <v>2459</v>
      </c>
      <c r="K759" s="6" t="s">
        <v>2460</v>
      </c>
      <c r="L759" s="6"/>
      <c r="M759" s="6"/>
      <c r="N759" s="6" t="s">
        <v>3268</v>
      </c>
      <c r="O759" s="6" t="s">
        <v>40</v>
      </c>
      <c r="P759" s="6" t="str">
        <f>VLOOKUP(Tableau1[[#This Row],[SITES NAMES]],[1]Feuil1!$1:$1048576,8,FALSE)</f>
        <v>OK</v>
      </c>
      <c r="Q759" s="6" t="str">
        <f>VLOOKUP(Tableau1[[#This Row],[SITES NAMES]],[1]Feuil1!$1:$1048576,9,FALSE)</f>
        <v>NO</v>
      </c>
      <c r="R759" s="6" t="str">
        <f>VLOOKUP(Tableau1[[#This Row],[SITES NAMES]],[1]Feuil1!$1:$1048576,10,FALSE)</f>
        <v>NO</v>
      </c>
      <c r="S759" s="6" t="s">
        <v>2469</v>
      </c>
      <c r="T759" s="6" t="s">
        <v>2470</v>
      </c>
      <c r="U759" s="6" t="s">
        <v>2480</v>
      </c>
      <c r="V759" s="6" t="s">
        <v>2472</v>
      </c>
      <c r="W759" s="6" t="s">
        <v>2473</v>
      </c>
      <c r="X759" s="8" t="s">
        <v>2764</v>
      </c>
      <c r="Y759" s="6" t="s">
        <v>3239</v>
      </c>
      <c r="Z759" s="6" t="s">
        <v>3253</v>
      </c>
      <c r="AA759" s="37" t="s">
        <v>3687</v>
      </c>
      <c r="AB759" s="38" t="s">
        <v>3683</v>
      </c>
      <c r="AC759" s="37" t="s">
        <v>3688</v>
      </c>
      <c r="AD759" s="37" t="s">
        <v>3687</v>
      </c>
      <c r="AE759" s="37" t="s">
        <v>3689</v>
      </c>
      <c r="AF759" s="39" t="s">
        <v>3690</v>
      </c>
      <c r="AG759" s="40" t="s">
        <v>3685</v>
      </c>
      <c r="AH759" s="37" t="s">
        <v>3691</v>
      </c>
    </row>
    <row r="760" spans="1:34" ht="14.45" hidden="1" customHeight="1" x14ac:dyDescent="0.25">
      <c r="A760" s="6" t="s">
        <v>1412</v>
      </c>
      <c r="B760" s="7">
        <v>44757</v>
      </c>
      <c r="C760" s="6" t="s">
        <v>1411</v>
      </c>
      <c r="D760" s="6" t="s">
        <v>66</v>
      </c>
      <c r="E760" s="6" t="s">
        <v>3231</v>
      </c>
      <c r="F760" s="6" t="s">
        <v>3229</v>
      </c>
      <c r="G760" s="8">
        <v>1.4428557</v>
      </c>
      <c r="H760" s="8">
        <v>6.2131849130000001</v>
      </c>
      <c r="I760" s="6" t="s">
        <v>2479</v>
      </c>
      <c r="J760" s="6" t="s">
        <v>2459</v>
      </c>
      <c r="K760" s="6" t="s">
        <v>2468</v>
      </c>
      <c r="L760" s="6" t="s">
        <v>3526</v>
      </c>
      <c r="M760" s="6"/>
      <c r="N760" s="6" t="s">
        <v>2468</v>
      </c>
      <c r="O760" s="6" t="s">
        <v>7</v>
      </c>
      <c r="P760" s="6" t="str">
        <f>VLOOKUP(Tableau1[[#This Row],[SITES NAMES]],[1]Feuil1!$1:$1048576,8,FALSE)</f>
        <v>OK</v>
      </c>
      <c r="Q760" s="6" t="str">
        <f>VLOOKUP(Tableau1[[#This Row],[SITES NAMES]],[1]Feuil1!$1:$1048576,9,FALSE)</f>
        <v>NO</v>
      </c>
      <c r="R760" s="6" t="str">
        <f>VLOOKUP(Tableau1[[#This Row],[SITES NAMES]],[1]Feuil1!$1:$1048576,10,FALSE)</f>
        <v>YES</v>
      </c>
      <c r="S760" s="6" t="s">
        <v>2461</v>
      </c>
      <c r="T760" s="6" t="s">
        <v>2462</v>
      </c>
      <c r="U760" s="6" t="s">
        <v>2463</v>
      </c>
      <c r="V760" s="6" t="s">
        <v>2464</v>
      </c>
      <c r="W760" s="6" t="s">
        <v>2465</v>
      </c>
      <c r="X760" s="8"/>
      <c r="Y760" s="6" t="s">
        <v>3238</v>
      </c>
      <c r="Z760" s="6"/>
      <c r="AA760" s="35" t="s">
        <v>3621</v>
      </c>
      <c r="AB760" s="35" t="s">
        <v>3608</v>
      </c>
      <c r="AC760" s="35" t="s">
        <v>3622</v>
      </c>
      <c r="AD760" s="35" t="s">
        <v>3610</v>
      </c>
      <c r="AE760" s="35" t="s">
        <v>3610</v>
      </c>
      <c r="AF760" s="35" t="s">
        <v>3611</v>
      </c>
      <c r="AG760" s="35" t="s">
        <v>3612</v>
      </c>
      <c r="AH760" s="35" t="s">
        <v>3623</v>
      </c>
    </row>
    <row r="761" spans="1:34" ht="14.45" hidden="1" customHeight="1" x14ac:dyDescent="0.3">
      <c r="A761" s="6" t="s">
        <v>2055</v>
      </c>
      <c r="B761" s="7" t="s">
        <v>3097</v>
      </c>
      <c r="C761" s="6" t="s">
        <v>2054</v>
      </c>
      <c r="D761" s="6" t="s">
        <v>132</v>
      </c>
      <c r="E761" s="6" t="s">
        <v>2049</v>
      </c>
      <c r="F761" s="6" t="s">
        <v>3229</v>
      </c>
      <c r="G761" s="8">
        <v>1.2494000000000001</v>
      </c>
      <c r="H761" s="8">
        <v>6.8237800000000002</v>
      </c>
      <c r="I761" s="6" t="s">
        <v>2482</v>
      </c>
      <c r="J761" s="6" t="s">
        <v>2459</v>
      </c>
      <c r="K761" s="6" t="s">
        <v>2468</v>
      </c>
      <c r="L761" s="6" t="s">
        <v>2053</v>
      </c>
      <c r="M761" s="6"/>
      <c r="N761" s="6" t="s">
        <v>2468</v>
      </c>
      <c r="O761" s="6" t="s">
        <v>40</v>
      </c>
      <c r="P761" s="6" t="str">
        <f>VLOOKUP(Tableau1[[#This Row],[SITES NAMES]],[1]Feuil1!$1:$1048576,8,FALSE)</f>
        <v>OK</v>
      </c>
      <c r="Q761" s="6" t="str">
        <f>VLOOKUP(Tableau1[[#This Row],[SITES NAMES]],[1]Feuil1!$1:$1048576,9,FALSE)</f>
        <v>NO</v>
      </c>
      <c r="R761" s="6" t="str">
        <f>VLOOKUP(Tableau1[[#This Row],[SITES NAMES]],[1]Feuil1!$1:$1048576,10,FALSE)</f>
        <v>YES</v>
      </c>
      <c r="S761" s="6" t="s">
        <v>2461</v>
      </c>
      <c r="T761" s="6" t="s">
        <v>2462</v>
      </c>
      <c r="U761" s="6" t="s">
        <v>2463</v>
      </c>
      <c r="V761" s="6" t="s">
        <v>2472</v>
      </c>
      <c r="W761" s="6" t="s">
        <v>2473</v>
      </c>
      <c r="X761" s="8" t="s">
        <v>3098</v>
      </c>
      <c r="Y761" s="6" t="s">
        <v>3238</v>
      </c>
      <c r="Z761" s="6" t="s">
        <v>3257</v>
      </c>
      <c r="AA761" s="45" t="s">
        <v>3656</v>
      </c>
      <c r="AB761" s="39" t="s">
        <v>3644</v>
      </c>
      <c r="AC761" s="45" t="s">
        <v>3657</v>
      </c>
      <c r="AD761" s="37" t="s">
        <v>3658</v>
      </c>
      <c r="AE761" s="37" t="s">
        <v>3647</v>
      </c>
      <c r="AF761" s="39" t="s">
        <v>3648</v>
      </c>
      <c r="AG761" s="37" t="s">
        <v>3649</v>
      </c>
      <c r="AH761" s="37" t="s">
        <v>3659</v>
      </c>
    </row>
    <row r="762" spans="1:34" ht="14.45" hidden="1" customHeight="1" x14ac:dyDescent="0.3">
      <c r="A762" s="6" t="s">
        <v>731</v>
      </c>
      <c r="B762" s="7">
        <v>43942</v>
      </c>
      <c r="C762" s="6" t="s">
        <v>730</v>
      </c>
      <c r="D762" s="6" t="s">
        <v>657</v>
      </c>
      <c r="E762" s="6" t="s">
        <v>658</v>
      </c>
      <c r="F762" s="6" t="s">
        <v>3229</v>
      </c>
      <c r="G762" s="8">
        <v>0.35703000000000001</v>
      </c>
      <c r="H762" s="8">
        <v>9.7235200000000006</v>
      </c>
      <c r="I762" s="6" t="s">
        <v>2477</v>
      </c>
      <c r="J762" s="6" t="s">
        <v>2459</v>
      </c>
      <c r="K762" s="6" t="s">
        <v>2468</v>
      </c>
      <c r="L762" s="6" t="s">
        <v>3486</v>
      </c>
      <c r="M762" s="6"/>
      <c r="N762" s="6" t="s">
        <v>2468</v>
      </c>
      <c r="O762" s="6" t="s">
        <v>40</v>
      </c>
      <c r="P762" s="6" t="str">
        <f>VLOOKUP(Tableau1[[#This Row],[SITES NAMES]],[1]Feuil1!$1:$1048576,8,FALSE)</f>
        <v>OK</v>
      </c>
      <c r="Q762" s="6" t="str">
        <f>VLOOKUP(Tableau1[[#This Row],[SITES NAMES]],[1]Feuil1!$1:$1048576,9,FALSE)</f>
        <v>NO</v>
      </c>
      <c r="R762" s="6" t="str">
        <f>VLOOKUP(Tableau1[[#This Row],[SITES NAMES]],[1]Feuil1!$1:$1048576,10,FALSE)</f>
        <v>YES</v>
      </c>
      <c r="S762" s="6" t="s">
        <v>2461</v>
      </c>
      <c r="T762" s="6" t="s">
        <v>2462</v>
      </c>
      <c r="U762" s="6" t="s">
        <v>2463</v>
      </c>
      <c r="V762" s="6" t="s">
        <v>2472</v>
      </c>
      <c r="W762" s="6" t="s">
        <v>2473</v>
      </c>
      <c r="X762" s="8" t="s">
        <v>2741</v>
      </c>
      <c r="Y762" s="6" t="s">
        <v>3239</v>
      </c>
      <c r="Z762" s="6" t="s">
        <v>3253</v>
      </c>
      <c r="AA762" s="38" t="s">
        <v>3682</v>
      </c>
      <c r="AB762" s="38" t="s">
        <v>3683</v>
      </c>
      <c r="AC762" s="38" t="s">
        <v>3684</v>
      </c>
      <c r="AD762" s="38" t="s">
        <v>3682</v>
      </c>
      <c r="AE762" s="38" t="s">
        <v>3682</v>
      </c>
      <c r="AF762" s="38" t="s">
        <v>3682</v>
      </c>
      <c r="AG762" s="40" t="s">
        <v>3685</v>
      </c>
      <c r="AH762" s="37" t="s">
        <v>3686</v>
      </c>
    </row>
    <row r="763" spans="1:34" ht="14.45" hidden="1" customHeight="1" x14ac:dyDescent="0.3">
      <c r="A763" s="6" t="s">
        <v>2101</v>
      </c>
      <c r="B763" s="7">
        <v>43896</v>
      </c>
      <c r="C763" s="6" t="s">
        <v>2100</v>
      </c>
      <c r="D763" s="6" t="s">
        <v>132</v>
      </c>
      <c r="E763" s="6" t="s">
        <v>2049</v>
      </c>
      <c r="F763" s="6" t="s">
        <v>3229</v>
      </c>
      <c r="G763" s="8">
        <v>1.5142230000000001</v>
      </c>
      <c r="H763" s="8">
        <v>7.1662100000000004</v>
      </c>
      <c r="I763" s="6" t="s">
        <v>2477</v>
      </c>
      <c r="J763" s="6" t="s">
        <v>2459</v>
      </c>
      <c r="K763" s="6" t="s">
        <v>2468</v>
      </c>
      <c r="L763" s="6" t="s">
        <v>2130</v>
      </c>
      <c r="M763" s="6"/>
      <c r="N763" s="6" t="s">
        <v>2468</v>
      </c>
      <c r="O763" s="6" t="s">
        <v>37</v>
      </c>
      <c r="P763" s="6" t="str">
        <f>VLOOKUP(Tableau1[[#This Row],[SITES NAMES]],[1]Feuil1!$1:$1048576,8,FALSE)</f>
        <v>OK</v>
      </c>
      <c r="Q763" s="6" t="str">
        <f>VLOOKUP(Tableau1[[#This Row],[SITES NAMES]],[1]Feuil1!$1:$1048576,9,FALSE)</f>
        <v>NO</v>
      </c>
      <c r="R763" s="6" t="str">
        <f>VLOOKUP(Tableau1[[#This Row],[SITES NAMES]],[1]Feuil1!$1:$1048576,10,FALSE)</f>
        <v>NO</v>
      </c>
      <c r="S763" s="6" t="s">
        <v>2461</v>
      </c>
      <c r="T763" s="6" t="s">
        <v>2462</v>
      </c>
      <c r="U763" s="6" t="s">
        <v>2463</v>
      </c>
      <c r="V763" s="6" t="s">
        <v>2472</v>
      </c>
      <c r="W763" s="6" t="s">
        <v>2473</v>
      </c>
      <c r="X763" s="8" t="s">
        <v>3113</v>
      </c>
      <c r="Y763" s="6" t="s">
        <v>3238</v>
      </c>
      <c r="Z763" s="6" t="s">
        <v>3257</v>
      </c>
      <c r="AA763" s="45" t="s">
        <v>3656</v>
      </c>
      <c r="AB763" s="39" t="s">
        <v>3644</v>
      </c>
      <c r="AC763" s="45" t="s">
        <v>3657</v>
      </c>
      <c r="AD763" s="37" t="s">
        <v>3658</v>
      </c>
      <c r="AE763" s="37" t="s">
        <v>3647</v>
      </c>
      <c r="AF763" s="39" t="s">
        <v>3648</v>
      </c>
      <c r="AG763" s="37" t="s">
        <v>3649</v>
      </c>
      <c r="AH763" s="37" t="s">
        <v>3659</v>
      </c>
    </row>
    <row r="764" spans="1:34" ht="14.45" hidden="1" customHeight="1" x14ac:dyDescent="0.3">
      <c r="A764" s="6" t="s">
        <v>267</v>
      </c>
      <c r="B764" s="7">
        <v>0</v>
      </c>
      <c r="C764" s="6" t="s">
        <v>266</v>
      </c>
      <c r="D764" s="6" t="s">
        <v>132</v>
      </c>
      <c r="E764" s="6" t="s">
        <v>251</v>
      </c>
      <c r="F764" s="6" t="s">
        <v>3229</v>
      </c>
      <c r="G764" s="8">
        <v>0.59491700000000003</v>
      </c>
      <c r="H764" s="8">
        <v>7.4426399999999999</v>
      </c>
      <c r="I764" s="6" t="s">
        <v>2477</v>
      </c>
      <c r="J764" s="6" t="s">
        <v>2459</v>
      </c>
      <c r="K764" s="6" t="s">
        <v>2468</v>
      </c>
      <c r="L764" s="6" t="s">
        <v>3527</v>
      </c>
      <c r="M764" s="6"/>
      <c r="N764" s="6" t="s">
        <v>2468</v>
      </c>
      <c r="O764" s="6" t="s">
        <v>7</v>
      </c>
      <c r="P764" s="6" t="str">
        <f>VLOOKUP(Tableau1[[#This Row],[SITES NAMES]],[1]Feuil1!$1:$1048576,8,FALSE)</f>
        <v>OK</v>
      </c>
      <c r="Q764" s="6" t="str">
        <f>VLOOKUP(Tableau1[[#This Row],[SITES NAMES]],[1]Feuil1!$1:$1048576,9,FALSE)</f>
        <v>NO</v>
      </c>
      <c r="R764" s="6" t="str">
        <f>VLOOKUP(Tableau1[[#This Row],[SITES NAMES]],[1]Feuil1!$1:$1048576,10,FALSE)</f>
        <v>YES</v>
      </c>
      <c r="S764" s="6" t="s">
        <v>2461</v>
      </c>
      <c r="T764" s="6" t="s">
        <v>2462</v>
      </c>
      <c r="U764" s="6" t="s">
        <v>2463</v>
      </c>
      <c r="V764" s="6" t="s">
        <v>2472</v>
      </c>
      <c r="W764" s="6" t="s">
        <v>2473</v>
      </c>
      <c r="X764" s="8" t="s">
        <v>2574</v>
      </c>
      <c r="Y764" s="6" t="s">
        <v>3238</v>
      </c>
      <c r="Z764" s="6" t="s">
        <v>3256</v>
      </c>
      <c r="AA764" s="37" t="s">
        <v>3651</v>
      </c>
      <c r="AB764" s="39" t="s">
        <v>3644</v>
      </c>
      <c r="AC764" s="45" t="s">
        <v>3652</v>
      </c>
      <c r="AD764" s="39" t="s">
        <v>3646</v>
      </c>
      <c r="AE764" s="37" t="s">
        <v>3653</v>
      </c>
      <c r="AF764" s="37" t="s">
        <v>3654</v>
      </c>
      <c r="AG764" s="37" t="s">
        <v>3649</v>
      </c>
      <c r="AH764" s="37" t="s">
        <v>3655</v>
      </c>
    </row>
    <row r="765" spans="1:34" ht="14.45" hidden="1" customHeight="1" x14ac:dyDescent="0.3">
      <c r="A765" s="6" t="s">
        <v>95</v>
      </c>
      <c r="B765" s="7">
        <v>43937</v>
      </c>
      <c r="C765" s="6" t="s">
        <v>94</v>
      </c>
      <c r="D765" s="6" t="s">
        <v>5</v>
      </c>
      <c r="E765" s="6" t="s">
        <v>6</v>
      </c>
      <c r="F765" s="6" t="s">
        <v>3229</v>
      </c>
      <c r="G765" s="8">
        <v>1.5766899999999999</v>
      </c>
      <c r="H765" s="8">
        <v>6.5194799999999997</v>
      </c>
      <c r="I765" s="6" t="s">
        <v>2477</v>
      </c>
      <c r="J765" s="6" t="s">
        <v>2459</v>
      </c>
      <c r="K765" s="6" t="s">
        <v>2460</v>
      </c>
      <c r="L765" s="6"/>
      <c r="M765" s="6"/>
      <c r="N765" s="6" t="s">
        <v>3268</v>
      </c>
      <c r="O765" s="6" t="s">
        <v>40</v>
      </c>
      <c r="P765" s="6" t="str">
        <f>VLOOKUP(Tableau1[[#This Row],[SITES NAMES]],[1]Feuil1!$1:$1048576,8,FALSE)</f>
        <v>NOK</v>
      </c>
      <c r="Q765" s="6" t="str">
        <f>VLOOKUP(Tableau1[[#This Row],[SITES NAMES]],[1]Feuil1!$1:$1048576,9,FALSE)</f>
        <v>NO</v>
      </c>
      <c r="R765" s="6" t="str">
        <f>VLOOKUP(Tableau1[[#This Row],[SITES NAMES]],[1]Feuil1!$1:$1048576,10,FALSE)</f>
        <v>YES</v>
      </c>
      <c r="S765" s="6" t="s">
        <v>2461</v>
      </c>
      <c r="T765" s="6" t="s">
        <v>2462</v>
      </c>
      <c r="U765" s="6" t="s">
        <v>2463</v>
      </c>
      <c r="V765" s="6" t="s">
        <v>2472</v>
      </c>
      <c r="W765" s="6" t="s">
        <v>2473</v>
      </c>
      <c r="X765" s="8" t="s">
        <v>2509</v>
      </c>
      <c r="Y765" s="6" t="s">
        <v>3241</v>
      </c>
      <c r="Z765" t="e">
        <f>VLOOKUP(Tableau1[[#This Row],[SITES NAMES]],#REF!,3,FALSE)</f>
        <v>#REF!</v>
      </c>
      <c r="AA765" s="37" t="s">
        <v>3626</v>
      </c>
      <c r="AB765" s="38" t="s">
        <v>3627</v>
      </c>
      <c r="AC765" s="37" t="s">
        <v>3633</v>
      </c>
      <c r="AD765" s="37" t="s">
        <v>3628</v>
      </c>
      <c r="AE765" s="37" t="s">
        <v>3629</v>
      </c>
      <c r="AF765" s="39" t="s">
        <v>3630</v>
      </c>
      <c r="AG765" s="37" t="s">
        <v>3631</v>
      </c>
      <c r="AH765" s="37" t="s">
        <v>3632</v>
      </c>
    </row>
    <row r="766" spans="1:34" ht="14.45" hidden="1" customHeight="1" x14ac:dyDescent="0.3">
      <c r="A766" s="6" t="s">
        <v>1127</v>
      </c>
      <c r="B766" s="7">
        <v>44847</v>
      </c>
      <c r="C766" s="6" t="s">
        <v>1126</v>
      </c>
      <c r="D766" s="6" t="s">
        <v>5</v>
      </c>
      <c r="E766" s="6" t="s">
        <v>1003</v>
      </c>
      <c r="F766" s="6" t="s">
        <v>3229</v>
      </c>
      <c r="G766" s="8">
        <v>0.73870599269866899</v>
      </c>
      <c r="H766" s="8">
        <v>7.35012006759644</v>
      </c>
      <c r="I766" s="6" t="s">
        <v>2477</v>
      </c>
      <c r="J766" s="6" t="s">
        <v>2459</v>
      </c>
      <c r="K766" s="6" t="s">
        <v>2468</v>
      </c>
      <c r="L766" s="6" t="s">
        <v>3528</v>
      </c>
      <c r="M766" s="6"/>
      <c r="N766" s="6" t="s">
        <v>2468</v>
      </c>
      <c r="O766" s="6" t="s">
        <v>40</v>
      </c>
      <c r="P766" s="6" t="str">
        <f>VLOOKUP(Tableau1[[#This Row],[SITES NAMES]],[1]Feuil1!$1:$1048576,8,FALSE)</f>
        <v>NOK</v>
      </c>
      <c r="Q766" s="6" t="str">
        <f>VLOOKUP(Tableau1[[#This Row],[SITES NAMES]],[1]Feuil1!$1:$1048576,9,FALSE)</f>
        <v>NO</v>
      </c>
      <c r="R766" s="6" t="str">
        <f>VLOOKUP(Tableau1[[#This Row],[SITES NAMES]],[1]Feuil1!$1:$1048576,10,FALSE)</f>
        <v>YES</v>
      </c>
      <c r="S766" s="6" t="s">
        <v>2469</v>
      </c>
      <c r="T766" s="6" t="s">
        <v>2470</v>
      </c>
      <c r="U766" s="6" t="s">
        <v>2471</v>
      </c>
      <c r="V766" s="6" t="s">
        <v>2472</v>
      </c>
      <c r="W766" s="6" t="s">
        <v>2473</v>
      </c>
      <c r="X766" s="8" t="s">
        <v>2881</v>
      </c>
      <c r="Y766" s="6" t="s">
        <v>3241</v>
      </c>
      <c r="Z766" s="6"/>
      <c r="AA766" s="37" t="s">
        <v>3634</v>
      </c>
      <c r="AB766" s="38" t="s">
        <v>3627</v>
      </c>
      <c r="AC766" s="37" t="s">
        <v>3635</v>
      </c>
      <c r="AD766" s="37" t="s">
        <v>3636</v>
      </c>
      <c r="AE766" s="37" t="s">
        <v>3637</v>
      </c>
      <c r="AF766" s="37" t="s">
        <v>3636</v>
      </c>
      <c r="AG766" s="37" t="s">
        <v>3638</v>
      </c>
      <c r="AH766" s="37" t="s">
        <v>3639</v>
      </c>
    </row>
    <row r="767" spans="1:34" ht="14.45" hidden="1" customHeight="1" x14ac:dyDescent="0.3">
      <c r="A767" s="6" t="s">
        <v>2407</v>
      </c>
      <c r="B767" s="7">
        <v>0</v>
      </c>
      <c r="C767" s="6" t="s">
        <v>2406</v>
      </c>
      <c r="D767" s="6" t="s">
        <v>5</v>
      </c>
      <c r="E767" s="6" t="s">
        <v>2333</v>
      </c>
      <c r="F767" s="6" t="s">
        <v>3229</v>
      </c>
      <c r="G767" s="8">
        <v>1.1859299999999999</v>
      </c>
      <c r="H767" s="8">
        <v>6.6150000000000002</v>
      </c>
      <c r="I767" s="6" t="s">
        <v>2477</v>
      </c>
      <c r="J767" s="6" t="s">
        <v>2459</v>
      </c>
      <c r="K767" s="6" t="s">
        <v>2460</v>
      </c>
      <c r="L767" s="6"/>
      <c r="M767" s="6"/>
      <c r="N767" s="6" t="s">
        <v>3268</v>
      </c>
      <c r="O767" s="6" t="s">
        <v>18</v>
      </c>
      <c r="P767" s="6" t="str">
        <f>VLOOKUP(Tableau1[[#This Row],[SITES NAMES]],[1]Feuil1!$1:$1048576,8,FALSE)</f>
        <v>OK</v>
      </c>
      <c r="Q767" s="6" t="str">
        <f>VLOOKUP(Tableau1[[#This Row],[SITES NAMES]],[1]Feuil1!$1:$1048576,9,FALSE)</f>
        <v>NO</v>
      </c>
      <c r="R767" s="6" t="str">
        <f>VLOOKUP(Tableau1[[#This Row],[SITES NAMES]],[1]Feuil1!$1:$1048576,10,FALSE)</f>
        <v>NO</v>
      </c>
      <c r="S767" s="6" t="s">
        <v>2461</v>
      </c>
      <c r="T767" s="6" t="s">
        <v>2462</v>
      </c>
      <c r="U767" s="6" t="s">
        <v>2463</v>
      </c>
      <c r="V767" s="6" t="s">
        <v>2472</v>
      </c>
      <c r="W767" s="6" t="s">
        <v>2473</v>
      </c>
      <c r="X767" s="8" t="s">
        <v>3220</v>
      </c>
      <c r="Y767" s="6" t="s">
        <v>3241</v>
      </c>
      <c r="Z767" t="e">
        <f>VLOOKUP(Tableau1[[#This Row],[SITES NAMES]],#REF!,3,FALSE)</f>
        <v>#REF!</v>
      </c>
      <c r="AA767" s="37"/>
      <c r="AB767" s="38" t="s">
        <v>3627</v>
      </c>
      <c r="AC767" s="37" t="s">
        <v>3640</v>
      </c>
      <c r="AD767" s="39" t="s">
        <v>3641</v>
      </c>
      <c r="AE767" s="37"/>
      <c r="AF767" s="39" t="s">
        <v>3641</v>
      </c>
      <c r="AG767" s="37"/>
      <c r="AH767" s="37" t="s">
        <v>3642</v>
      </c>
    </row>
    <row r="768" spans="1:34" ht="14.45" hidden="1" customHeight="1" x14ac:dyDescent="0.3">
      <c r="A768" s="6" t="s">
        <v>1036</v>
      </c>
      <c r="B768" s="7">
        <v>46022</v>
      </c>
      <c r="C768" s="6" t="s">
        <v>1035</v>
      </c>
      <c r="D768" s="6" t="s">
        <v>5</v>
      </c>
      <c r="E768" s="6" t="s">
        <v>1003</v>
      </c>
      <c r="F768" s="6" t="s">
        <v>3229</v>
      </c>
      <c r="G768" s="8">
        <v>0.64779200000000003</v>
      </c>
      <c r="H768" s="8">
        <v>6.9682550000000001</v>
      </c>
      <c r="I768" s="6" t="e">
        <v>#N/A</v>
      </c>
      <c r="J768" s="6" t="s">
        <v>2459</v>
      </c>
      <c r="K768" s="6" t="s">
        <v>2468</v>
      </c>
      <c r="L768" s="6"/>
      <c r="M768" s="6"/>
      <c r="N768" s="6" t="s">
        <v>2468</v>
      </c>
      <c r="O768" s="6" t="s">
        <v>7</v>
      </c>
      <c r="P768" s="6"/>
      <c r="Q768" s="6"/>
      <c r="R768" s="6"/>
      <c r="S768" s="6"/>
      <c r="T768" s="6"/>
      <c r="U768" s="6"/>
      <c r="V768" s="6"/>
      <c r="W768" s="6"/>
      <c r="X768" s="8"/>
      <c r="Y768" s="6" t="s">
        <v>3241</v>
      </c>
      <c r="Z768" s="6"/>
      <c r="AA768" s="37" t="s">
        <v>3634</v>
      </c>
      <c r="AB768" s="38" t="s">
        <v>3627</v>
      </c>
      <c r="AC768" s="37" t="s">
        <v>3635</v>
      </c>
      <c r="AD768" s="37" t="s">
        <v>3636</v>
      </c>
      <c r="AE768" s="37" t="s">
        <v>3637</v>
      </c>
      <c r="AF768" s="37" t="s">
        <v>3636</v>
      </c>
      <c r="AG768" s="37" t="s">
        <v>3638</v>
      </c>
      <c r="AH768" s="37" t="s">
        <v>3639</v>
      </c>
    </row>
    <row r="769" spans="1:34" ht="14.45" hidden="1" customHeight="1" x14ac:dyDescent="0.3">
      <c r="A769" s="6" t="s">
        <v>983</v>
      </c>
      <c r="B769" s="7">
        <v>43999</v>
      </c>
      <c r="C769" s="6" t="s">
        <v>982</v>
      </c>
      <c r="D769" s="6" t="s">
        <v>657</v>
      </c>
      <c r="E769" s="6" t="s">
        <v>3235</v>
      </c>
      <c r="F769" s="6" t="s">
        <v>3229</v>
      </c>
      <c r="G769" s="8">
        <v>1.374193</v>
      </c>
      <c r="H769" s="8">
        <v>9.4723830000000007</v>
      </c>
      <c r="I769" s="6" t="s">
        <v>2477</v>
      </c>
      <c r="J769" s="6" t="s">
        <v>2459</v>
      </c>
      <c r="K769" s="6" t="s">
        <v>2468</v>
      </c>
      <c r="L769" s="6"/>
      <c r="M769" s="6"/>
      <c r="N769" s="6" t="s">
        <v>2468</v>
      </c>
      <c r="O769" s="6" t="s">
        <v>40</v>
      </c>
      <c r="P769" s="6" t="str">
        <f>VLOOKUP(Tableau1[[#This Row],[SITES NAMES]],[1]Feuil1!$1:$1048576,8,FALSE)</f>
        <v>OK</v>
      </c>
      <c r="Q769" s="6" t="str">
        <f>VLOOKUP(Tableau1[[#This Row],[SITES NAMES]],[1]Feuil1!$1:$1048576,9,FALSE)</f>
        <v>NO</v>
      </c>
      <c r="R769" s="6" t="str">
        <f>VLOOKUP(Tableau1[[#This Row],[SITES NAMES]],[1]Feuil1!$1:$1048576,10,FALSE)</f>
        <v>NO</v>
      </c>
      <c r="S769" s="6" t="s">
        <v>2469</v>
      </c>
      <c r="T769" s="6" t="s">
        <v>2470</v>
      </c>
      <c r="U769" s="6" t="s">
        <v>2480</v>
      </c>
      <c r="V769" s="6" t="s">
        <v>2472</v>
      </c>
      <c r="W769" s="6" t="s">
        <v>2473</v>
      </c>
      <c r="X769" s="8" t="s">
        <v>2829</v>
      </c>
      <c r="Y769" s="6" t="s">
        <v>3239</v>
      </c>
      <c r="Z769" s="6" t="s">
        <v>3253</v>
      </c>
      <c r="AA769" s="37" t="s">
        <v>3698</v>
      </c>
      <c r="AB769" s="38" t="s">
        <v>3683</v>
      </c>
      <c r="AC769" s="39" t="s">
        <v>3699</v>
      </c>
      <c r="AD769" s="39" t="s">
        <v>3700</v>
      </c>
      <c r="AE769" s="37" t="s">
        <v>3701</v>
      </c>
      <c r="AF769" s="39" t="s">
        <v>3702</v>
      </c>
      <c r="AG769" s="40" t="s">
        <v>3685</v>
      </c>
      <c r="AH769" s="37" t="s">
        <v>3703</v>
      </c>
    </row>
    <row r="770" spans="1:34" ht="14.45" hidden="1" customHeight="1" x14ac:dyDescent="0.25">
      <c r="A770" s="6" t="s">
        <v>1791</v>
      </c>
      <c r="B770" s="7">
        <v>45084</v>
      </c>
      <c r="C770" s="6" t="s">
        <v>1790</v>
      </c>
      <c r="D770" s="6" t="s">
        <v>66</v>
      </c>
      <c r="E770" s="6" t="s">
        <v>3234</v>
      </c>
      <c r="F770" s="6" t="s">
        <v>3229</v>
      </c>
      <c r="G770" s="8">
        <v>1.0930800000000001</v>
      </c>
      <c r="H770" s="8">
        <v>6.1977399999999996</v>
      </c>
      <c r="I770" s="6" t="s">
        <v>2479</v>
      </c>
      <c r="J770" s="6" t="s">
        <v>2459</v>
      </c>
      <c r="K770" s="6" t="s">
        <v>2460</v>
      </c>
      <c r="L770" s="6" t="s">
        <v>1791</v>
      </c>
      <c r="M770" s="6" t="s">
        <v>1745</v>
      </c>
      <c r="N770" s="6" t="s">
        <v>3268</v>
      </c>
      <c r="O770" s="6" t="s">
        <v>7</v>
      </c>
      <c r="P770" s="6" t="str">
        <f>VLOOKUP(Tableau1[[#This Row],[SITES NAMES]],[1]Feuil1!$1:$1048576,8,FALSE)</f>
        <v>OK</v>
      </c>
      <c r="Q770" s="6" t="str">
        <f>VLOOKUP(Tableau1[[#This Row],[SITES NAMES]],[1]Feuil1!$1:$1048576,9,FALSE)</f>
        <v>NO</v>
      </c>
      <c r="R770" s="6" t="str">
        <f>VLOOKUP(Tableau1[[#This Row],[SITES NAMES]],[1]Feuil1!$1:$1048576,10,FALSE)</f>
        <v>NO</v>
      </c>
      <c r="S770" s="6" t="s">
        <v>2469</v>
      </c>
      <c r="T770" s="6" t="s">
        <v>2470</v>
      </c>
      <c r="U770" s="6" t="s">
        <v>2463</v>
      </c>
      <c r="V770" s="6" t="s">
        <v>2464</v>
      </c>
      <c r="W770" s="6" t="s">
        <v>2465</v>
      </c>
      <c r="X770" s="8" t="s">
        <v>2840</v>
      </c>
      <c r="Y770" s="6" t="s">
        <v>3238</v>
      </c>
      <c r="Z770" s="6" t="s">
        <v>3265</v>
      </c>
      <c r="AA770" s="35" t="s">
        <v>3607</v>
      </c>
      <c r="AB770" s="35" t="s">
        <v>3608</v>
      </c>
      <c r="AC770" s="35" t="s">
        <v>3614</v>
      </c>
      <c r="AD770" s="35" t="s">
        <v>3610</v>
      </c>
      <c r="AE770" s="35" t="s">
        <v>3610</v>
      </c>
      <c r="AF770" s="35" t="s">
        <v>3611</v>
      </c>
      <c r="AG770" s="35" t="s">
        <v>3612</v>
      </c>
      <c r="AH770" s="35" t="s">
        <v>3615</v>
      </c>
    </row>
    <row r="771" spans="1:34" ht="14.45" hidden="1" customHeight="1" x14ac:dyDescent="0.25">
      <c r="A771" s="6" t="s">
        <v>1414</v>
      </c>
      <c r="B771" s="7">
        <v>0</v>
      </c>
      <c r="C771" s="6" t="s">
        <v>1413</v>
      </c>
      <c r="D771" s="6" t="s">
        <v>66</v>
      </c>
      <c r="E771" s="6" t="s">
        <v>3231</v>
      </c>
      <c r="F771" s="6" t="s">
        <v>3229</v>
      </c>
      <c r="G771" s="8">
        <v>1.3805130000000001</v>
      </c>
      <c r="H771" s="8">
        <v>6.1931000000000003</v>
      </c>
      <c r="I771" s="6" t="s">
        <v>2486</v>
      </c>
      <c r="J771" s="6" t="s">
        <v>2459</v>
      </c>
      <c r="K771" s="6" t="s">
        <v>2460</v>
      </c>
      <c r="L771" s="6"/>
      <c r="M771" s="6"/>
      <c r="N771" s="6" t="s">
        <v>3268</v>
      </c>
      <c r="O771" s="6" t="s">
        <v>7</v>
      </c>
      <c r="P771" s="6" t="str">
        <f>VLOOKUP(Tableau1[[#This Row],[SITES NAMES]],[1]Feuil1!$1:$1048576,8,FALSE)</f>
        <v>OK</v>
      </c>
      <c r="Q771" s="6" t="str">
        <f>VLOOKUP(Tableau1[[#This Row],[SITES NAMES]],[1]Feuil1!$1:$1048576,9,FALSE)</f>
        <v>NO</v>
      </c>
      <c r="R771" s="6" t="str">
        <f>VLOOKUP(Tableau1[[#This Row],[SITES NAMES]],[1]Feuil1!$1:$1048576,10,FALSE)</f>
        <v>NO</v>
      </c>
      <c r="S771" s="6" t="s">
        <v>2461</v>
      </c>
      <c r="T771" s="6" t="s">
        <v>2462</v>
      </c>
      <c r="U771" s="6" t="s">
        <v>2463</v>
      </c>
      <c r="V771" s="6" t="s">
        <v>2464</v>
      </c>
      <c r="W771" s="6" t="s">
        <v>2476</v>
      </c>
      <c r="X771" s="8" t="s">
        <v>2944</v>
      </c>
      <c r="Y771" s="6" t="s">
        <v>3238</v>
      </c>
      <c r="Z771" s="6"/>
      <c r="AA771" s="35" t="s">
        <v>3621</v>
      </c>
      <c r="AB771" s="35" t="s">
        <v>3608</v>
      </c>
      <c r="AC771" s="35" t="s">
        <v>3622</v>
      </c>
      <c r="AD771" s="35" t="s">
        <v>3610</v>
      </c>
      <c r="AE771" s="35" t="s">
        <v>3610</v>
      </c>
      <c r="AF771" s="35" t="s">
        <v>3611</v>
      </c>
      <c r="AG771" s="35" t="s">
        <v>3612</v>
      </c>
      <c r="AH771" s="35" t="s">
        <v>3623</v>
      </c>
    </row>
    <row r="772" spans="1:34" ht="14.45" hidden="1" customHeight="1" x14ac:dyDescent="0.25">
      <c r="A772" s="6" t="s">
        <v>1416</v>
      </c>
      <c r="B772" s="7">
        <v>43446</v>
      </c>
      <c r="C772" s="6" t="s">
        <v>1415</v>
      </c>
      <c r="D772" s="6" t="s">
        <v>66</v>
      </c>
      <c r="E772" s="6" t="s">
        <v>3231</v>
      </c>
      <c r="F772" s="6" t="s">
        <v>3229</v>
      </c>
      <c r="G772" s="8">
        <v>1.3762700000000001</v>
      </c>
      <c r="H772" s="8">
        <v>6.1863099999999998</v>
      </c>
      <c r="I772" s="6" t="s">
        <v>2497</v>
      </c>
      <c r="J772" s="6" t="s">
        <v>2459</v>
      </c>
      <c r="K772" s="6" t="s">
        <v>2460</v>
      </c>
      <c r="L772" s="6"/>
      <c r="M772" s="6"/>
      <c r="N772" s="6" t="s">
        <v>3268</v>
      </c>
      <c r="O772" s="6" t="s">
        <v>1206</v>
      </c>
      <c r="P772" s="6"/>
      <c r="Q772" s="6" t="str">
        <f>VLOOKUP(Tableau1[[#This Row],[SITES NAMES]],[1]Feuil1!$1:$1048576,9,FALSE)</f>
        <v>YES</v>
      </c>
      <c r="R772" s="6" t="str">
        <f>VLOOKUP(Tableau1[[#This Row],[SITES NAMES]],[1]Feuil1!$1:$1048576,10,FALSE)</f>
        <v>NO</v>
      </c>
      <c r="S772" s="6" t="s">
        <v>2461</v>
      </c>
      <c r="T772" s="6" t="s">
        <v>2462</v>
      </c>
      <c r="U772" s="6" t="s">
        <v>2463</v>
      </c>
      <c r="V772" s="6" t="s">
        <v>2472</v>
      </c>
      <c r="W772" s="6" t="s">
        <v>2476</v>
      </c>
      <c r="X772" s="8"/>
      <c r="Y772" s="6" t="s">
        <v>3238</v>
      </c>
      <c r="Z772" s="6"/>
      <c r="AA772" s="35" t="s">
        <v>3621</v>
      </c>
      <c r="AB772" s="35" t="s">
        <v>3608</v>
      </c>
      <c r="AC772" s="35" t="s">
        <v>3622</v>
      </c>
      <c r="AD772" s="35" t="s">
        <v>3610</v>
      </c>
      <c r="AE772" s="35" t="s">
        <v>3610</v>
      </c>
      <c r="AF772" s="35" t="s">
        <v>3611</v>
      </c>
      <c r="AG772" s="35" t="s">
        <v>3612</v>
      </c>
      <c r="AH772" s="35" t="s">
        <v>3623</v>
      </c>
    </row>
    <row r="773" spans="1:34" ht="14.45" hidden="1" customHeight="1" x14ac:dyDescent="0.3">
      <c r="A773" s="6" t="s">
        <v>34</v>
      </c>
      <c r="B773" s="7">
        <v>0</v>
      </c>
      <c r="C773" s="6" t="s">
        <v>33</v>
      </c>
      <c r="D773" s="6" t="s">
        <v>5</v>
      </c>
      <c r="E773" s="6" t="s">
        <v>6</v>
      </c>
      <c r="F773" s="6" t="s">
        <v>3229</v>
      </c>
      <c r="G773" s="8">
        <v>1.36174</v>
      </c>
      <c r="H773" s="8">
        <v>6.2907999999999999</v>
      </c>
      <c r="I773" s="6" t="s">
        <v>2477</v>
      </c>
      <c r="J773" s="6" t="s">
        <v>2459</v>
      </c>
      <c r="K773" s="6" t="s">
        <v>2468</v>
      </c>
      <c r="L773" s="6" t="s">
        <v>3529</v>
      </c>
      <c r="M773" s="6"/>
      <c r="N773" s="6" t="s">
        <v>2468</v>
      </c>
      <c r="O773" s="6" t="s">
        <v>7</v>
      </c>
      <c r="P773" s="6" t="str">
        <f>VLOOKUP(Tableau1[[#This Row],[SITES NAMES]],[1]Feuil1!$1:$1048576,8,FALSE)</f>
        <v>NOK</v>
      </c>
      <c r="Q773" s="6" t="str">
        <f>VLOOKUP(Tableau1[[#This Row],[SITES NAMES]],[1]Feuil1!$1:$1048576,9,FALSE)</f>
        <v>NO</v>
      </c>
      <c r="R773" s="6" t="str">
        <f>VLOOKUP(Tableau1[[#This Row],[SITES NAMES]],[1]Feuil1!$1:$1048576,10,FALSE)</f>
        <v>NO</v>
      </c>
      <c r="S773" s="6" t="s">
        <v>2461</v>
      </c>
      <c r="T773" s="6" t="s">
        <v>2462</v>
      </c>
      <c r="U773" s="6" t="s">
        <v>2463</v>
      </c>
      <c r="V773" s="6" t="s">
        <v>2472</v>
      </c>
      <c r="W773" s="6" t="s">
        <v>2473</v>
      </c>
      <c r="X773" s="8" t="s">
        <v>2489</v>
      </c>
      <c r="Y773" s="6" t="s">
        <v>3241</v>
      </c>
      <c r="Z773" t="e">
        <f>VLOOKUP(Tableau1[[#This Row],[SITES NAMES]],#REF!,3,FALSE)</f>
        <v>#REF!</v>
      </c>
      <c r="AA773" s="37" t="s">
        <v>3626</v>
      </c>
      <c r="AB773" s="38" t="s">
        <v>3627</v>
      </c>
      <c r="AC773" s="37" t="s">
        <v>3633</v>
      </c>
      <c r="AD773" s="37" t="s">
        <v>3628</v>
      </c>
      <c r="AE773" s="37" t="s">
        <v>3629</v>
      </c>
      <c r="AF773" s="39" t="s">
        <v>3630</v>
      </c>
      <c r="AG773" s="37" t="s">
        <v>3631</v>
      </c>
      <c r="AH773" s="37" t="s">
        <v>3632</v>
      </c>
    </row>
    <row r="774" spans="1:34" ht="14.45" hidden="1" customHeight="1" x14ac:dyDescent="0.3">
      <c r="A774" s="6" t="s">
        <v>2103</v>
      </c>
      <c r="B774" s="7">
        <v>44721</v>
      </c>
      <c r="C774" s="6" t="s">
        <v>2102</v>
      </c>
      <c r="D774" s="6" t="s">
        <v>132</v>
      </c>
      <c r="E774" s="6" t="s">
        <v>2049</v>
      </c>
      <c r="F774" s="6" t="s">
        <v>3229</v>
      </c>
      <c r="G774" s="8">
        <v>1.5747499899999999</v>
      </c>
      <c r="H774" s="8">
        <v>7.2580499999999999</v>
      </c>
      <c r="I774" s="6" t="s">
        <v>2477</v>
      </c>
      <c r="J774" s="6" t="s">
        <v>2459</v>
      </c>
      <c r="K774" s="6" t="s">
        <v>2468</v>
      </c>
      <c r="L774" s="6" t="s">
        <v>3530</v>
      </c>
      <c r="M774" s="6"/>
      <c r="N774" s="6" t="s">
        <v>2468</v>
      </c>
      <c r="O774" s="6" t="s">
        <v>40</v>
      </c>
      <c r="P774" s="6" t="str">
        <f>VLOOKUP(Tableau1[[#This Row],[SITES NAMES]],[1]Feuil1!$1:$1048576,8,FALSE)</f>
        <v>OK</v>
      </c>
      <c r="Q774" s="6" t="str">
        <f>VLOOKUP(Tableau1[[#This Row],[SITES NAMES]],[1]Feuil1!$1:$1048576,9,FALSE)</f>
        <v>NO</v>
      </c>
      <c r="R774" s="6" t="str">
        <f>VLOOKUP(Tableau1[[#This Row],[SITES NAMES]],[1]Feuil1!$1:$1048576,10,FALSE)</f>
        <v>YES</v>
      </c>
      <c r="S774" s="6" t="s">
        <v>2469</v>
      </c>
      <c r="T774" s="6" t="s">
        <v>2470</v>
      </c>
      <c r="U774" s="6" t="s">
        <v>2471</v>
      </c>
      <c r="V774" s="6" t="s">
        <v>2472</v>
      </c>
      <c r="W774" s="6" t="s">
        <v>2473</v>
      </c>
      <c r="X774" s="8" t="s">
        <v>3114</v>
      </c>
      <c r="Y774" s="6" t="s">
        <v>3238</v>
      </c>
      <c r="Z774" s="6" t="s">
        <v>3257</v>
      </c>
      <c r="AA774" s="45" t="s">
        <v>3656</v>
      </c>
      <c r="AB774" s="39" t="s">
        <v>3644</v>
      </c>
      <c r="AC774" s="45" t="s">
        <v>3657</v>
      </c>
      <c r="AD774" s="37" t="s">
        <v>3658</v>
      </c>
      <c r="AE774" s="37" t="s">
        <v>3647</v>
      </c>
      <c r="AF774" s="39" t="s">
        <v>3648</v>
      </c>
      <c r="AG774" s="37" t="s">
        <v>3649</v>
      </c>
      <c r="AH774" s="37" t="s">
        <v>3659</v>
      </c>
    </row>
    <row r="775" spans="1:34" ht="14.45" hidden="1" customHeight="1" x14ac:dyDescent="0.25">
      <c r="A775" s="6" t="s">
        <v>1418</v>
      </c>
      <c r="B775" s="7">
        <v>0</v>
      </c>
      <c r="C775" s="6" t="s">
        <v>1417</v>
      </c>
      <c r="D775" s="6" t="s">
        <v>66</v>
      </c>
      <c r="E775" s="6" t="s">
        <v>3231</v>
      </c>
      <c r="F775" s="6" t="s">
        <v>3229</v>
      </c>
      <c r="G775" s="8">
        <v>1.2895779999999999</v>
      </c>
      <c r="H775" s="8">
        <v>6.169905</v>
      </c>
      <c r="I775" s="6" t="s">
        <v>2497</v>
      </c>
      <c r="J775" s="6" t="s">
        <v>2459</v>
      </c>
      <c r="K775" s="6" t="s">
        <v>2460</v>
      </c>
      <c r="L775" s="6"/>
      <c r="M775" s="6"/>
      <c r="N775" s="6" t="s">
        <v>3268</v>
      </c>
      <c r="O775" s="6" t="s">
        <v>7</v>
      </c>
      <c r="P775" s="6" t="str">
        <f>VLOOKUP(Tableau1[[#This Row],[SITES NAMES]],[1]Feuil1!$1:$1048576,8,FALSE)</f>
        <v>OK</v>
      </c>
      <c r="Q775" s="6" t="str">
        <f>VLOOKUP(Tableau1[[#This Row],[SITES NAMES]],[1]Feuil1!$1:$1048576,9,FALSE)</f>
        <v>NO</v>
      </c>
      <c r="R775" s="6" t="str">
        <f>VLOOKUP(Tableau1[[#This Row],[SITES NAMES]],[1]Feuil1!$1:$1048576,10,FALSE)</f>
        <v>NO</v>
      </c>
      <c r="S775" s="6" t="s">
        <v>2469</v>
      </c>
      <c r="T775" s="6" t="s">
        <v>2470</v>
      </c>
      <c r="U775" s="6" t="s">
        <v>2471</v>
      </c>
      <c r="V775" s="6" t="s">
        <v>2464</v>
      </c>
      <c r="W775" s="6" t="s">
        <v>2476</v>
      </c>
      <c r="X775" s="8" t="s">
        <v>2945</v>
      </c>
      <c r="Y775" s="6" t="s">
        <v>3238</v>
      </c>
      <c r="Z775" s="6"/>
      <c r="AA775" s="35" t="s">
        <v>3621</v>
      </c>
      <c r="AB775" s="35" t="s">
        <v>3608</v>
      </c>
      <c r="AC775" s="35" t="s">
        <v>3622</v>
      </c>
      <c r="AD775" s="35" t="s">
        <v>3610</v>
      </c>
      <c r="AE775" s="35" t="s">
        <v>3610</v>
      </c>
      <c r="AF775" s="35" t="s">
        <v>3611</v>
      </c>
      <c r="AG775" s="35" t="s">
        <v>3612</v>
      </c>
      <c r="AH775" s="35" t="s">
        <v>3623</v>
      </c>
    </row>
    <row r="776" spans="1:34" ht="14.45" hidden="1" customHeight="1" x14ac:dyDescent="0.25">
      <c r="A776" s="6" t="s">
        <v>1322</v>
      </c>
      <c r="B776" s="7">
        <v>46022</v>
      </c>
      <c r="C776" s="6" t="s">
        <v>1321</v>
      </c>
      <c r="D776" s="6" t="s">
        <v>66</v>
      </c>
      <c r="E776" s="6" t="s">
        <v>3231</v>
      </c>
      <c r="F776" s="6" t="s">
        <v>3229</v>
      </c>
      <c r="G776" s="8">
        <v>1.2961180000000001</v>
      </c>
      <c r="H776" s="8">
        <v>6.1717029999999999</v>
      </c>
      <c r="I776" s="17" t="s">
        <v>2497</v>
      </c>
      <c r="J776" s="6" t="s">
        <v>2459</v>
      </c>
      <c r="K776" s="6" t="s">
        <v>2468</v>
      </c>
      <c r="L776" s="6"/>
      <c r="M776" s="6"/>
      <c r="N776" s="6" t="s">
        <v>2468</v>
      </c>
      <c r="O776" s="6" t="s">
        <v>7</v>
      </c>
      <c r="P776" s="6"/>
      <c r="Q776" s="6"/>
      <c r="R776" s="6"/>
      <c r="S776" s="6"/>
      <c r="T776" s="6"/>
      <c r="U776" s="6"/>
      <c r="V776" s="6"/>
      <c r="W776" s="6"/>
      <c r="X776" s="8"/>
      <c r="Y776" s="6" t="s">
        <v>3238</v>
      </c>
      <c r="Z776" s="6"/>
      <c r="AA776" s="35" t="s">
        <v>3621</v>
      </c>
      <c r="AB776" s="35" t="s">
        <v>3608</v>
      </c>
      <c r="AC776" s="35" t="s">
        <v>3622</v>
      </c>
      <c r="AD776" s="35" t="s">
        <v>3610</v>
      </c>
      <c r="AE776" s="35" t="s">
        <v>3610</v>
      </c>
      <c r="AF776" s="35" t="s">
        <v>3611</v>
      </c>
      <c r="AG776" s="35" t="s">
        <v>3612</v>
      </c>
      <c r="AH776" s="35" t="s">
        <v>3623</v>
      </c>
    </row>
    <row r="777" spans="1:34" ht="14.45" hidden="1" customHeight="1" x14ac:dyDescent="0.3">
      <c r="A777" s="6" t="s">
        <v>2105</v>
      </c>
      <c r="B777" s="7">
        <v>0</v>
      </c>
      <c r="C777" s="6" t="s">
        <v>2104</v>
      </c>
      <c r="D777" s="6" t="s">
        <v>132</v>
      </c>
      <c r="E777" s="6" t="s">
        <v>2049</v>
      </c>
      <c r="F777" s="6" t="s">
        <v>3229</v>
      </c>
      <c r="G777" s="8">
        <v>1.2990919999999999</v>
      </c>
      <c r="H777" s="8">
        <v>6.9703210000000002</v>
      </c>
      <c r="I777" s="6" t="s">
        <v>2486</v>
      </c>
      <c r="J777" s="6" t="s">
        <v>2459</v>
      </c>
      <c r="K777" s="6" t="s">
        <v>2460</v>
      </c>
      <c r="L777" s="6"/>
      <c r="M777" s="6"/>
      <c r="N777" s="6" t="s">
        <v>3268</v>
      </c>
      <c r="O777" s="6" t="s">
        <v>40</v>
      </c>
      <c r="P777" s="6" t="str">
        <f>VLOOKUP(Tableau1[[#This Row],[SITES NAMES]],[1]Feuil1!$1:$1048576,8,FALSE)</f>
        <v>nok</v>
      </c>
      <c r="Q777" s="6" t="str">
        <f>VLOOKUP(Tableau1[[#This Row],[SITES NAMES]],[1]Feuil1!$1:$1048576,9,FALSE)</f>
        <v>NO</v>
      </c>
      <c r="R777" s="6" t="str">
        <f>VLOOKUP(Tableau1[[#This Row],[SITES NAMES]],[1]Feuil1!$1:$1048576,10,FALSE)</f>
        <v>NO</v>
      </c>
      <c r="S777" s="6" t="s">
        <v>2461</v>
      </c>
      <c r="T777" s="6" t="s">
        <v>2462</v>
      </c>
      <c r="U777" s="6" t="s">
        <v>2463</v>
      </c>
      <c r="V777" s="6" t="s">
        <v>2464</v>
      </c>
      <c r="W777" s="6" t="s">
        <v>2473</v>
      </c>
      <c r="X777" s="8" t="s">
        <v>3115</v>
      </c>
      <c r="Y777" s="6" t="s">
        <v>3238</v>
      </c>
      <c r="Z777" s="6" t="s">
        <v>3257</v>
      </c>
      <c r="AA777" s="45" t="s">
        <v>3656</v>
      </c>
      <c r="AB777" s="39" t="s">
        <v>3644</v>
      </c>
      <c r="AC777" s="45" t="s">
        <v>3657</v>
      </c>
      <c r="AD777" s="37" t="s">
        <v>3658</v>
      </c>
      <c r="AE777" s="37" t="s">
        <v>3647</v>
      </c>
      <c r="AF777" s="39" t="s">
        <v>3648</v>
      </c>
      <c r="AG777" s="37" t="s">
        <v>3649</v>
      </c>
      <c r="AH777" s="37" t="s">
        <v>3659</v>
      </c>
    </row>
    <row r="778" spans="1:34" ht="14.45" hidden="1" customHeight="1" x14ac:dyDescent="0.3">
      <c r="A778" s="6" t="s">
        <v>2316</v>
      </c>
      <c r="B778" s="7">
        <v>0</v>
      </c>
      <c r="C778" s="6" t="s">
        <v>2315</v>
      </c>
      <c r="D778" s="6" t="s">
        <v>320</v>
      </c>
      <c r="E778" s="6" t="s">
        <v>2274</v>
      </c>
      <c r="F778" s="6" t="s">
        <v>3229</v>
      </c>
      <c r="G778" s="8">
        <v>1.4177599999999999</v>
      </c>
      <c r="H778" s="8">
        <v>9.20702</v>
      </c>
      <c r="I778" s="6" t="s">
        <v>2486</v>
      </c>
      <c r="J778" s="6" t="s">
        <v>2459</v>
      </c>
      <c r="K778" s="6" t="s">
        <v>2468</v>
      </c>
      <c r="L778" s="6" t="s">
        <v>3392</v>
      </c>
      <c r="M778" s="6"/>
      <c r="N778" s="6" t="s">
        <v>2468</v>
      </c>
      <c r="O778" s="6" t="s">
        <v>7</v>
      </c>
      <c r="P778" s="6" t="str">
        <f>VLOOKUP(Tableau1[[#This Row],[SITES NAMES]],[1]Feuil1!$1:$1048576,8,FALSE)</f>
        <v>OK</v>
      </c>
      <c r="Q778" s="6" t="str">
        <f>VLOOKUP(Tableau1[[#This Row],[SITES NAMES]],[1]Feuil1!$1:$1048576,9,FALSE)</f>
        <v>NO</v>
      </c>
      <c r="R778" s="6" t="str">
        <f>VLOOKUP(Tableau1[[#This Row],[SITES NAMES]],[1]Feuil1!$1:$1048576,10,FALSE)</f>
        <v>NO</v>
      </c>
      <c r="S778" s="6" t="s">
        <v>2461</v>
      </c>
      <c r="T778" s="6" t="s">
        <v>2470</v>
      </c>
      <c r="U778" s="6" t="s">
        <v>2463</v>
      </c>
      <c r="V778" s="6" t="s">
        <v>2472</v>
      </c>
      <c r="W778" s="6" t="s">
        <v>2473</v>
      </c>
      <c r="X778" s="8" t="s">
        <v>3195</v>
      </c>
      <c r="Y778" s="6" t="s">
        <v>3238</v>
      </c>
      <c r="Z778" s="6" t="s">
        <v>3254</v>
      </c>
      <c r="AA778" s="37" t="s">
        <v>3678</v>
      </c>
      <c r="AB778" s="39" t="s">
        <v>3665</v>
      </c>
      <c r="AC778" s="37" t="s">
        <v>3679</v>
      </c>
      <c r="AD778" s="37" t="s">
        <v>3678</v>
      </c>
      <c r="AE778" s="37" t="s">
        <v>3680</v>
      </c>
      <c r="AF778" s="39" t="s">
        <v>3676</v>
      </c>
      <c r="AG778" s="37" t="s">
        <v>3670</v>
      </c>
      <c r="AH778" s="37" t="s">
        <v>3681</v>
      </c>
    </row>
    <row r="779" spans="1:34" ht="14.45" hidden="1" customHeight="1" x14ac:dyDescent="0.3">
      <c r="A779" s="6" t="s">
        <v>787</v>
      </c>
      <c r="B779" s="7">
        <v>43897</v>
      </c>
      <c r="C779" s="6" t="s">
        <v>786</v>
      </c>
      <c r="D779" s="6" t="s">
        <v>657</v>
      </c>
      <c r="E779" s="6" t="s">
        <v>758</v>
      </c>
      <c r="F779" s="6" t="s">
        <v>3229</v>
      </c>
      <c r="G779" s="8">
        <v>0.66646700000000003</v>
      </c>
      <c r="H779" s="8">
        <v>9.9564249999999994</v>
      </c>
      <c r="I779" s="6" t="s">
        <v>2477</v>
      </c>
      <c r="J779" s="6" t="s">
        <v>2459</v>
      </c>
      <c r="K779" s="6" t="s">
        <v>2468</v>
      </c>
      <c r="L779" s="6" t="s">
        <v>3365</v>
      </c>
      <c r="M779" s="6"/>
      <c r="N779" s="6" t="s">
        <v>2468</v>
      </c>
      <c r="O779" s="6" t="s">
        <v>40</v>
      </c>
      <c r="P779" s="6" t="str">
        <f>VLOOKUP(Tableau1[[#This Row],[SITES NAMES]],[1]Feuil1!$1:$1048576,8,FALSE)</f>
        <v>OK</v>
      </c>
      <c r="Q779" s="6" t="str">
        <f>VLOOKUP(Tableau1[[#This Row],[SITES NAMES]],[1]Feuil1!$1:$1048576,9,FALSE)</f>
        <v>NO</v>
      </c>
      <c r="R779" s="6" t="str">
        <f>VLOOKUP(Tableau1[[#This Row],[SITES NAMES]],[1]Feuil1!$1:$1048576,10,FALSE)</f>
        <v>NO</v>
      </c>
      <c r="S779" s="6" t="s">
        <v>2469</v>
      </c>
      <c r="T779" s="6" t="s">
        <v>2470</v>
      </c>
      <c r="U779" s="6" t="s">
        <v>2480</v>
      </c>
      <c r="V779" s="6" t="s">
        <v>2472</v>
      </c>
      <c r="W779" s="6" t="s">
        <v>2473</v>
      </c>
      <c r="X779" s="8" t="s">
        <v>2765</v>
      </c>
      <c r="Y779" s="6" t="s">
        <v>3239</v>
      </c>
      <c r="Z779" s="6" t="s">
        <v>3253</v>
      </c>
      <c r="AA779" s="37" t="s">
        <v>3687</v>
      </c>
      <c r="AB779" s="38" t="s">
        <v>3683</v>
      </c>
      <c r="AC779" s="37" t="s">
        <v>3688</v>
      </c>
      <c r="AD779" s="37" t="s">
        <v>3687</v>
      </c>
      <c r="AE779" s="37" t="s">
        <v>3689</v>
      </c>
      <c r="AF779" s="39" t="s">
        <v>3690</v>
      </c>
      <c r="AG779" s="40" t="s">
        <v>3685</v>
      </c>
      <c r="AH779" s="37" t="s">
        <v>3691</v>
      </c>
    </row>
    <row r="780" spans="1:34" ht="14.45" hidden="1" customHeight="1" x14ac:dyDescent="0.3">
      <c r="A780" s="6" t="s">
        <v>608</v>
      </c>
      <c r="B780" s="7">
        <v>43901</v>
      </c>
      <c r="C780" s="6" t="s">
        <v>607</v>
      </c>
      <c r="D780" s="6" t="s">
        <v>132</v>
      </c>
      <c r="E780" s="6" t="s">
        <v>565</v>
      </c>
      <c r="F780" s="6" t="s">
        <v>3229</v>
      </c>
      <c r="G780" s="8">
        <v>1.4185989999999999</v>
      </c>
      <c r="H780" s="8">
        <v>7.8441539999999996</v>
      </c>
      <c r="I780" s="6" t="s">
        <v>2477</v>
      </c>
      <c r="J780" s="6" t="s">
        <v>2459</v>
      </c>
      <c r="K780" s="6" t="s">
        <v>2468</v>
      </c>
      <c r="L780" s="6" t="s">
        <v>3366</v>
      </c>
      <c r="M780" s="6"/>
      <c r="N780" s="6" t="s">
        <v>2468</v>
      </c>
      <c r="O780" s="6" t="s">
        <v>40</v>
      </c>
      <c r="P780" s="6" t="str">
        <f>VLOOKUP(Tableau1[[#This Row],[SITES NAMES]],[1]Feuil1!$1:$1048576,8,FALSE)</f>
        <v>OK</v>
      </c>
      <c r="Q780" s="6" t="str">
        <f>VLOOKUP(Tableau1[[#This Row],[SITES NAMES]],[1]Feuil1!$1:$1048576,9,FALSE)</f>
        <v>NO</v>
      </c>
      <c r="R780" s="6" t="str">
        <f>VLOOKUP(Tableau1[[#This Row],[SITES NAMES]],[1]Feuil1!$1:$1048576,10,FALSE)</f>
        <v>YES</v>
      </c>
      <c r="S780" s="6" t="s">
        <v>2461</v>
      </c>
      <c r="T780" s="6" t="s">
        <v>2470</v>
      </c>
      <c r="U780" s="6" t="s">
        <v>2463</v>
      </c>
      <c r="V780" s="6" t="s">
        <v>2472</v>
      </c>
      <c r="W780" s="6" t="s">
        <v>2473</v>
      </c>
      <c r="X780" s="8" t="s">
        <v>2695</v>
      </c>
      <c r="Y780" s="6" t="s">
        <v>3238</v>
      </c>
      <c r="Z780" s="6"/>
      <c r="AA780" s="37" t="s">
        <v>3660</v>
      </c>
      <c r="AB780" s="39" t="s">
        <v>3644</v>
      </c>
      <c r="AC780" s="37" t="s">
        <v>3661</v>
      </c>
      <c r="AD780" s="39" t="s">
        <v>3646</v>
      </c>
      <c r="AE780" s="39" t="s">
        <v>3647</v>
      </c>
      <c r="AF780" s="39" t="s">
        <v>3662</v>
      </c>
      <c r="AG780" s="37" t="s">
        <v>3649</v>
      </c>
      <c r="AH780" s="37" t="s">
        <v>3663</v>
      </c>
    </row>
    <row r="781" spans="1:34" ht="14.45" hidden="1" customHeight="1" x14ac:dyDescent="0.3">
      <c r="A781" s="6" t="s">
        <v>871</v>
      </c>
      <c r="B781" s="7">
        <v>0</v>
      </c>
      <c r="C781" s="6" t="s">
        <v>870</v>
      </c>
      <c r="D781" s="6" t="s">
        <v>657</v>
      </c>
      <c r="E781" s="6" t="s">
        <v>3237</v>
      </c>
      <c r="F781" s="6" t="s">
        <v>3229</v>
      </c>
      <c r="G781" s="8">
        <v>1.1845000000000001</v>
      </c>
      <c r="H781" s="8">
        <v>9.5852500000000003</v>
      </c>
      <c r="I781" s="6" t="s">
        <v>2497</v>
      </c>
      <c r="J781" s="6" t="s">
        <v>2459</v>
      </c>
      <c r="K781" s="6" t="s">
        <v>2460</v>
      </c>
      <c r="L781" s="6"/>
      <c r="M781" s="6"/>
      <c r="N781" s="6" t="s">
        <v>3268</v>
      </c>
      <c r="O781" s="6" t="s">
        <v>7</v>
      </c>
      <c r="P781" s="6" t="str">
        <f>VLOOKUP(Tableau1[[#This Row],[SITES NAMES]],[1]Feuil1!$1:$1048576,8,FALSE)</f>
        <v>NOK</v>
      </c>
      <c r="Q781" s="6" t="str">
        <f>VLOOKUP(Tableau1[[#This Row],[SITES NAMES]],[1]Feuil1!$1:$1048576,9,FALSE)</f>
        <v>NO</v>
      </c>
      <c r="R781" s="6" t="str">
        <f>VLOOKUP(Tableau1[[#This Row],[SITES NAMES]],[1]Feuil1!$1:$1048576,10,FALSE)</f>
        <v>NO</v>
      </c>
      <c r="S781" s="6" t="s">
        <v>2461</v>
      </c>
      <c r="T781" s="6" t="s">
        <v>2462</v>
      </c>
      <c r="U781" s="6" t="s">
        <v>2463</v>
      </c>
      <c r="V781" s="6" t="s">
        <v>2464</v>
      </c>
      <c r="W781" s="6" t="s">
        <v>2465</v>
      </c>
      <c r="X781" s="8"/>
      <c r="Y781" s="6" t="s">
        <v>3239</v>
      </c>
      <c r="Z781" s="6" t="s">
        <v>3253</v>
      </c>
      <c r="AA781" s="37" t="s">
        <v>3692</v>
      </c>
      <c r="AB781" s="38" t="s">
        <v>3683</v>
      </c>
      <c r="AC781" s="39" t="s">
        <v>3693</v>
      </c>
      <c r="AD781" s="39" t="s">
        <v>3694</v>
      </c>
      <c r="AE781" s="37" t="s">
        <v>3695</v>
      </c>
      <c r="AF781" s="39" t="s">
        <v>3696</v>
      </c>
      <c r="AG781" s="40" t="s">
        <v>3685</v>
      </c>
      <c r="AH781" s="37" t="s">
        <v>3697</v>
      </c>
    </row>
    <row r="782" spans="1:34" ht="14.45" hidden="1" customHeight="1" x14ac:dyDescent="0.3">
      <c r="A782" s="6" t="s">
        <v>873</v>
      </c>
      <c r="B782" s="7">
        <v>0</v>
      </c>
      <c r="C782" s="6" t="s">
        <v>872</v>
      </c>
      <c r="D782" s="6" t="s">
        <v>657</v>
      </c>
      <c r="E782" s="6" t="s">
        <v>3237</v>
      </c>
      <c r="F782" s="6" t="s">
        <v>3229</v>
      </c>
      <c r="G782" s="8">
        <v>1.1756850000000001</v>
      </c>
      <c r="H782" s="8">
        <v>9.5829090000000008</v>
      </c>
      <c r="I782" s="6" t="s">
        <v>2497</v>
      </c>
      <c r="J782" s="6" t="s">
        <v>2459</v>
      </c>
      <c r="K782" s="6" t="s">
        <v>2460</v>
      </c>
      <c r="L782" s="6"/>
      <c r="M782" s="6"/>
      <c r="N782" s="6" t="s">
        <v>3268</v>
      </c>
      <c r="O782" s="6" t="s">
        <v>7</v>
      </c>
      <c r="P782" s="6" t="str">
        <f>VLOOKUP(Tableau1[[#This Row],[SITES NAMES]],[1]Feuil1!$1:$1048576,8,FALSE)</f>
        <v>OK</v>
      </c>
      <c r="Q782" s="6" t="str">
        <f>VLOOKUP(Tableau1[[#This Row],[SITES NAMES]],[1]Feuil1!$1:$1048576,9,FALSE)</f>
        <v>NO</v>
      </c>
      <c r="R782" s="6" t="str">
        <f>VLOOKUP(Tableau1[[#This Row],[SITES NAMES]],[1]Feuil1!$1:$1048576,10,FALSE)</f>
        <v>NO</v>
      </c>
      <c r="S782" s="6" t="s">
        <v>2469</v>
      </c>
      <c r="T782" s="6" t="s">
        <v>2470</v>
      </c>
      <c r="U782" s="6" t="s">
        <v>2480</v>
      </c>
      <c r="V782" s="6" t="s">
        <v>2464</v>
      </c>
      <c r="W782" s="6" t="s">
        <v>2465</v>
      </c>
      <c r="X782" s="8">
        <v>70996973</v>
      </c>
      <c r="Y782" s="6" t="s">
        <v>3239</v>
      </c>
      <c r="Z782" s="6" t="s">
        <v>3253</v>
      </c>
      <c r="AA782" s="37" t="s">
        <v>3692</v>
      </c>
      <c r="AB782" s="38" t="s">
        <v>3683</v>
      </c>
      <c r="AC782" s="39" t="s">
        <v>3693</v>
      </c>
      <c r="AD782" s="39" t="s">
        <v>3694</v>
      </c>
      <c r="AE782" s="37" t="s">
        <v>3695</v>
      </c>
      <c r="AF782" s="39" t="s">
        <v>3696</v>
      </c>
      <c r="AG782" s="40" t="s">
        <v>3685</v>
      </c>
      <c r="AH782" s="37" t="s">
        <v>3697</v>
      </c>
    </row>
    <row r="783" spans="1:34" ht="14.45" hidden="1" customHeight="1" x14ac:dyDescent="0.3">
      <c r="A783" s="6" t="s">
        <v>2149</v>
      </c>
      <c r="B783" s="7">
        <v>0</v>
      </c>
      <c r="C783" s="6" t="s">
        <v>2148</v>
      </c>
      <c r="D783" s="6" t="s">
        <v>320</v>
      </c>
      <c r="E783" s="6" t="s">
        <v>2141</v>
      </c>
      <c r="F783" s="6" t="s">
        <v>3229</v>
      </c>
      <c r="G783" s="8">
        <v>1.07622</v>
      </c>
      <c r="H783" s="8">
        <v>8.8289500000000007</v>
      </c>
      <c r="I783" s="6" t="s">
        <v>2486</v>
      </c>
      <c r="J783" s="6" t="s">
        <v>2459</v>
      </c>
      <c r="K783" s="6" t="s">
        <v>2460</v>
      </c>
      <c r="L783" s="6"/>
      <c r="M783" s="6"/>
      <c r="N783" s="6" t="s">
        <v>3268</v>
      </c>
      <c r="O783" s="6" t="s">
        <v>7</v>
      </c>
      <c r="P783" s="6" t="str">
        <f>VLOOKUP(Tableau1[[#This Row],[SITES NAMES]],[1]Feuil1!$1:$1048576,8,FALSE)</f>
        <v>OK</v>
      </c>
      <c r="Q783" s="6" t="str">
        <f>VLOOKUP(Tableau1[[#This Row],[SITES NAMES]],[1]Feuil1!$1:$1048576,9,FALSE)</f>
        <v>NO</v>
      </c>
      <c r="R783" s="6" t="str">
        <f>VLOOKUP(Tableau1[[#This Row],[SITES NAMES]],[1]Feuil1!$1:$1048576,10,FALSE)</f>
        <v>NO</v>
      </c>
      <c r="S783" s="6" t="s">
        <v>2469</v>
      </c>
      <c r="T783" s="6" t="s">
        <v>2470</v>
      </c>
      <c r="U783" s="6" t="s">
        <v>2471</v>
      </c>
      <c r="V783" s="6" t="s">
        <v>2478</v>
      </c>
      <c r="W783" s="6" t="s">
        <v>2473</v>
      </c>
      <c r="X783" s="8" t="s">
        <v>3136</v>
      </c>
      <c r="Y783" s="6" t="s">
        <v>3238</v>
      </c>
      <c r="Z783" s="6" t="s">
        <v>3254</v>
      </c>
      <c r="AA783" s="37" t="s">
        <v>3672</v>
      </c>
      <c r="AB783" s="39" t="s">
        <v>3665</v>
      </c>
      <c r="AC783" s="37" t="s">
        <v>3673</v>
      </c>
      <c r="AD783" s="37" t="s">
        <v>3674</v>
      </c>
      <c r="AE783" s="37" t="s">
        <v>3675</v>
      </c>
      <c r="AF783" s="39" t="s">
        <v>3676</v>
      </c>
      <c r="AG783" s="37" t="s">
        <v>3670</v>
      </c>
      <c r="AH783" s="37" t="s">
        <v>3677</v>
      </c>
    </row>
    <row r="784" spans="1:34" ht="14.45" hidden="1" customHeight="1" x14ac:dyDescent="0.3">
      <c r="A784" s="6" t="s">
        <v>420</v>
      </c>
      <c r="B784" s="7">
        <v>43889</v>
      </c>
      <c r="C784" s="6" t="s">
        <v>419</v>
      </c>
      <c r="D784" s="6" t="s">
        <v>395</v>
      </c>
      <c r="E784" s="6" t="s">
        <v>396</v>
      </c>
      <c r="F784" s="6" t="s">
        <v>3229</v>
      </c>
      <c r="G784" s="8">
        <v>0.51358999999999999</v>
      </c>
      <c r="H784" s="8">
        <v>10.801299999999999</v>
      </c>
      <c r="I784" s="6" t="s">
        <v>2477</v>
      </c>
      <c r="J784" s="6" t="s">
        <v>2459</v>
      </c>
      <c r="K784" s="6" t="s">
        <v>2468</v>
      </c>
      <c r="L784" s="6"/>
      <c r="M784" s="6"/>
      <c r="N784" s="6" t="s">
        <v>2468</v>
      </c>
      <c r="O784" s="6" t="s">
        <v>40</v>
      </c>
      <c r="P784" s="6" t="str">
        <f>VLOOKUP(Tableau1[[#This Row],[SITES NAMES]],[1]Feuil1!$1:$1048576,8,FALSE)</f>
        <v>NOK</v>
      </c>
      <c r="Q784" s="6" t="str">
        <f>VLOOKUP(Tableau1[[#This Row],[SITES NAMES]],[1]Feuil1!$1:$1048576,9,FALSE)</f>
        <v>NO</v>
      </c>
      <c r="R784" s="6" t="str">
        <f>VLOOKUP(Tableau1[[#This Row],[SITES NAMES]],[1]Feuil1!$1:$1048576,10,FALSE)</f>
        <v>YES</v>
      </c>
      <c r="S784" s="6" t="s">
        <v>2469</v>
      </c>
      <c r="T784" s="6" t="s">
        <v>2470</v>
      </c>
      <c r="U784" s="6" t="s">
        <v>2480</v>
      </c>
      <c r="V784" s="6" t="s">
        <v>2472</v>
      </c>
      <c r="W784" s="6" t="s">
        <v>2473</v>
      </c>
      <c r="X784" s="8" t="s">
        <v>2628</v>
      </c>
      <c r="Y784" s="6" t="s">
        <v>3240</v>
      </c>
      <c r="Z784" s="6" t="s">
        <v>3255</v>
      </c>
      <c r="AA784" s="37" t="s">
        <v>3704</v>
      </c>
      <c r="AB784" s="39" t="s">
        <v>3705</v>
      </c>
      <c r="AC784" s="37" t="s">
        <v>3706</v>
      </c>
      <c r="AD784" s="37" t="s">
        <v>3707</v>
      </c>
      <c r="AE784" s="37" t="s">
        <v>3708</v>
      </c>
      <c r="AF784" s="37" t="s">
        <v>3709</v>
      </c>
      <c r="AG784" s="46" t="s">
        <v>3710</v>
      </c>
      <c r="AH784" s="37" t="s">
        <v>3711</v>
      </c>
    </row>
    <row r="785" spans="1:34" ht="14.45" hidden="1" customHeight="1" x14ac:dyDescent="0.3">
      <c r="A785" s="6" t="s">
        <v>985</v>
      </c>
      <c r="B785" s="7">
        <v>0</v>
      </c>
      <c r="C785" s="6" t="s">
        <v>984</v>
      </c>
      <c r="D785" s="6" t="s">
        <v>657</v>
      </c>
      <c r="E785" s="6" t="s">
        <v>3235</v>
      </c>
      <c r="F785" s="6" t="s">
        <v>3229</v>
      </c>
      <c r="G785" s="8">
        <v>1.3222967999999999</v>
      </c>
      <c r="H785" s="8">
        <v>9.4792699000000002</v>
      </c>
      <c r="I785" s="6" t="s">
        <v>2477</v>
      </c>
      <c r="J785" s="6" t="s">
        <v>2459</v>
      </c>
      <c r="K785" s="6" t="s">
        <v>2468</v>
      </c>
      <c r="L785" s="6" t="s">
        <v>3531</v>
      </c>
      <c r="M785" s="6"/>
      <c r="N785" s="6" t="s">
        <v>2468</v>
      </c>
      <c r="O785" s="6" t="s">
        <v>40</v>
      </c>
      <c r="P785" s="6" t="str">
        <f>VLOOKUP(Tableau1[[#This Row],[SITES NAMES]],[1]Feuil1!$1:$1048576,8,FALSE)</f>
        <v>OK</v>
      </c>
      <c r="Q785" s="6" t="str">
        <f>VLOOKUP(Tableau1[[#This Row],[SITES NAMES]],[1]Feuil1!$1:$1048576,9,FALSE)</f>
        <v>NO</v>
      </c>
      <c r="R785" s="6" t="str">
        <f>VLOOKUP(Tableau1[[#This Row],[SITES NAMES]],[1]Feuil1!$1:$1048576,10,FALSE)</f>
        <v>NO</v>
      </c>
      <c r="S785" s="6" t="s">
        <v>2469</v>
      </c>
      <c r="T785" s="6" t="s">
        <v>2470</v>
      </c>
      <c r="U785" s="6" t="s">
        <v>2480</v>
      </c>
      <c r="V785" s="6" t="s">
        <v>2472</v>
      </c>
      <c r="W785" s="6" t="s">
        <v>2473</v>
      </c>
      <c r="X785" s="8" t="s">
        <v>2830</v>
      </c>
      <c r="Y785" s="6" t="s">
        <v>3239</v>
      </c>
      <c r="Z785" s="6" t="s">
        <v>3253</v>
      </c>
      <c r="AA785" s="37" t="s">
        <v>3698</v>
      </c>
      <c r="AB785" s="38" t="s">
        <v>3683</v>
      </c>
      <c r="AC785" s="39" t="s">
        <v>3699</v>
      </c>
      <c r="AD785" s="39" t="s">
        <v>3700</v>
      </c>
      <c r="AE785" s="37" t="s">
        <v>3701</v>
      </c>
      <c r="AF785" s="39" t="s">
        <v>3702</v>
      </c>
      <c r="AG785" s="40" t="s">
        <v>3685</v>
      </c>
      <c r="AH785" s="37" t="s">
        <v>3703</v>
      </c>
    </row>
    <row r="786" spans="1:34" ht="15.75" hidden="1" x14ac:dyDescent="0.3">
      <c r="A786" s="6" t="s">
        <v>329</v>
      </c>
      <c r="B786" s="7">
        <v>0</v>
      </c>
      <c r="C786" s="6" t="s">
        <v>328</v>
      </c>
      <c r="D786" s="6" t="s">
        <v>320</v>
      </c>
      <c r="E786" s="6" t="s">
        <v>321</v>
      </c>
      <c r="F786" s="6" t="s">
        <v>3229</v>
      </c>
      <c r="G786" s="8">
        <v>1.1312899999999999</v>
      </c>
      <c r="H786" s="8">
        <v>8.1163399999999992</v>
      </c>
      <c r="I786" s="6" t="s">
        <v>2486</v>
      </c>
      <c r="J786" s="6" t="s">
        <v>2459</v>
      </c>
      <c r="K786" s="6" t="s">
        <v>2460</v>
      </c>
      <c r="L786" s="6"/>
      <c r="M786" s="6"/>
      <c r="N786" s="21" t="s">
        <v>3269</v>
      </c>
      <c r="O786" s="6" t="s">
        <v>40</v>
      </c>
      <c r="P786" s="6" t="str">
        <f>VLOOKUP(Tableau1[[#This Row],[SITES NAMES]],[1]Feuil1!$1:$1048576,8,FALSE)</f>
        <v>OK</v>
      </c>
      <c r="Q786" s="6" t="str">
        <f>VLOOKUP(Tableau1[[#This Row],[SITES NAMES]],[1]Feuil1!$1:$1048576,9,FALSE)</f>
        <v>NO</v>
      </c>
      <c r="R786" s="6" t="str">
        <f>VLOOKUP(Tableau1[[#This Row],[SITES NAMES]],[1]Feuil1!$1:$1048576,10,FALSE)</f>
        <v>YES</v>
      </c>
      <c r="S786" s="6" t="s">
        <v>2461</v>
      </c>
      <c r="T786" s="6" t="s">
        <v>2462</v>
      </c>
      <c r="U786" s="6" t="s">
        <v>2463</v>
      </c>
      <c r="V786" s="6" t="s">
        <v>2464</v>
      </c>
      <c r="W786" s="6" t="s">
        <v>2473</v>
      </c>
      <c r="X786" s="8" t="s">
        <v>2594</v>
      </c>
      <c r="Y786" s="6" t="s">
        <v>3238</v>
      </c>
      <c r="Z786" s="6" t="s">
        <v>3266</v>
      </c>
      <c r="AA786" s="37" t="s">
        <v>3664</v>
      </c>
      <c r="AB786" s="39" t="s">
        <v>3665</v>
      </c>
      <c r="AC786" s="37" t="s">
        <v>3666</v>
      </c>
      <c r="AD786" s="37" t="s">
        <v>3667</v>
      </c>
      <c r="AE786" s="37" t="s">
        <v>3668</v>
      </c>
      <c r="AF786" s="37" t="s">
        <v>3669</v>
      </c>
      <c r="AG786" s="37" t="s">
        <v>3670</v>
      </c>
      <c r="AH786" s="37" t="s">
        <v>3671</v>
      </c>
    </row>
    <row r="787" spans="1:34" ht="14.45" hidden="1" customHeight="1" x14ac:dyDescent="0.25">
      <c r="A787" s="6" t="s">
        <v>1793</v>
      </c>
      <c r="B787" s="7">
        <v>44063</v>
      </c>
      <c r="C787" s="6" t="s">
        <v>1792</v>
      </c>
      <c r="D787" s="6" t="s">
        <v>66</v>
      </c>
      <c r="E787" s="6" t="s">
        <v>3234</v>
      </c>
      <c r="F787" s="6" t="s">
        <v>3229</v>
      </c>
      <c r="G787" s="8">
        <v>1.1401600000000001</v>
      </c>
      <c r="H787" s="8">
        <v>6.1748599999999998</v>
      </c>
      <c r="I787" s="6" t="s">
        <v>2497</v>
      </c>
      <c r="J787" s="6" t="s">
        <v>2459</v>
      </c>
      <c r="K787" s="6" t="s">
        <v>2460</v>
      </c>
      <c r="L787" s="6"/>
      <c r="M787" s="6"/>
      <c r="N787" s="6" t="s">
        <v>3268</v>
      </c>
      <c r="O787" s="6" t="s">
        <v>7</v>
      </c>
      <c r="P787" s="6" t="str">
        <f>VLOOKUP(Tableau1[[#This Row],[SITES NAMES]],[1]Feuil1!$1:$1048576,8,FALSE)</f>
        <v>OK</v>
      </c>
      <c r="Q787" s="6" t="str">
        <f>VLOOKUP(Tableau1[[#This Row],[SITES NAMES]],[1]Feuil1!$1:$1048576,9,FALSE)</f>
        <v>NO</v>
      </c>
      <c r="R787" s="6" t="str">
        <f>VLOOKUP(Tableau1[[#This Row],[SITES NAMES]],[1]Feuil1!$1:$1048576,10,FALSE)</f>
        <v>NO</v>
      </c>
      <c r="S787" s="6" t="s">
        <v>2469</v>
      </c>
      <c r="T787" s="6" t="s">
        <v>2470</v>
      </c>
      <c r="U787" s="6" t="s">
        <v>2471</v>
      </c>
      <c r="V787" s="6" t="s">
        <v>2478</v>
      </c>
      <c r="W787" s="6" t="s">
        <v>2465</v>
      </c>
      <c r="X787" s="8" t="s">
        <v>3028</v>
      </c>
      <c r="Y787" s="6" t="s">
        <v>3238</v>
      </c>
      <c r="Z787" s="6" t="s">
        <v>3265</v>
      </c>
      <c r="AA787" s="35" t="s">
        <v>3607</v>
      </c>
      <c r="AB787" s="35" t="s">
        <v>3608</v>
      </c>
      <c r="AC787" s="35" t="s">
        <v>3614</v>
      </c>
      <c r="AD787" s="35" t="s">
        <v>3610</v>
      </c>
      <c r="AE787" s="35" t="s">
        <v>3610</v>
      </c>
      <c r="AF787" s="35" t="s">
        <v>3611</v>
      </c>
      <c r="AG787" s="35" t="s">
        <v>3612</v>
      </c>
      <c r="AH787" s="35" t="s">
        <v>3615</v>
      </c>
    </row>
    <row r="788" spans="1:34" ht="14.45" hidden="1" customHeight="1" x14ac:dyDescent="0.25">
      <c r="A788" s="6" t="s">
        <v>1795</v>
      </c>
      <c r="B788" s="7">
        <v>44733</v>
      </c>
      <c r="C788" s="6" t="s">
        <v>1794</v>
      </c>
      <c r="D788" s="6" t="s">
        <v>66</v>
      </c>
      <c r="E788" s="6" t="s">
        <v>3234</v>
      </c>
      <c r="F788" s="6" t="s">
        <v>3229</v>
      </c>
      <c r="G788" s="8">
        <v>1.131251</v>
      </c>
      <c r="H788" s="8">
        <v>6.1815339900000001</v>
      </c>
      <c r="I788" s="6" t="s">
        <v>2497</v>
      </c>
      <c r="J788" s="6" t="s">
        <v>2459</v>
      </c>
      <c r="K788" s="6" t="s">
        <v>2460</v>
      </c>
      <c r="L788" s="6"/>
      <c r="M788" s="6"/>
      <c r="N788" s="6" t="s">
        <v>3268</v>
      </c>
      <c r="O788" s="6" t="s">
        <v>7</v>
      </c>
      <c r="P788" s="6" t="str">
        <f>VLOOKUP(Tableau1[[#This Row],[SITES NAMES]],[1]Feuil1!$1:$1048576,8,FALSE)</f>
        <v>OK</v>
      </c>
      <c r="Q788" s="6" t="str">
        <f>VLOOKUP(Tableau1[[#This Row],[SITES NAMES]],[1]Feuil1!$1:$1048576,9,FALSE)</f>
        <v>NO</v>
      </c>
      <c r="R788" s="6" t="str">
        <f>VLOOKUP(Tableau1[[#This Row],[SITES NAMES]],[1]Feuil1!$1:$1048576,10,FALSE)</f>
        <v>YES</v>
      </c>
      <c r="S788" s="6" t="s">
        <v>2461</v>
      </c>
      <c r="T788" s="6" t="s">
        <v>2462</v>
      </c>
      <c r="U788" s="6" t="s">
        <v>2463</v>
      </c>
      <c r="V788" s="6" t="s">
        <v>2464</v>
      </c>
      <c r="W788" s="6" t="s">
        <v>2465</v>
      </c>
      <c r="X788" s="8"/>
      <c r="Y788" s="6" t="s">
        <v>3238</v>
      </c>
      <c r="Z788" s="6" t="s">
        <v>3265</v>
      </c>
      <c r="AA788" s="35" t="s">
        <v>3607</v>
      </c>
      <c r="AB788" s="35" t="s">
        <v>3608</v>
      </c>
      <c r="AC788" s="35" t="s">
        <v>3614</v>
      </c>
      <c r="AD788" s="35" t="s">
        <v>3610</v>
      </c>
      <c r="AE788" s="35" t="s">
        <v>3610</v>
      </c>
      <c r="AF788" s="35" t="s">
        <v>3611</v>
      </c>
      <c r="AG788" s="35" t="s">
        <v>3612</v>
      </c>
      <c r="AH788" s="35" t="s">
        <v>3615</v>
      </c>
    </row>
    <row r="789" spans="1:34" ht="14.45" hidden="1" customHeight="1" x14ac:dyDescent="0.3">
      <c r="A789" s="6" t="s">
        <v>1129</v>
      </c>
      <c r="B789" s="7">
        <v>43897</v>
      </c>
      <c r="C789" s="6" t="s">
        <v>1128</v>
      </c>
      <c r="D789" s="6" t="s">
        <v>5</v>
      </c>
      <c r="E789" s="6" t="s">
        <v>1003</v>
      </c>
      <c r="F789" s="6" t="s">
        <v>3229</v>
      </c>
      <c r="G789" s="8">
        <v>0.79400000000000004</v>
      </c>
      <c r="H789" s="8">
        <v>6.6120900000000002</v>
      </c>
      <c r="I789" s="6" t="s">
        <v>2477</v>
      </c>
      <c r="J789" s="6" t="s">
        <v>2459</v>
      </c>
      <c r="K789" s="6" t="s">
        <v>2468</v>
      </c>
      <c r="L789" s="6" t="s">
        <v>1012</v>
      </c>
      <c r="M789" s="6"/>
      <c r="N789" s="6" t="s">
        <v>2468</v>
      </c>
      <c r="O789" s="6" t="s">
        <v>40</v>
      </c>
      <c r="P789" s="6" t="str">
        <f>VLOOKUP(Tableau1[[#This Row],[SITES NAMES]],[1]Feuil1!$1:$1048576,8,FALSE)</f>
        <v>OK</v>
      </c>
      <c r="Q789" s="6" t="str">
        <f>VLOOKUP(Tableau1[[#This Row],[SITES NAMES]],[1]Feuil1!$1:$1048576,9,FALSE)</f>
        <v>NO</v>
      </c>
      <c r="R789" s="6" t="str">
        <f>VLOOKUP(Tableau1[[#This Row],[SITES NAMES]],[1]Feuil1!$1:$1048576,10,FALSE)</f>
        <v>NO</v>
      </c>
      <c r="S789" s="6" t="s">
        <v>2461</v>
      </c>
      <c r="T789" s="6" t="s">
        <v>2462</v>
      </c>
      <c r="U789" s="6" t="s">
        <v>2463</v>
      </c>
      <c r="V789" s="6" t="s">
        <v>2472</v>
      </c>
      <c r="W789" s="6" t="s">
        <v>2473</v>
      </c>
      <c r="X789" s="8"/>
      <c r="Y789" s="6" t="s">
        <v>3241</v>
      </c>
      <c r="Z789" s="6"/>
      <c r="AA789" s="37" t="s">
        <v>3634</v>
      </c>
      <c r="AB789" s="38" t="s">
        <v>3627</v>
      </c>
      <c r="AC789" s="37" t="s">
        <v>3635</v>
      </c>
      <c r="AD789" s="37" t="s">
        <v>3636</v>
      </c>
      <c r="AE789" s="37" t="s">
        <v>3637</v>
      </c>
      <c r="AF789" s="37" t="s">
        <v>3636</v>
      </c>
      <c r="AG789" s="37" t="s">
        <v>3638</v>
      </c>
      <c r="AH789" s="37" t="s">
        <v>3639</v>
      </c>
    </row>
    <row r="790" spans="1:34" ht="14.45" hidden="1" customHeight="1" x14ac:dyDescent="0.25">
      <c r="A790" s="6" t="s">
        <v>1918</v>
      </c>
      <c r="B790" s="7">
        <v>43931</v>
      </c>
      <c r="C790" s="6" t="s">
        <v>1917</v>
      </c>
      <c r="D790" s="6" t="s">
        <v>66</v>
      </c>
      <c r="E790" s="6" t="s">
        <v>3232</v>
      </c>
      <c r="F790" s="6" t="s">
        <v>3229</v>
      </c>
      <c r="G790" s="8">
        <v>1.24492</v>
      </c>
      <c r="H790" s="8">
        <v>6.1320199999999998</v>
      </c>
      <c r="I790" s="6" t="s">
        <v>2497</v>
      </c>
      <c r="J790" s="6" t="s">
        <v>2459</v>
      </c>
      <c r="K790" s="6" t="s">
        <v>2460</v>
      </c>
      <c r="L790" s="6"/>
      <c r="M790" s="6"/>
      <c r="N790" s="6" t="s">
        <v>3268</v>
      </c>
      <c r="O790" s="6" t="s">
        <v>1206</v>
      </c>
      <c r="P790" s="6"/>
      <c r="Q790" s="6" t="str">
        <f>VLOOKUP(Tableau1[[#This Row],[SITES NAMES]],[1]Feuil1!$1:$1048576,9,FALSE)</f>
        <v>YES</v>
      </c>
      <c r="R790" s="6" t="str">
        <f>VLOOKUP(Tableau1[[#This Row],[SITES NAMES]],[1]Feuil1!$1:$1048576,10,FALSE)</f>
        <v>NO</v>
      </c>
      <c r="S790" s="6" t="s">
        <v>2461</v>
      </c>
      <c r="T790" s="6" t="s">
        <v>2462</v>
      </c>
      <c r="U790" s="6" t="s">
        <v>2463</v>
      </c>
      <c r="V790" s="6" t="s">
        <v>2478</v>
      </c>
      <c r="W790" s="6" t="s">
        <v>2476</v>
      </c>
      <c r="X790" s="8" t="s">
        <v>3052</v>
      </c>
      <c r="Y790" s="6" t="s">
        <v>3238</v>
      </c>
      <c r="Z790" s="6" t="s">
        <v>3262</v>
      </c>
      <c r="AA790" s="35" t="s">
        <v>3621</v>
      </c>
      <c r="AB790" s="35" t="s">
        <v>3608</v>
      </c>
      <c r="AC790" s="35" t="s">
        <v>3624</v>
      </c>
      <c r="AD790" s="35" t="s">
        <v>3610</v>
      </c>
      <c r="AE790" s="35" t="s">
        <v>3610</v>
      </c>
      <c r="AF790" s="35" t="s">
        <v>3611</v>
      </c>
      <c r="AG790" s="35" t="s">
        <v>3612</v>
      </c>
      <c r="AH790" s="35" t="s">
        <v>3625</v>
      </c>
    </row>
    <row r="791" spans="1:34" ht="14.45" hidden="1" customHeight="1" x14ac:dyDescent="0.25">
      <c r="A791" s="6" t="s">
        <v>1797</v>
      </c>
      <c r="B791" s="7">
        <v>0</v>
      </c>
      <c r="C791" s="6" t="s">
        <v>1796</v>
      </c>
      <c r="D791" s="6" t="s">
        <v>66</v>
      </c>
      <c r="E791" s="6" t="s">
        <v>3234</v>
      </c>
      <c r="F791" s="6" t="s">
        <v>3229</v>
      </c>
      <c r="G791" s="8">
        <v>1.163144</v>
      </c>
      <c r="H791" s="8">
        <v>6.1845939999999997</v>
      </c>
      <c r="I791" s="6" t="s">
        <v>2497</v>
      </c>
      <c r="J791" s="6" t="s">
        <v>2459</v>
      </c>
      <c r="K791" s="6" t="s">
        <v>2460</v>
      </c>
      <c r="L791" s="6"/>
      <c r="M791" s="6"/>
      <c r="N791" s="6" t="s">
        <v>3268</v>
      </c>
      <c r="O791" s="6" t="s">
        <v>7</v>
      </c>
      <c r="P791" s="6" t="str">
        <f>VLOOKUP(Tableau1[[#This Row],[SITES NAMES]],[1]Feuil1!$1:$1048576,8,FALSE)</f>
        <v>OK</v>
      </c>
      <c r="Q791" s="6" t="str">
        <f>VLOOKUP(Tableau1[[#This Row],[SITES NAMES]],[1]Feuil1!$1:$1048576,9,FALSE)</f>
        <v>YES</v>
      </c>
      <c r="R791" s="6" t="str">
        <f>VLOOKUP(Tableau1[[#This Row],[SITES NAMES]],[1]Feuil1!$1:$1048576,10,FALSE)</f>
        <v>NO</v>
      </c>
      <c r="S791" s="6" t="s">
        <v>2461</v>
      </c>
      <c r="T791" s="6" t="s">
        <v>2462</v>
      </c>
      <c r="U791" s="6" t="s">
        <v>2463</v>
      </c>
      <c r="V791" s="6" t="s">
        <v>2478</v>
      </c>
      <c r="W791" s="6" t="s">
        <v>2476</v>
      </c>
      <c r="X791" s="8" t="s">
        <v>3029</v>
      </c>
      <c r="Y791" s="6" t="s">
        <v>3238</v>
      </c>
      <c r="Z791" s="6" t="s">
        <v>3265</v>
      </c>
      <c r="AA791" s="35" t="s">
        <v>3607</v>
      </c>
      <c r="AB791" s="35" t="s">
        <v>3608</v>
      </c>
      <c r="AC791" s="35" t="s">
        <v>3614</v>
      </c>
      <c r="AD791" s="35" t="s">
        <v>3610</v>
      </c>
      <c r="AE791" s="35" t="s">
        <v>3610</v>
      </c>
      <c r="AF791" s="35" t="s">
        <v>3611</v>
      </c>
      <c r="AG791" s="35" t="s">
        <v>3612</v>
      </c>
      <c r="AH791" s="35" t="s">
        <v>3615</v>
      </c>
    </row>
    <row r="792" spans="1:34" ht="15.75" hidden="1" x14ac:dyDescent="0.3">
      <c r="A792" s="6" t="s">
        <v>2221</v>
      </c>
      <c r="B792" s="7">
        <v>0</v>
      </c>
      <c r="C792" s="6" t="s">
        <v>2220</v>
      </c>
      <c r="D792" s="6" t="s">
        <v>320</v>
      </c>
      <c r="E792" s="6" t="s">
        <v>2141</v>
      </c>
      <c r="F792" s="18" t="s">
        <v>3230</v>
      </c>
      <c r="G792" s="8">
        <v>1.1403239999999999</v>
      </c>
      <c r="H792" s="8">
        <v>8.9859869999999997</v>
      </c>
      <c r="I792" s="6" t="s">
        <v>2497</v>
      </c>
      <c r="J792" s="6" t="s">
        <v>2459</v>
      </c>
      <c r="K792" s="6" t="s">
        <v>2460</v>
      </c>
      <c r="L792" s="6"/>
      <c r="M792" s="6"/>
      <c r="N792" s="21" t="s">
        <v>3269</v>
      </c>
      <c r="O792" s="6" t="s">
        <v>7</v>
      </c>
      <c r="P792" s="6" t="str">
        <f>VLOOKUP(Tableau1[[#This Row],[SITES NAMES]],[1]Feuil1!$1:$1048576,8,FALSE)</f>
        <v>OK</v>
      </c>
      <c r="Q792" s="6" t="str">
        <f>VLOOKUP(Tableau1[[#This Row],[SITES NAMES]],[1]Feuil1!$1:$1048576,9,FALSE)</f>
        <v>NO</v>
      </c>
      <c r="R792" s="6" t="str">
        <f>VLOOKUP(Tableau1[[#This Row],[SITES NAMES]],[1]Feuil1!$1:$1048576,10,FALSE)</f>
        <v>NO</v>
      </c>
      <c r="S792" s="6" t="s">
        <v>2461</v>
      </c>
      <c r="T792" s="6" t="s">
        <v>2462</v>
      </c>
      <c r="U792" s="6" t="s">
        <v>2463</v>
      </c>
      <c r="V792" s="6" t="s">
        <v>2478</v>
      </c>
      <c r="W792" s="6" t="s">
        <v>2476</v>
      </c>
      <c r="X792" s="8"/>
      <c r="Y792" s="6" t="s">
        <v>3238</v>
      </c>
      <c r="Z792" s="6" t="s">
        <v>3254</v>
      </c>
      <c r="AA792" s="37" t="s">
        <v>3672</v>
      </c>
      <c r="AB792" s="39" t="s">
        <v>3665</v>
      </c>
      <c r="AC792" s="37" t="s">
        <v>3673</v>
      </c>
      <c r="AD792" s="37" t="s">
        <v>3674</v>
      </c>
      <c r="AE792" s="37" t="s">
        <v>3675</v>
      </c>
      <c r="AF792" s="39" t="s">
        <v>3676</v>
      </c>
      <c r="AG792" s="37" t="s">
        <v>3670</v>
      </c>
      <c r="AH792" s="37" t="s">
        <v>3677</v>
      </c>
    </row>
    <row r="793" spans="1:34" ht="14.45" hidden="1" customHeight="1" x14ac:dyDescent="0.3">
      <c r="A793" s="6" t="s">
        <v>2318</v>
      </c>
      <c r="B793" s="7">
        <v>0</v>
      </c>
      <c r="C793" s="6" t="s">
        <v>2317</v>
      </c>
      <c r="D793" s="6" t="s">
        <v>320</v>
      </c>
      <c r="E793" s="6" t="s">
        <v>2274</v>
      </c>
      <c r="F793" s="6" t="s">
        <v>3229</v>
      </c>
      <c r="G793" s="8">
        <v>1.4164916999999999</v>
      </c>
      <c r="H793" s="8">
        <v>9.0518785000000008</v>
      </c>
      <c r="I793" s="6" t="s">
        <v>2497</v>
      </c>
      <c r="J793" s="6" t="s">
        <v>2459</v>
      </c>
      <c r="K793" s="6" t="s">
        <v>2460</v>
      </c>
      <c r="L793" s="6"/>
      <c r="M793" s="6"/>
      <c r="N793" s="6" t="s">
        <v>3268</v>
      </c>
      <c r="O793" s="6" t="s">
        <v>18</v>
      </c>
      <c r="P793" s="6" t="str">
        <f>VLOOKUP(Tableau1[[#This Row],[SITES NAMES]],[1]Feuil1!$1:$1048576,8,FALSE)</f>
        <v>OK</v>
      </c>
      <c r="Q793" s="6" t="str">
        <f>VLOOKUP(Tableau1[[#This Row],[SITES NAMES]],[1]Feuil1!$1:$1048576,9,FALSE)</f>
        <v>NO</v>
      </c>
      <c r="R793" s="6" t="str">
        <f>VLOOKUP(Tableau1[[#This Row],[SITES NAMES]],[1]Feuil1!$1:$1048576,10,FALSE)</f>
        <v>NO</v>
      </c>
      <c r="S793" s="6" t="s">
        <v>2461</v>
      </c>
      <c r="T793" s="6" t="s">
        <v>2462</v>
      </c>
      <c r="U793" s="6" t="s">
        <v>2463</v>
      </c>
      <c r="V793" s="6" t="s">
        <v>2464</v>
      </c>
      <c r="W793" s="6" t="s">
        <v>2476</v>
      </c>
      <c r="X793" s="8"/>
      <c r="Y793" s="6" t="s">
        <v>3238</v>
      </c>
      <c r="Z793" s="6" t="s">
        <v>3254</v>
      </c>
      <c r="AA793" s="37" t="s">
        <v>3678</v>
      </c>
      <c r="AB793" s="39" t="s">
        <v>3665</v>
      </c>
      <c r="AC793" s="37" t="s">
        <v>3679</v>
      </c>
      <c r="AD793" s="37" t="s">
        <v>3678</v>
      </c>
      <c r="AE793" s="37" t="s">
        <v>3680</v>
      </c>
      <c r="AF793" s="39" t="s">
        <v>3676</v>
      </c>
      <c r="AG793" s="37" t="s">
        <v>3670</v>
      </c>
      <c r="AH793" s="37" t="s">
        <v>3681</v>
      </c>
    </row>
    <row r="794" spans="1:34" ht="14.45" hidden="1" customHeight="1" x14ac:dyDescent="0.25">
      <c r="A794" s="6" t="s">
        <v>1920</v>
      </c>
      <c r="B794" s="7">
        <v>0</v>
      </c>
      <c r="C794" s="6" t="s">
        <v>1919</v>
      </c>
      <c r="D794" s="6" t="s">
        <v>66</v>
      </c>
      <c r="E794" s="6" t="s">
        <v>3232</v>
      </c>
      <c r="F794" s="6" t="s">
        <v>3229</v>
      </c>
      <c r="G794" s="8">
        <v>1.237986</v>
      </c>
      <c r="H794" s="8">
        <v>6.1288669999999996</v>
      </c>
      <c r="I794" s="6" t="s">
        <v>2497</v>
      </c>
      <c r="J794" s="6" t="s">
        <v>2459</v>
      </c>
      <c r="K794" s="6" t="s">
        <v>2460</v>
      </c>
      <c r="L794" s="6" t="s">
        <v>1881</v>
      </c>
      <c r="M794" s="6"/>
      <c r="N794" s="6" t="s">
        <v>3268</v>
      </c>
      <c r="O794" s="6" t="s">
        <v>1206</v>
      </c>
      <c r="P794" s="6"/>
      <c r="Q794" s="6" t="str">
        <f>VLOOKUP(Tableau1[[#This Row],[SITES NAMES]],[1]Feuil1!$1:$1048576,9,FALSE)</f>
        <v>YES</v>
      </c>
      <c r="R794" s="6" t="str">
        <f>VLOOKUP(Tableau1[[#This Row],[SITES NAMES]],[1]Feuil1!$1:$1048576,10,FALSE)</f>
        <v>NO</v>
      </c>
      <c r="S794" s="6" t="s">
        <v>2469</v>
      </c>
      <c r="T794" s="6" t="s">
        <v>2470</v>
      </c>
      <c r="U794" s="6" t="s">
        <v>2480</v>
      </c>
      <c r="V794" s="6" t="s">
        <v>2464</v>
      </c>
      <c r="W794" s="6" t="s">
        <v>2476</v>
      </c>
      <c r="X794" s="8"/>
      <c r="Y794" s="6" t="s">
        <v>3238</v>
      </c>
      <c r="Z794" s="6" t="s">
        <v>3262</v>
      </c>
      <c r="AA794" s="35" t="s">
        <v>3621</v>
      </c>
      <c r="AB794" s="35" t="s">
        <v>3608</v>
      </c>
      <c r="AC794" s="35" t="s">
        <v>3624</v>
      </c>
      <c r="AD794" s="35" t="s">
        <v>3610</v>
      </c>
      <c r="AE794" s="35" t="s">
        <v>3610</v>
      </c>
      <c r="AF794" s="35" t="s">
        <v>3611</v>
      </c>
      <c r="AG794" s="35" t="s">
        <v>3612</v>
      </c>
      <c r="AH794" s="35" t="s">
        <v>3625</v>
      </c>
    </row>
    <row r="795" spans="1:34" ht="14.45" hidden="1" customHeight="1" x14ac:dyDescent="0.3">
      <c r="A795" s="6" t="s">
        <v>875</v>
      </c>
      <c r="B795" s="7" t="s">
        <v>2514</v>
      </c>
      <c r="C795" s="6" t="s">
        <v>874</v>
      </c>
      <c r="D795" s="6" t="s">
        <v>657</v>
      </c>
      <c r="E795" s="6" t="s">
        <v>3237</v>
      </c>
      <c r="F795" s="6" t="s">
        <v>3229</v>
      </c>
      <c r="G795" s="8">
        <v>1.231784</v>
      </c>
      <c r="H795" s="8">
        <v>9.5729170000000003</v>
      </c>
      <c r="I795" s="14" t="s">
        <v>2486</v>
      </c>
      <c r="J795" s="6" t="s">
        <v>2459</v>
      </c>
      <c r="K795" s="6" t="s">
        <v>2468</v>
      </c>
      <c r="L795" s="6" t="s">
        <v>3432</v>
      </c>
      <c r="M795" s="6"/>
      <c r="N795" s="6" t="s">
        <v>2468</v>
      </c>
      <c r="O795" s="6" t="s">
        <v>7</v>
      </c>
      <c r="P795" s="6" t="str">
        <f>VLOOKUP(Tableau1[[#This Row],[SITES NAMES]],[1]Feuil1!$1:$1048576,8,FALSE)</f>
        <v>NOK</v>
      </c>
      <c r="Q795" s="6" t="str">
        <f>VLOOKUP(Tableau1[[#This Row],[SITES NAMES]],[1]Feuil1!$1:$1048576,9,FALSE)</f>
        <v>NO</v>
      </c>
      <c r="R795" s="6" t="str">
        <f>VLOOKUP(Tableau1[[#This Row],[SITES NAMES]],[1]Feuil1!$1:$1048576,10,FALSE)</f>
        <v>NO</v>
      </c>
      <c r="S795" s="6" t="s">
        <v>2469</v>
      </c>
      <c r="T795" s="6" t="s">
        <v>2470</v>
      </c>
      <c r="U795" s="6" t="s">
        <v>2480</v>
      </c>
      <c r="V795" s="6" t="s">
        <v>2472</v>
      </c>
      <c r="W795" s="6" t="s">
        <v>2476</v>
      </c>
      <c r="X795" s="8" t="s">
        <v>2793</v>
      </c>
      <c r="Y795" s="6" t="s">
        <v>3239</v>
      </c>
      <c r="Z795" s="6" t="s">
        <v>3253</v>
      </c>
      <c r="AA795" s="37" t="s">
        <v>3692</v>
      </c>
      <c r="AB795" s="38" t="s">
        <v>3683</v>
      </c>
      <c r="AC795" s="39" t="s">
        <v>3693</v>
      </c>
      <c r="AD795" s="39" t="s">
        <v>3694</v>
      </c>
      <c r="AE795" s="37" t="s">
        <v>3695</v>
      </c>
      <c r="AF795" s="39" t="s">
        <v>3696</v>
      </c>
      <c r="AG795" s="40" t="s">
        <v>3685</v>
      </c>
      <c r="AH795" s="37" t="s">
        <v>3697</v>
      </c>
    </row>
    <row r="796" spans="1:34" ht="14.45" hidden="1" customHeight="1" x14ac:dyDescent="0.3">
      <c r="A796" s="6" t="s">
        <v>1028</v>
      </c>
      <c r="B796" s="7">
        <v>0</v>
      </c>
      <c r="C796" s="6" t="s">
        <v>1027</v>
      </c>
      <c r="D796" s="6" t="s">
        <v>5</v>
      </c>
      <c r="E796" s="6" t="s">
        <v>1003</v>
      </c>
      <c r="F796" s="6" t="s">
        <v>3229</v>
      </c>
      <c r="G796" s="8">
        <v>0.67684</v>
      </c>
      <c r="H796" s="8">
        <v>7.0053099999999997</v>
      </c>
      <c r="I796" s="14" t="s">
        <v>2477</v>
      </c>
      <c r="J796" s="6" t="s">
        <v>2459</v>
      </c>
      <c r="K796" s="6" t="s">
        <v>2460</v>
      </c>
      <c r="L796" s="6"/>
      <c r="M796" s="6"/>
      <c r="N796" s="6" t="s">
        <v>3268</v>
      </c>
      <c r="O796" s="6" t="s">
        <v>18</v>
      </c>
      <c r="P796" s="6" t="str">
        <f>VLOOKUP(Tableau1[[#This Row],[SITES NAMES]],[1]Feuil1!$1:$1048576,8,FALSE)</f>
        <v>OK</v>
      </c>
      <c r="Q796" s="6" t="str">
        <f>VLOOKUP(Tableau1[[#This Row],[SITES NAMES]],[1]Feuil1!$1:$1048576,9,FALSE)</f>
        <v>NO</v>
      </c>
      <c r="R796" s="6" t="str">
        <f>VLOOKUP(Tableau1[[#This Row],[SITES NAMES]],[1]Feuil1!$1:$1048576,10,FALSE)</f>
        <v>NO</v>
      </c>
      <c r="S796" s="6" t="s">
        <v>2461</v>
      </c>
      <c r="T796" s="6" t="s">
        <v>2462</v>
      </c>
      <c r="U796" s="6" t="s">
        <v>2463</v>
      </c>
      <c r="V796" s="6" t="s">
        <v>2464</v>
      </c>
      <c r="W796" s="6" t="s">
        <v>2473</v>
      </c>
      <c r="X796" s="8" t="s">
        <v>2847</v>
      </c>
      <c r="Y796" s="6" t="s">
        <v>3241</v>
      </c>
      <c r="Z796" s="6"/>
      <c r="AA796" s="37" t="s">
        <v>3634</v>
      </c>
      <c r="AB796" s="38" t="s">
        <v>3627</v>
      </c>
      <c r="AC796" s="37" t="s">
        <v>3635</v>
      </c>
      <c r="AD796" s="37" t="s">
        <v>3636</v>
      </c>
      <c r="AE796" s="37" t="s">
        <v>3637</v>
      </c>
      <c r="AF796" s="37" t="s">
        <v>3636</v>
      </c>
      <c r="AG796" s="37" t="s">
        <v>3638</v>
      </c>
      <c r="AH796" s="37" t="s">
        <v>3639</v>
      </c>
    </row>
    <row r="797" spans="1:34" ht="14.45" hidden="1" customHeight="1" x14ac:dyDescent="0.25">
      <c r="A797" s="6" t="s">
        <v>1544</v>
      </c>
      <c r="B797" s="7">
        <v>0</v>
      </c>
      <c r="C797" s="6" t="s">
        <v>1543</v>
      </c>
      <c r="D797" s="6" t="s">
        <v>66</v>
      </c>
      <c r="E797" s="6" t="s">
        <v>3233</v>
      </c>
      <c r="F797" s="6" t="s">
        <v>3229</v>
      </c>
      <c r="G797" s="8">
        <v>1.2000470000000001</v>
      </c>
      <c r="H797" s="8">
        <v>6.2259602249999997</v>
      </c>
      <c r="I797" s="14" t="s">
        <v>2475</v>
      </c>
      <c r="J797" s="6" t="s">
        <v>2459</v>
      </c>
      <c r="K797" s="6" t="s">
        <v>2460</v>
      </c>
      <c r="L797" s="6"/>
      <c r="M797" s="6"/>
      <c r="N797" s="6" t="s">
        <v>3268</v>
      </c>
      <c r="O797" s="6" t="s">
        <v>7</v>
      </c>
      <c r="P797" s="6" t="str">
        <f>VLOOKUP(Tableau1[[#This Row],[SITES NAMES]],[1]Feuil1!$1:$1048576,8,FALSE)</f>
        <v>NOK</v>
      </c>
      <c r="Q797" s="6" t="str">
        <f>VLOOKUP(Tableau1[[#This Row],[SITES NAMES]],[1]Feuil1!$1:$1048576,9,FALSE)</f>
        <v>YES</v>
      </c>
      <c r="R797" s="6" t="str">
        <f>VLOOKUP(Tableau1[[#This Row],[SITES NAMES]],[1]Feuil1!$1:$1048576,10,FALSE)</f>
        <v>NO</v>
      </c>
      <c r="S797" s="6" t="s">
        <v>2469</v>
      </c>
      <c r="T797" s="6" t="s">
        <v>2470</v>
      </c>
      <c r="U797" s="6" t="s">
        <v>2480</v>
      </c>
      <c r="V797" s="6" t="s">
        <v>2478</v>
      </c>
      <c r="W797" s="6" t="s">
        <v>2476</v>
      </c>
      <c r="X797" s="8" t="s">
        <v>2966</v>
      </c>
      <c r="Y797" s="6" t="s">
        <v>3238</v>
      </c>
      <c r="Z797" s="6" t="s">
        <v>3264</v>
      </c>
      <c r="AA797" s="35" t="s">
        <v>3616</v>
      </c>
      <c r="AB797" s="35" t="s">
        <v>3608</v>
      </c>
      <c r="AC797" s="35" t="s">
        <v>3617</v>
      </c>
      <c r="AD797" s="35" t="s">
        <v>3610</v>
      </c>
      <c r="AE797" s="35" t="s">
        <v>3610</v>
      </c>
      <c r="AF797" s="35" t="s">
        <v>3611</v>
      </c>
      <c r="AG797" s="35" t="s">
        <v>3612</v>
      </c>
      <c r="AH797" s="35" t="s">
        <v>3618</v>
      </c>
    </row>
    <row r="798" spans="1:34" ht="14.45" hidden="1" customHeight="1" x14ac:dyDescent="0.3">
      <c r="A798" s="6" t="s">
        <v>97</v>
      </c>
      <c r="B798" s="7">
        <v>45080</v>
      </c>
      <c r="C798" s="6" t="s">
        <v>96</v>
      </c>
      <c r="D798" s="6" t="s">
        <v>5</v>
      </c>
      <c r="E798" s="6" t="s">
        <v>6</v>
      </c>
      <c r="F798" s="6" t="s">
        <v>3229</v>
      </c>
      <c r="G798" s="8">
        <v>1.3491500000000001</v>
      </c>
      <c r="H798" s="8">
        <v>6.2202299999999999</v>
      </c>
      <c r="I798" s="14" t="s">
        <v>2479</v>
      </c>
      <c r="J798" s="6" t="s">
        <v>2459</v>
      </c>
      <c r="K798" s="6" t="s">
        <v>2468</v>
      </c>
      <c r="L798" s="6" t="s">
        <v>3532</v>
      </c>
      <c r="M798" s="6"/>
      <c r="N798" s="6" t="s">
        <v>2468</v>
      </c>
      <c r="O798" s="6" t="s">
        <v>7</v>
      </c>
      <c r="P798" s="6" t="str">
        <f>VLOOKUP(Tableau1[[#This Row],[SITES NAMES]],[1]Feuil1!$1:$1048576,8,FALSE)</f>
        <v>OK</v>
      </c>
      <c r="Q798" s="6" t="str">
        <f>VLOOKUP(Tableau1[[#This Row],[SITES NAMES]],[1]Feuil1!$1:$1048576,9,FALSE)</f>
        <v>NO</v>
      </c>
      <c r="R798" s="6" t="str">
        <f>VLOOKUP(Tableau1[[#This Row],[SITES NAMES]],[1]Feuil1!$1:$1048576,10,FALSE)</f>
        <v>NO</v>
      </c>
      <c r="S798" s="6" t="s">
        <v>2469</v>
      </c>
      <c r="T798" s="6" t="s">
        <v>2470</v>
      </c>
      <c r="U798" s="6" t="s">
        <v>2480</v>
      </c>
      <c r="V798" s="6" t="s">
        <v>2472</v>
      </c>
      <c r="W798" s="6" t="s">
        <v>2465</v>
      </c>
      <c r="X798" s="8">
        <v>70997353</v>
      </c>
      <c r="Y798" s="6" t="s">
        <v>3241</v>
      </c>
      <c r="Z798" t="e">
        <f>VLOOKUP(Tableau1[[#This Row],[SITES NAMES]],#REF!,3,FALSE)</f>
        <v>#REF!</v>
      </c>
      <c r="AA798" s="37" t="s">
        <v>3626</v>
      </c>
      <c r="AB798" s="38" t="s">
        <v>3627</v>
      </c>
      <c r="AC798" s="37" t="s">
        <v>3633</v>
      </c>
      <c r="AD798" s="37" t="s">
        <v>3628</v>
      </c>
      <c r="AE798" s="37" t="s">
        <v>3629</v>
      </c>
      <c r="AF798" s="39" t="s">
        <v>3630</v>
      </c>
      <c r="AG798" s="37" t="s">
        <v>3631</v>
      </c>
      <c r="AH798" s="37" t="s">
        <v>3632</v>
      </c>
    </row>
    <row r="799" spans="1:34" ht="14.45" hidden="1" customHeight="1" x14ac:dyDescent="0.3">
      <c r="A799" s="6" t="s">
        <v>2157</v>
      </c>
      <c r="B799" s="7">
        <v>43913</v>
      </c>
      <c r="C799" s="6" t="s">
        <v>2156</v>
      </c>
      <c r="D799" s="6" t="s">
        <v>320</v>
      </c>
      <c r="E799" s="6" t="s">
        <v>2141</v>
      </c>
      <c r="F799" s="6" t="s">
        <v>3229</v>
      </c>
      <c r="G799" s="8">
        <v>1.18631</v>
      </c>
      <c r="H799" s="8">
        <v>8.8468999999999998</v>
      </c>
      <c r="I799" s="6" t="s">
        <v>2477</v>
      </c>
      <c r="J799" s="6" t="s">
        <v>2459</v>
      </c>
      <c r="K799" s="6" t="s">
        <v>2468</v>
      </c>
      <c r="L799" s="6" t="s">
        <v>3533</v>
      </c>
      <c r="M799" s="6"/>
      <c r="N799" s="6" t="s">
        <v>2468</v>
      </c>
      <c r="O799" s="6" t="s">
        <v>40</v>
      </c>
      <c r="P799" s="6" t="str">
        <f>VLOOKUP(Tableau1[[#This Row],[SITES NAMES]],[1]Feuil1!$1:$1048576,8,FALSE)</f>
        <v>OK</v>
      </c>
      <c r="Q799" s="6" t="str">
        <f>VLOOKUP(Tableau1[[#This Row],[SITES NAMES]],[1]Feuil1!$1:$1048576,9,FALSE)</f>
        <v>NO</v>
      </c>
      <c r="R799" s="6" t="str">
        <f>VLOOKUP(Tableau1[[#This Row],[SITES NAMES]],[1]Feuil1!$1:$1048576,10,FALSE)</f>
        <v>YES</v>
      </c>
      <c r="S799" s="6" t="s">
        <v>2469</v>
      </c>
      <c r="T799" s="6" t="s">
        <v>2470</v>
      </c>
      <c r="U799" s="6" t="s">
        <v>2480</v>
      </c>
      <c r="V799" s="6" t="s">
        <v>2472</v>
      </c>
      <c r="W799" s="6" t="s">
        <v>2473</v>
      </c>
      <c r="X799" s="8" t="s">
        <v>3140</v>
      </c>
      <c r="Y799" s="6" t="s">
        <v>3238</v>
      </c>
      <c r="Z799" s="6" t="s">
        <v>3254</v>
      </c>
      <c r="AA799" s="37" t="s">
        <v>3672</v>
      </c>
      <c r="AB799" s="39" t="s">
        <v>3665</v>
      </c>
      <c r="AC799" s="37" t="s">
        <v>3673</v>
      </c>
      <c r="AD799" s="37" t="s">
        <v>3674</v>
      </c>
      <c r="AE799" s="37" t="s">
        <v>3675</v>
      </c>
      <c r="AF799" s="39" t="s">
        <v>3676</v>
      </c>
      <c r="AG799" s="37" t="s">
        <v>3670</v>
      </c>
      <c r="AH799" s="37" t="s">
        <v>3677</v>
      </c>
    </row>
    <row r="800" spans="1:34" ht="14.45" hidden="1" customHeight="1" x14ac:dyDescent="0.25">
      <c r="A800" s="6" t="s">
        <v>1594</v>
      </c>
      <c r="B800" s="7">
        <v>0</v>
      </c>
      <c r="C800" s="6" t="s">
        <v>1593</v>
      </c>
      <c r="D800" s="6" t="s">
        <v>66</v>
      </c>
      <c r="E800" s="6" t="s">
        <v>3236</v>
      </c>
      <c r="F800" s="18" t="s">
        <v>3230</v>
      </c>
      <c r="G800" s="8">
        <v>1.158056</v>
      </c>
      <c r="H800" s="8">
        <v>6.2665915859999997</v>
      </c>
      <c r="I800" s="6" t="s">
        <v>2475</v>
      </c>
      <c r="J800" s="6" t="s">
        <v>2459</v>
      </c>
      <c r="K800" s="6" t="s">
        <v>2460</v>
      </c>
      <c r="L800" s="6"/>
      <c r="M800" s="6"/>
      <c r="N800" s="6" t="s">
        <v>3268</v>
      </c>
      <c r="O800" s="6" t="s">
        <v>7</v>
      </c>
      <c r="P800" s="6" t="str">
        <f>VLOOKUP(Tableau1[[#This Row],[SITES NAMES]],[1]Feuil1!$1:$1048576,8,FALSE)</f>
        <v>OK</v>
      </c>
      <c r="Q800" s="6" t="str">
        <f>VLOOKUP(Tableau1[[#This Row],[SITES NAMES]],[1]Feuil1!$1:$1048576,9,FALSE)</f>
        <v>YES</v>
      </c>
      <c r="R800" s="6" t="str">
        <f>VLOOKUP(Tableau1[[#This Row],[SITES NAMES]],[1]Feuil1!$1:$1048576,10,FALSE)</f>
        <v>NO</v>
      </c>
      <c r="S800" s="6" t="s">
        <v>2469</v>
      </c>
      <c r="T800" s="6" t="s">
        <v>2470</v>
      </c>
      <c r="U800" s="6" t="s">
        <v>2480</v>
      </c>
      <c r="V800" s="6" t="s">
        <v>2498</v>
      </c>
      <c r="W800" s="6" t="s">
        <v>2476</v>
      </c>
      <c r="X800" s="8" t="s">
        <v>2981</v>
      </c>
      <c r="Y800" s="6" t="s">
        <v>3238</v>
      </c>
      <c r="Z800" s="6" t="s">
        <v>3263</v>
      </c>
      <c r="AA800" s="35" t="s">
        <v>3616</v>
      </c>
      <c r="AB800" s="35" t="s">
        <v>3608</v>
      </c>
      <c r="AC800" s="35" t="s">
        <v>3619</v>
      </c>
      <c r="AD800" s="35" t="s">
        <v>3610</v>
      </c>
      <c r="AE800" s="35" t="s">
        <v>3610</v>
      </c>
      <c r="AF800" s="35" t="s">
        <v>3611</v>
      </c>
      <c r="AG800" s="35" t="s">
        <v>3612</v>
      </c>
      <c r="AH800" s="35" t="s">
        <v>3620</v>
      </c>
    </row>
    <row r="801" spans="1:34" ht="14.45" hidden="1" customHeight="1" x14ac:dyDescent="0.25">
      <c r="A801" s="6" t="s">
        <v>1676</v>
      </c>
      <c r="B801" s="7">
        <v>43265</v>
      </c>
      <c r="C801" s="6" t="s">
        <v>1675</v>
      </c>
      <c r="D801" s="6" t="s">
        <v>66</v>
      </c>
      <c r="E801" s="6" t="s">
        <v>3236</v>
      </c>
      <c r="F801" s="6" t="s">
        <v>3229</v>
      </c>
      <c r="G801" s="8">
        <v>1.1549400000000001</v>
      </c>
      <c r="H801" s="8">
        <v>6.27433</v>
      </c>
      <c r="I801" s="6" t="s">
        <v>2475</v>
      </c>
      <c r="J801" s="6" t="s">
        <v>2459</v>
      </c>
      <c r="K801" s="6" t="s">
        <v>2460</v>
      </c>
      <c r="L801" s="6"/>
      <c r="M801" s="6"/>
      <c r="N801" s="6" t="s">
        <v>3268</v>
      </c>
      <c r="O801" s="6" t="s">
        <v>7</v>
      </c>
      <c r="P801" s="6"/>
      <c r="Q801" s="6" t="str">
        <f>VLOOKUP(Tableau1[[#This Row],[SITES NAMES]],[1]Feuil1!$1:$1048576,9,FALSE)</f>
        <v>NO</v>
      </c>
      <c r="R801" s="6" t="str">
        <f>VLOOKUP(Tableau1[[#This Row],[SITES NAMES]],[1]Feuil1!$1:$1048576,10,FALSE)</f>
        <v>NO</v>
      </c>
      <c r="S801" s="6" t="s">
        <v>2461</v>
      </c>
      <c r="T801" s="6" t="s">
        <v>2462</v>
      </c>
      <c r="U801" s="6" t="s">
        <v>2463</v>
      </c>
      <c r="V801" s="6" t="s">
        <v>2478</v>
      </c>
      <c r="W801" s="6" t="s">
        <v>2476</v>
      </c>
      <c r="X801" s="8"/>
      <c r="Y801" s="6" t="s">
        <v>3238</v>
      </c>
      <c r="Z801" s="6" t="s">
        <v>3263</v>
      </c>
      <c r="AA801" s="35" t="s">
        <v>3616</v>
      </c>
      <c r="AB801" s="35" t="s">
        <v>3608</v>
      </c>
      <c r="AC801" s="35" t="s">
        <v>3619</v>
      </c>
      <c r="AD801" s="35" t="s">
        <v>3610</v>
      </c>
      <c r="AE801" s="35" t="s">
        <v>3610</v>
      </c>
      <c r="AF801" s="35" t="s">
        <v>3611</v>
      </c>
      <c r="AG801" s="35" t="s">
        <v>3612</v>
      </c>
      <c r="AH801" s="35" t="s">
        <v>3620</v>
      </c>
    </row>
    <row r="802" spans="1:34" ht="14.45" hidden="1" customHeight="1" x14ac:dyDescent="0.25">
      <c r="A802" s="6" t="s">
        <v>1678</v>
      </c>
      <c r="B802" s="7">
        <v>43074</v>
      </c>
      <c r="C802" s="6" t="s">
        <v>1677</v>
      </c>
      <c r="D802" s="6" t="s">
        <v>66</v>
      </c>
      <c r="E802" s="6" t="s">
        <v>3236</v>
      </c>
      <c r="F802" s="6" t="s">
        <v>3229</v>
      </c>
      <c r="G802" s="8">
        <v>1.1718299999999999</v>
      </c>
      <c r="H802" s="8">
        <v>6.2598799999999999</v>
      </c>
      <c r="I802" s="6" t="s">
        <v>2486</v>
      </c>
      <c r="J802" s="6" t="s">
        <v>2459</v>
      </c>
      <c r="K802" s="6" t="s">
        <v>2460</v>
      </c>
      <c r="L802" s="6"/>
      <c r="M802" s="6"/>
      <c r="N802" s="6" t="s">
        <v>3268</v>
      </c>
      <c r="O802" s="6" t="s">
        <v>7</v>
      </c>
      <c r="P802" s="6" t="str">
        <f>VLOOKUP(Tableau1[[#This Row],[SITES NAMES]],[1]Feuil1!$1:$1048576,8,FALSE)</f>
        <v>OK</v>
      </c>
      <c r="Q802" s="6" t="str">
        <f>VLOOKUP(Tableau1[[#This Row],[SITES NAMES]],[1]Feuil1!$1:$1048576,9,FALSE)</f>
        <v>NO</v>
      </c>
      <c r="R802" s="6" t="str">
        <f>VLOOKUP(Tableau1[[#This Row],[SITES NAMES]],[1]Feuil1!$1:$1048576,10,FALSE)</f>
        <v>NO</v>
      </c>
      <c r="S802" s="6" t="s">
        <v>2469</v>
      </c>
      <c r="T802" s="6" t="s">
        <v>2470</v>
      </c>
      <c r="U802" s="6" t="s">
        <v>2480</v>
      </c>
      <c r="V802" s="6" t="s">
        <v>2464</v>
      </c>
      <c r="W802" s="6" t="s">
        <v>2476</v>
      </c>
      <c r="X802" s="8"/>
      <c r="Y802" s="6" t="s">
        <v>3238</v>
      </c>
      <c r="Z802" s="6" t="s">
        <v>3263</v>
      </c>
      <c r="AA802" s="35" t="s">
        <v>3616</v>
      </c>
      <c r="AB802" s="35" t="s">
        <v>3608</v>
      </c>
      <c r="AC802" s="35" t="s">
        <v>3619</v>
      </c>
      <c r="AD802" s="35" t="s">
        <v>3610</v>
      </c>
      <c r="AE802" s="35" t="s">
        <v>3610</v>
      </c>
      <c r="AF802" s="35" t="s">
        <v>3611</v>
      </c>
      <c r="AG802" s="35" t="s">
        <v>3612</v>
      </c>
      <c r="AH802" s="35" t="s">
        <v>3620</v>
      </c>
    </row>
    <row r="803" spans="1:34" ht="14.45" hidden="1" customHeight="1" x14ac:dyDescent="0.25">
      <c r="A803" s="6" t="s">
        <v>1546</v>
      </c>
      <c r="B803" s="7">
        <v>0</v>
      </c>
      <c r="C803" s="6" t="s">
        <v>1545</v>
      </c>
      <c r="D803" s="6" t="s">
        <v>66</v>
      </c>
      <c r="E803" s="6" t="s">
        <v>3233</v>
      </c>
      <c r="F803" s="6" t="s">
        <v>3229</v>
      </c>
      <c r="G803" s="8">
        <v>1.1738630000000001</v>
      </c>
      <c r="H803" s="8">
        <v>6.2145399990000003</v>
      </c>
      <c r="I803" s="6" t="s">
        <v>2486</v>
      </c>
      <c r="J803" s="6" t="s">
        <v>2459</v>
      </c>
      <c r="K803" s="6" t="s">
        <v>2460</v>
      </c>
      <c r="L803" s="6"/>
      <c r="M803" s="6"/>
      <c r="N803" s="6" t="s">
        <v>3268</v>
      </c>
      <c r="O803" s="6" t="s">
        <v>7</v>
      </c>
      <c r="P803" s="6" t="str">
        <f>VLOOKUP(Tableau1[[#This Row],[SITES NAMES]],[1]Feuil1!$1:$1048576,8,FALSE)</f>
        <v>OK</v>
      </c>
      <c r="Q803" s="6" t="str">
        <f>VLOOKUP(Tableau1[[#This Row],[SITES NAMES]],[1]Feuil1!$1:$1048576,9,FALSE)</f>
        <v>YES</v>
      </c>
      <c r="R803" s="6" t="str">
        <f>VLOOKUP(Tableau1[[#This Row],[SITES NAMES]],[1]Feuil1!$1:$1048576,10,FALSE)</f>
        <v>YES</v>
      </c>
      <c r="S803" s="6" t="s">
        <v>2469</v>
      </c>
      <c r="T803" s="6" t="s">
        <v>2470</v>
      </c>
      <c r="U803" s="6" t="s">
        <v>2471</v>
      </c>
      <c r="V803" s="6" t="s">
        <v>2478</v>
      </c>
      <c r="W803" s="6" t="s">
        <v>2476</v>
      </c>
      <c r="X803" s="8" t="s">
        <v>2967</v>
      </c>
      <c r="Y803" s="6" t="s">
        <v>3238</v>
      </c>
      <c r="Z803" s="6" t="s">
        <v>3264</v>
      </c>
      <c r="AA803" s="35" t="s">
        <v>3616</v>
      </c>
      <c r="AB803" s="35" t="s">
        <v>3608</v>
      </c>
      <c r="AC803" s="35" t="s">
        <v>3617</v>
      </c>
      <c r="AD803" s="35" t="s">
        <v>3610</v>
      </c>
      <c r="AE803" s="35" t="s">
        <v>3610</v>
      </c>
      <c r="AF803" s="35" t="s">
        <v>3611</v>
      </c>
      <c r="AG803" s="35" t="s">
        <v>3612</v>
      </c>
      <c r="AH803" s="35" t="s">
        <v>3618</v>
      </c>
    </row>
    <row r="804" spans="1:34" ht="14.45" hidden="1" customHeight="1" x14ac:dyDescent="0.25">
      <c r="A804" s="6" t="s">
        <v>1922</v>
      </c>
      <c r="B804" s="7">
        <v>45247</v>
      </c>
      <c r="C804" s="6" t="s">
        <v>1921</v>
      </c>
      <c r="D804" s="6" t="s">
        <v>66</v>
      </c>
      <c r="E804" s="6" t="s">
        <v>3232</v>
      </c>
      <c r="F804" s="6" t="s">
        <v>3229</v>
      </c>
      <c r="G804" s="8">
        <v>1.2201</v>
      </c>
      <c r="H804" s="8">
        <v>6.1432000000000002</v>
      </c>
      <c r="I804" s="6" t="s">
        <v>2475</v>
      </c>
      <c r="J804" s="6" t="s">
        <v>2459</v>
      </c>
      <c r="K804" s="6" t="s">
        <v>2460</v>
      </c>
      <c r="L804" s="6" t="s">
        <v>1924</v>
      </c>
      <c r="M804" s="6" t="s">
        <v>1908</v>
      </c>
      <c r="N804" s="6" t="s">
        <v>3268</v>
      </c>
      <c r="O804" s="6" t="s">
        <v>7</v>
      </c>
      <c r="P804" s="6" t="str">
        <f>VLOOKUP(Tableau1[[#This Row],[SITES NAMES]],[1]Feuil1!$1:$1048576,8,FALSE)</f>
        <v>OK</v>
      </c>
      <c r="Q804" s="6" t="str">
        <f>VLOOKUP(Tableau1[[#This Row],[SITES NAMES]],[1]Feuil1!$1:$1048576,9,FALSE)</f>
        <v>NO</v>
      </c>
      <c r="R804" s="6" t="str">
        <f>VLOOKUP(Tableau1[[#This Row],[SITES NAMES]],[1]Feuil1!$1:$1048576,10,FALSE)</f>
        <v>NO</v>
      </c>
      <c r="S804" s="6" t="s">
        <v>2469</v>
      </c>
      <c r="T804" s="6" t="s">
        <v>2470</v>
      </c>
      <c r="U804" s="6" t="s">
        <v>2480</v>
      </c>
      <c r="V804" s="6" t="s">
        <v>2478</v>
      </c>
      <c r="W804" s="6" t="s">
        <v>2531</v>
      </c>
      <c r="X804" s="8"/>
      <c r="Y804" s="6" t="s">
        <v>3238</v>
      </c>
      <c r="Z804" s="6" t="s">
        <v>3262</v>
      </c>
      <c r="AA804" s="35" t="s">
        <v>3621</v>
      </c>
      <c r="AB804" s="35" t="s">
        <v>3608</v>
      </c>
      <c r="AC804" s="35" t="s">
        <v>3624</v>
      </c>
      <c r="AD804" s="35" t="s">
        <v>3610</v>
      </c>
      <c r="AE804" s="35" t="s">
        <v>3610</v>
      </c>
      <c r="AF804" s="35" t="s">
        <v>3611</v>
      </c>
      <c r="AG804" s="35" t="s">
        <v>3612</v>
      </c>
      <c r="AH804" s="35" t="s">
        <v>3625</v>
      </c>
    </row>
    <row r="805" spans="1:34" ht="14.45" hidden="1" customHeight="1" x14ac:dyDescent="0.3">
      <c r="A805" s="6" t="s">
        <v>2409</v>
      </c>
      <c r="B805" s="7">
        <v>0</v>
      </c>
      <c r="C805" s="6" t="s">
        <v>2408</v>
      </c>
      <c r="D805" s="6" t="s">
        <v>5</v>
      </c>
      <c r="E805" s="6" t="s">
        <v>2333</v>
      </c>
      <c r="F805" s="6" t="s">
        <v>3229</v>
      </c>
      <c r="G805" s="8">
        <v>1.1868399999999999</v>
      </c>
      <c r="H805" s="8">
        <v>6.56717</v>
      </c>
      <c r="I805" s="6" t="s">
        <v>2477</v>
      </c>
      <c r="J805" s="6" t="s">
        <v>2459</v>
      </c>
      <c r="K805" s="6" t="s">
        <v>2460</v>
      </c>
      <c r="L805" s="6"/>
      <c r="M805" s="6"/>
      <c r="N805" s="6" t="s">
        <v>3268</v>
      </c>
      <c r="O805" s="6" t="s">
        <v>18</v>
      </c>
      <c r="P805" s="6" t="str">
        <f>VLOOKUP(Tableau1[[#This Row],[SITES NAMES]],[1]Feuil1!$1:$1048576,8,FALSE)</f>
        <v>OK</v>
      </c>
      <c r="Q805" s="6" t="str">
        <f>VLOOKUP(Tableau1[[#This Row],[SITES NAMES]],[1]Feuil1!$1:$1048576,9,FALSE)</f>
        <v>NO</v>
      </c>
      <c r="R805" s="6" t="str">
        <f>VLOOKUP(Tableau1[[#This Row],[SITES NAMES]],[1]Feuil1!$1:$1048576,10,FALSE)</f>
        <v>YES</v>
      </c>
      <c r="S805" s="6" t="s">
        <v>2469</v>
      </c>
      <c r="T805" s="6" t="s">
        <v>2470</v>
      </c>
      <c r="U805" s="6" t="s">
        <v>2480</v>
      </c>
      <c r="V805" s="6" t="s">
        <v>2472</v>
      </c>
      <c r="W805" s="6" t="s">
        <v>2473</v>
      </c>
      <c r="X805" s="8" t="s">
        <v>3221</v>
      </c>
      <c r="Y805" s="6" t="s">
        <v>3241</v>
      </c>
      <c r="Z805" t="e">
        <f>VLOOKUP(Tableau1[[#This Row],[SITES NAMES]],#REF!,3,FALSE)</f>
        <v>#REF!</v>
      </c>
      <c r="AA805" s="37"/>
      <c r="AB805" s="38" t="s">
        <v>3627</v>
      </c>
      <c r="AC805" s="37" t="s">
        <v>3640</v>
      </c>
      <c r="AD805" s="39" t="s">
        <v>3641</v>
      </c>
      <c r="AE805" s="37"/>
      <c r="AF805" s="39" t="s">
        <v>3641</v>
      </c>
      <c r="AG805" s="37"/>
      <c r="AH805" s="37" t="s">
        <v>3642</v>
      </c>
    </row>
    <row r="806" spans="1:34" ht="14.45" hidden="1" customHeight="1" x14ac:dyDescent="0.25">
      <c r="A806" s="6" t="s">
        <v>1799</v>
      </c>
      <c r="B806" s="7">
        <v>43411</v>
      </c>
      <c r="C806" s="6" t="s">
        <v>1798</v>
      </c>
      <c r="D806" s="6" t="s">
        <v>66</v>
      </c>
      <c r="E806" s="6" t="s">
        <v>3234</v>
      </c>
      <c r="F806" s="6" t="s">
        <v>3229</v>
      </c>
      <c r="G806" s="8">
        <v>1.1513100000000001</v>
      </c>
      <c r="H806" s="8">
        <v>6.2096900000000002</v>
      </c>
      <c r="I806" s="6" t="s">
        <v>2475</v>
      </c>
      <c r="J806" s="6" t="s">
        <v>2459</v>
      </c>
      <c r="K806" s="6" t="s">
        <v>2460</v>
      </c>
      <c r="L806" s="6" t="s">
        <v>1712</v>
      </c>
      <c r="M806" s="6"/>
      <c r="N806" s="6" t="s">
        <v>3268</v>
      </c>
      <c r="O806" s="6" t="s">
        <v>7</v>
      </c>
      <c r="P806" s="6"/>
      <c r="Q806" s="6" t="str">
        <f>VLOOKUP(Tableau1[[#This Row],[SITES NAMES]],[1]Feuil1!$1:$1048576,9,FALSE)</f>
        <v>YES</v>
      </c>
      <c r="R806" s="6" t="str">
        <f>VLOOKUP(Tableau1[[#This Row],[SITES NAMES]],[1]Feuil1!$1:$1048576,10,FALSE)</f>
        <v>NO</v>
      </c>
      <c r="S806" s="6" t="s">
        <v>2469</v>
      </c>
      <c r="T806" s="6" t="s">
        <v>2470</v>
      </c>
      <c r="U806" s="6" t="s">
        <v>2471</v>
      </c>
      <c r="V806" s="6" t="s">
        <v>2464</v>
      </c>
      <c r="W806" s="6" t="s">
        <v>2476</v>
      </c>
      <c r="X806" s="8"/>
      <c r="Y806" s="6" t="s">
        <v>3238</v>
      </c>
      <c r="Z806" s="6" t="s">
        <v>3265</v>
      </c>
      <c r="AA806" s="35" t="s">
        <v>3607</v>
      </c>
      <c r="AB806" s="35" t="s">
        <v>3608</v>
      </c>
      <c r="AC806" s="35" t="s">
        <v>3614</v>
      </c>
      <c r="AD806" s="35" t="s">
        <v>3610</v>
      </c>
      <c r="AE806" s="35" t="s">
        <v>3610</v>
      </c>
      <c r="AF806" s="35" t="s">
        <v>3611</v>
      </c>
      <c r="AG806" s="35" t="s">
        <v>3612</v>
      </c>
      <c r="AH806" s="35" t="s">
        <v>3615</v>
      </c>
    </row>
    <row r="807" spans="1:34" ht="14.45" hidden="1" customHeight="1" x14ac:dyDescent="0.25">
      <c r="A807" s="6" t="s">
        <v>1680</v>
      </c>
      <c r="B807" s="7">
        <v>0</v>
      </c>
      <c r="C807" s="6" t="s">
        <v>1679</v>
      </c>
      <c r="D807" s="6" t="s">
        <v>66</v>
      </c>
      <c r="E807" s="6" t="s">
        <v>3236</v>
      </c>
      <c r="F807" s="18" t="s">
        <v>3230</v>
      </c>
      <c r="G807" s="8">
        <v>1.173114</v>
      </c>
      <c r="H807" s="8">
        <v>6.2298446419999998</v>
      </c>
      <c r="I807" s="6" t="s">
        <v>2486</v>
      </c>
      <c r="J807" s="6" t="s">
        <v>2459</v>
      </c>
      <c r="K807" s="6" t="s">
        <v>2460</v>
      </c>
      <c r="L807" s="6"/>
      <c r="M807" s="6"/>
      <c r="N807" s="6" t="s">
        <v>3268</v>
      </c>
      <c r="O807" s="6" t="s">
        <v>7</v>
      </c>
      <c r="P807" s="6" t="str">
        <f>VLOOKUP(Tableau1[[#This Row],[SITES NAMES]],[1]Feuil1!$1:$1048576,8,FALSE)</f>
        <v>NOK</v>
      </c>
      <c r="Q807" s="6" t="str">
        <f>VLOOKUP(Tableau1[[#This Row],[SITES NAMES]],[1]Feuil1!$1:$1048576,9,FALSE)</f>
        <v>NO</v>
      </c>
      <c r="R807" s="6" t="str">
        <f>VLOOKUP(Tableau1[[#This Row],[SITES NAMES]],[1]Feuil1!$1:$1048576,10,FALSE)</f>
        <v>NO</v>
      </c>
      <c r="S807" s="6" t="s">
        <v>2461</v>
      </c>
      <c r="T807" s="6" t="s">
        <v>2462</v>
      </c>
      <c r="U807" s="6" t="s">
        <v>2463</v>
      </c>
      <c r="V807" s="6" t="s">
        <v>2478</v>
      </c>
      <c r="W807" s="6" t="s">
        <v>2476</v>
      </c>
      <c r="X807" s="8" t="s">
        <v>3002</v>
      </c>
      <c r="Y807" s="6" t="s">
        <v>3238</v>
      </c>
      <c r="Z807" s="6" t="s">
        <v>3263</v>
      </c>
      <c r="AA807" s="35" t="s">
        <v>3616</v>
      </c>
      <c r="AB807" s="35" t="s">
        <v>3608</v>
      </c>
      <c r="AC807" s="35" t="s">
        <v>3619</v>
      </c>
      <c r="AD807" s="35" t="s">
        <v>3610</v>
      </c>
      <c r="AE807" s="35" t="s">
        <v>3610</v>
      </c>
      <c r="AF807" s="35" t="s">
        <v>3611</v>
      </c>
      <c r="AG807" s="35" t="s">
        <v>3612</v>
      </c>
      <c r="AH807" s="35" t="s">
        <v>3620</v>
      </c>
    </row>
    <row r="808" spans="1:34" ht="14.45" hidden="1" customHeight="1" x14ac:dyDescent="0.25">
      <c r="A808" s="6" t="s">
        <v>1682</v>
      </c>
      <c r="B808" s="7">
        <v>0</v>
      </c>
      <c r="C808" s="6" t="s">
        <v>1681</v>
      </c>
      <c r="D808" s="6" t="s">
        <v>66</v>
      </c>
      <c r="E808" s="6" t="s">
        <v>3236</v>
      </c>
      <c r="F808" s="6" t="s">
        <v>3229</v>
      </c>
      <c r="G808" s="8">
        <v>1.1791039999999999</v>
      </c>
      <c r="H808" s="8">
        <v>6.2373544479999996</v>
      </c>
      <c r="I808" s="6" t="s">
        <v>2486</v>
      </c>
      <c r="J808" s="6" t="s">
        <v>2459</v>
      </c>
      <c r="K808" s="6" t="s">
        <v>2460</v>
      </c>
      <c r="L808" s="6"/>
      <c r="M808" s="6"/>
      <c r="N808" s="6" t="s">
        <v>3268</v>
      </c>
      <c r="O808" s="6" t="s">
        <v>7</v>
      </c>
      <c r="P808" s="6" t="str">
        <f>VLOOKUP(Tableau1[[#This Row],[SITES NAMES]],[1]Feuil1!$1:$1048576,8,FALSE)</f>
        <v>OK</v>
      </c>
      <c r="Q808" s="6" t="str">
        <f>VLOOKUP(Tableau1[[#This Row],[SITES NAMES]],[1]Feuil1!$1:$1048576,9,FALSE)</f>
        <v>NO</v>
      </c>
      <c r="R808" s="6" t="str">
        <f>VLOOKUP(Tableau1[[#This Row],[SITES NAMES]],[1]Feuil1!$1:$1048576,10,FALSE)</f>
        <v>NO</v>
      </c>
      <c r="S808" s="6" t="s">
        <v>2461</v>
      </c>
      <c r="T808" s="6" t="s">
        <v>2462</v>
      </c>
      <c r="U808" s="6" t="s">
        <v>2463</v>
      </c>
      <c r="V808" s="6" t="s">
        <v>2478</v>
      </c>
      <c r="W808" s="6" t="s">
        <v>2476</v>
      </c>
      <c r="X808" s="8" t="s">
        <v>3003</v>
      </c>
      <c r="Y808" s="6" t="s">
        <v>3238</v>
      </c>
      <c r="Z808" s="6" t="s">
        <v>3263</v>
      </c>
      <c r="AA808" s="35" t="s">
        <v>3616</v>
      </c>
      <c r="AB808" s="35" t="s">
        <v>3608</v>
      </c>
      <c r="AC808" s="35" t="s">
        <v>3619</v>
      </c>
      <c r="AD808" s="35" t="s">
        <v>3610</v>
      </c>
      <c r="AE808" s="35" t="s">
        <v>3610</v>
      </c>
      <c r="AF808" s="35" t="s">
        <v>3611</v>
      </c>
      <c r="AG808" s="35" t="s">
        <v>3612</v>
      </c>
      <c r="AH808" s="35" t="s">
        <v>3620</v>
      </c>
    </row>
    <row r="809" spans="1:34" ht="14.45" hidden="1" customHeight="1" x14ac:dyDescent="0.25">
      <c r="A809" s="6" t="s">
        <v>1730</v>
      </c>
      <c r="B809" s="7">
        <v>46022</v>
      </c>
      <c r="C809" s="6" t="s">
        <v>1729</v>
      </c>
      <c r="D809" s="6" t="s">
        <v>66</v>
      </c>
      <c r="E809" s="6" t="s">
        <v>3234</v>
      </c>
      <c r="F809" s="6" t="s">
        <v>3229</v>
      </c>
      <c r="G809" s="8">
        <v>1.120959</v>
      </c>
      <c r="H809" s="8">
        <v>6.1940799999999996</v>
      </c>
      <c r="I809" s="16" t="s">
        <v>2475</v>
      </c>
      <c r="J809" s="6" t="s">
        <v>2459</v>
      </c>
      <c r="K809" s="6" t="s">
        <v>2460</v>
      </c>
      <c r="L809" s="6" t="s">
        <v>3534</v>
      </c>
      <c r="M809" s="6"/>
      <c r="N809" s="6" t="s">
        <v>3268</v>
      </c>
      <c r="O809" s="6" t="s">
        <v>7</v>
      </c>
      <c r="P809" s="6"/>
      <c r="Q809" s="6"/>
      <c r="R809" s="6"/>
      <c r="S809" s="6"/>
      <c r="T809" s="6"/>
      <c r="U809" s="6"/>
      <c r="V809" s="6"/>
      <c r="W809" s="6"/>
      <c r="X809" s="8"/>
      <c r="Y809" s="6" t="s">
        <v>3238</v>
      </c>
      <c r="Z809" s="6" t="s">
        <v>3265</v>
      </c>
      <c r="AA809" s="35" t="s">
        <v>3607</v>
      </c>
      <c r="AB809" s="35" t="s">
        <v>3608</v>
      </c>
      <c r="AC809" s="35" t="s">
        <v>3614</v>
      </c>
      <c r="AD809" s="35" t="s">
        <v>3610</v>
      </c>
      <c r="AE809" s="35" t="s">
        <v>3610</v>
      </c>
      <c r="AF809" s="35" t="s">
        <v>3611</v>
      </c>
      <c r="AG809" s="35" t="s">
        <v>3612</v>
      </c>
      <c r="AH809" s="35" t="s">
        <v>3615</v>
      </c>
    </row>
    <row r="810" spans="1:34" ht="14.45" hidden="1" customHeight="1" x14ac:dyDescent="0.25">
      <c r="A810" s="6" t="s">
        <v>1801</v>
      </c>
      <c r="B810" s="7">
        <v>45179</v>
      </c>
      <c r="C810" s="6" t="s">
        <v>1800</v>
      </c>
      <c r="D810" s="6" t="s">
        <v>1735</v>
      </c>
      <c r="E810" s="6" t="s">
        <v>3234</v>
      </c>
      <c r="F810" s="6" t="s">
        <v>3229</v>
      </c>
      <c r="G810" s="8">
        <v>1.13527</v>
      </c>
      <c r="H810" s="8">
        <v>6.2011900000000004</v>
      </c>
      <c r="I810" s="6" t="s">
        <v>2475</v>
      </c>
      <c r="J810" s="6" t="s">
        <v>2459</v>
      </c>
      <c r="K810" s="6" t="s">
        <v>2529</v>
      </c>
      <c r="L810" s="6" t="s">
        <v>1809</v>
      </c>
      <c r="M810" s="6" t="s">
        <v>1737</v>
      </c>
      <c r="N810" s="6" t="s">
        <v>2468</v>
      </c>
      <c r="O810" s="6" t="s">
        <v>7</v>
      </c>
      <c r="P810" s="6" t="str">
        <f>VLOOKUP(Tableau1[[#This Row],[SITES NAMES]],[1]Feuil1!$1:$1048576,8,FALSE)</f>
        <v>OK</v>
      </c>
      <c r="Q810" s="6" t="str">
        <f>VLOOKUP(Tableau1[[#This Row],[SITES NAMES]],[1]Feuil1!$1:$1048576,9,FALSE)</f>
        <v>NO</v>
      </c>
      <c r="R810" s="6" t="str">
        <f>VLOOKUP(Tableau1[[#This Row],[SITES NAMES]],[1]Feuil1!$1:$1048576,10,FALSE)</f>
        <v>NO</v>
      </c>
      <c r="S810" s="6" t="s">
        <v>2461</v>
      </c>
      <c r="T810" s="6" t="s">
        <v>2462</v>
      </c>
      <c r="U810" s="6" t="s">
        <v>2463</v>
      </c>
      <c r="V810" s="6" t="s">
        <v>2464</v>
      </c>
      <c r="W810" s="6" t="s">
        <v>2539</v>
      </c>
      <c r="X810" s="8"/>
      <c r="Y810" s="6" t="s">
        <v>3238</v>
      </c>
      <c r="Z810" s="6" t="s">
        <v>3265</v>
      </c>
      <c r="AA810" s="35" t="s">
        <v>3607</v>
      </c>
      <c r="AB810" s="35" t="s">
        <v>3608</v>
      </c>
      <c r="AC810" s="35" t="s">
        <v>3614</v>
      </c>
      <c r="AD810" s="35" t="s">
        <v>3610</v>
      </c>
      <c r="AE810" s="35" t="s">
        <v>3610</v>
      </c>
      <c r="AF810" s="35" t="s">
        <v>3611</v>
      </c>
      <c r="AG810" s="35" t="s">
        <v>3612</v>
      </c>
      <c r="AH810" s="35" t="s">
        <v>3615</v>
      </c>
    </row>
    <row r="811" spans="1:34" ht="14.45" hidden="1" customHeight="1" x14ac:dyDescent="0.3">
      <c r="A811" s="6" t="s">
        <v>39</v>
      </c>
      <c r="B811" s="7">
        <v>46022</v>
      </c>
      <c r="C811" s="6" t="s">
        <v>38</v>
      </c>
      <c r="D811" s="6" t="s">
        <v>5</v>
      </c>
      <c r="E811" s="6" t="s">
        <v>6</v>
      </c>
      <c r="F811" s="6" t="s">
        <v>3229</v>
      </c>
      <c r="G811" s="8">
        <v>1.3362259999999999</v>
      </c>
      <c r="H811" s="8">
        <v>6.2540709999999997</v>
      </c>
      <c r="I811" s="16" t="s">
        <v>2479</v>
      </c>
      <c r="J811" s="6" t="s">
        <v>2459</v>
      </c>
      <c r="K811" s="6" t="s">
        <v>2468</v>
      </c>
      <c r="L811" s="6"/>
      <c r="M811" s="6"/>
      <c r="N811" s="6" t="s">
        <v>2468</v>
      </c>
      <c r="O811" s="6" t="s">
        <v>40</v>
      </c>
      <c r="P811" s="6"/>
      <c r="Q811" s="6"/>
      <c r="R811" s="6"/>
      <c r="S811" s="6"/>
      <c r="T811" s="6"/>
      <c r="U811" s="6"/>
      <c r="V811" s="6"/>
      <c r="W811" s="6"/>
      <c r="X811" s="8">
        <v>70997355</v>
      </c>
      <c r="Y811" s="6" t="s">
        <v>3241</v>
      </c>
      <c r="Z811" s="6"/>
      <c r="AA811" s="37" t="s">
        <v>3626</v>
      </c>
      <c r="AB811" s="38" t="s">
        <v>3627</v>
      </c>
      <c r="AC811" s="37" t="s">
        <v>3633</v>
      </c>
      <c r="AD811" s="37" t="s">
        <v>3628</v>
      </c>
      <c r="AE811" s="37" t="s">
        <v>3629</v>
      </c>
      <c r="AF811" s="39" t="s">
        <v>3630</v>
      </c>
      <c r="AG811" s="37" t="s">
        <v>3631</v>
      </c>
      <c r="AH811" s="37" t="s">
        <v>3632</v>
      </c>
    </row>
    <row r="812" spans="1:34" ht="14.45" hidden="1" customHeight="1" x14ac:dyDescent="0.3">
      <c r="A812" s="6" t="s">
        <v>538</v>
      </c>
      <c r="B812" s="7">
        <v>43721</v>
      </c>
      <c r="C812" s="6" t="s">
        <v>537</v>
      </c>
      <c r="D812" s="6" t="s">
        <v>395</v>
      </c>
      <c r="E812" s="6" t="s">
        <v>396</v>
      </c>
      <c r="F812" s="6" t="s">
        <v>3229</v>
      </c>
      <c r="G812" s="8">
        <v>0.11538</v>
      </c>
      <c r="H812" s="8">
        <v>10.609297</v>
      </c>
      <c r="I812" s="6" t="s">
        <v>2477</v>
      </c>
      <c r="J812" s="6" t="s">
        <v>2459</v>
      </c>
      <c r="K812" s="6" t="s">
        <v>2468</v>
      </c>
      <c r="L812" s="6"/>
      <c r="M812" s="6"/>
      <c r="N812" s="6" t="s">
        <v>2468</v>
      </c>
      <c r="O812" s="6" t="s">
        <v>40</v>
      </c>
      <c r="P812" s="6" t="str">
        <f>VLOOKUP(Tableau1[[#This Row],[SITES NAMES]],[1]Feuil1!$1:$1048576,8,FALSE)</f>
        <v>OK</v>
      </c>
      <c r="Q812" s="6" t="str">
        <f>VLOOKUP(Tableau1[[#This Row],[SITES NAMES]],[1]Feuil1!$1:$1048576,9,FALSE)</f>
        <v>NO</v>
      </c>
      <c r="R812" s="6" t="str">
        <f>VLOOKUP(Tableau1[[#This Row],[SITES NAMES]],[1]Feuil1!$1:$1048576,10,FALSE)</f>
        <v>NO</v>
      </c>
      <c r="S812" s="6" t="s">
        <v>2469</v>
      </c>
      <c r="T812" s="6" t="s">
        <v>2470</v>
      </c>
      <c r="U812" s="6" t="s">
        <v>2471</v>
      </c>
      <c r="V812" s="6" t="s">
        <v>2472</v>
      </c>
      <c r="W812" s="6" t="s">
        <v>2473</v>
      </c>
      <c r="X812" s="8" t="s">
        <v>2669</v>
      </c>
      <c r="Y812" s="6" t="s">
        <v>3240</v>
      </c>
      <c r="Z812" s="6" t="s">
        <v>3255</v>
      </c>
      <c r="AA812" s="37" t="s">
        <v>3704</v>
      </c>
      <c r="AB812" s="39" t="s">
        <v>3705</v>
      </c>
      <c r="AC812" s="37" t="s">
        <v>3706</v>
      </c>
      <c r="AD812" s="37" t="s">
        <v>3707</v>
      </c>
      <c r="AE812" s="37" t="s">
        <v>3708</v>
      </c>
      <c r="AF812" s="37" t="s">
        <v>3709</v>
      </c>
      <c r="AG812" s="46" t="s">
        <v>3710</v>
      </c>
      <c r="AH812" s="37" t="s">
        <v>3711</v>
      </c>
    </row>
    <row r="813" spans="1:34" ht="14.45" hidden="1" customHeight="1" x14ac:dyDescent="0.3">
      <c r="A813" s="6" t="s">
        <v>232</v>
      </c>
      <c r="B813" s="7">
        <v>44070</v>
      </c>
      <c r="C813" s="6" t="s">
        <v>231</v>
      </c>
      <c r="D813" s="6" t="s">
        <v>132</v>
      </c>
      <c r="E813" s="6" t="s">
        <v>133</v>
      </c>
      <c r="F813" s="6" t="s">
        <v>3229</v>
      </c>
      <c r="G813" s="8">
        <v>1.6282209999999999</v>
      </c>
      <c r="H813" s="8">
        <v>7.5284360000000001</v>
      </c>
      <c r="I813" s="6" t="s">
        <v>2477</v>
      </c>
      <c r="J813" s="6" t="s">
        <v>2459</v>
      </c>
      <c r="K813" s="6" t="s">
        <v>2468</v>
      </c>
      <c r="L813" s="6" t="s">
        <v>3535</v>
      </c>
      <c r="M813" s="6"/>
      <c r="N813" s="6" t="s">
        <v>2468</v>
      </c>
      <c r="O813" s="6" t="s">
        <v>40</v>
      </c>
      <c r="P813" s="6" t="str">
        <f>VLOOKUP(Tableau1[[#This Row],[SITES NAMES]],[1]Feuil1!$1:$1048576,8,FALSE)</f>
        <v>OK</v>
      </c>
      <c r="Q813" s="6" t="str">
        <f>VLOOKUP(Tableau1[[#This Row],[SITES NAMES]],[1]Feuil1!$1:$1048576,9,FALSE)</f>
        <v>NO</v>
      </c>
      <c r="R813" s="6" t="str">
        <f>VLOOKUP(Tableau1[[#This Row],[SITES NAMES]],[1]Feuil1!$1:$1048576,10,FALSE)</f>
        <v>YES</v>
      </c>
      <c r="S813" s="6" t="s">
        <v>2469</v>
      </c>
      <c r="T813" s="6" t="s">
        <v>2470</v>
      </c>
      <c r="U813" s="6" t="s">
        <v>2480</v>
      </c>
      <c r="V813" s="6" t="s">
        <v>2472</v>
      </c>
      <c r="W813" s="6" t="s">
        <v>2473</v>
      </c>
      <c r="X813" s="8" t="s">
        <v>2558</v>
      </c>
      <c r="Y813" s="6" t="s">
        <v>3238</v>
      </c>
      <c r="Z813" s="6" t="s">
        <v>3258</v>
      </c>
      <c r="AA813" s="37" t="s">
        <v>3643</v>
      </c>
      <c r="AB813" s="39" t="s">
        <v>3644</v>
      </c>
      <c r="AC813" s="37" t="s">
        <v>3645</v>
      </c>
      <c r="AD813" s="39" t="s">
        <v>3646</v>
      </c>
      <c r="AE813" s="39" t="s">
        <v>3647</v>
      </c>
      <c r="AF813" s="39" t="s">
        <v>3648</v>
      </c>
      <c r="AG813" s="37" t="s">
        <v>3649</v>
      </c>
      <c r="AH813" s="37" t="s">
        <v>3650</v>
      </c>
    </row>
    <row r="814" spans="1:34" ht="14.45" hidden="1" customHeight="1" x14ac:dyDescent="0.25">
      <c r="A814" s="6" t="s">
        <v>1282</v>
      </c>
      <c r="B814" s="7">
        <v>0</v>
      </c>
      <c r="C814" s="6" t="s">
        <v>1281</v>
      </c>
      <c r="D814" s="6" t="s">
        <v>66</v>
      </c>
      <c r="E814" s="6" t="s">
        <v>1924</v>
      </c>
      <c r="F814" s="6" t="s">
        <v>3229</v>
      </c>
      <c r="G814" s="8">
        <v>1.224124</v>
      </c>
      <c r="H814" s="8">
        <v>6.1780970850000001</v>
      </c>
      <c r="I814" s="6" t="s">
        <v>2475</v>
      </c>
      <c r="J814" s="6" t="s">
        <v>2459</v>
      </c>
      <c r="K814" s="6" t="s">
        <v>2460</v>
      </c>
      <c r="L814" s="6"/>
      <c r="M814" s="6"/>
      <c r="N814" s="6" t="s">
        <v>3268</v>
      </c>
      <c r="O814" s="6" t="s">
        <v>7</v>
      </c>
      <c r="P814" s="6" t="str">
        <f>VLOOKUP(Tableau1[[#This Row],[SITES NAMES]],[1]Feuil1!$1:$1048576,8,FALSE)</f>
        <v>OK</v>
      </c>
      <c r="Q814" s="6" t="str">
        <f>VLOOKUP(Tableau1[[#This Row],[SITES NAMES]],[1]Feuil1!$1:$1048576,9,FALSE)</f>
        <v>NO</v>
      </c>
      <c r="R814" s="6" t="str">
        <f>VLOOKUP(Tableau1[[#This Row],[SITES NAMES]],[1]Feuil1!$1:$1048576,10,FALSE)</f>
        <v>YES</v>
      </c>
      <c r="S814" s="6" t="s">
        <v>2469</v>
      </c>
      <c r="T814" s="6" t="s">
        <v>2470</v>
      </c>
      <c r="U814" s="6" t="s">
        <v>2480</v>
      </c>
      <c r="V814" s="6" t="s">
        <v>2498</v>
      </c>
      <c r="W814" s="6" t="s">
        <v>2476</v>
      </c>
      <c r="X814" s="8"/>
      <c r="Y814" s="6" t="s">
        <v>3238</v>
      </c>
      <c r="Z814" s="6" t="s">
        <v>3261</v>
      </c>
      <c r="AA814" s="35" t="s">
        <v>3607</v>
      </c>
      <c r="AB814" s="35" t="s">
        <v>3608</v>
      </c>
      <c r="AC814" s="35" t="s">
        <v>3609</v>
      </c>
      <c r="AD814" s="35" t="s">
        <v>3610</v>
      </c>
      <c r="AE814" s="35" t="s">
        <v>3610</v>
      </c>
      <c r="AF814" s="35" t="s">
        <v>3611</v>
      </c>
      <c r="AG814" s="35" t="s">
        <v>3612</v>
      </c>
      <c r="AH814" s="35" t="s">
        <v>3613</v>
      </c>
    </row>
    <row r="815" spans="1:34" ht="14.45" hidden="1" customHeight="1" x14ac:dyDescent="0.25">
      <c r="A815" s="6" t="s">
        <v>1284</v>
      </c>
      <c r="B815" s="7">
        <v>0</v>
      </c>
      <c r="C815" s="6" t="s">
        <v>1283</v>
      </c>
      <c r="D815" s="6" t="s">
        <v>66</v>
      </c>
      <c r="E815" s="6" t="s">
        <v>1924</v>
      </c>
      <c r="F815" s="6" t="s">
        <v>3229</v>
      </c>
      <c r="G815" s="8">
        <v>1.232979</v>
      </c>
      <c r="H815" s="8">
        <v>6.1872550000000004</v>
      </c>
      <c r="I815" s="6" t="s">
        <v>2475</v>
      </c>
      <c r="J815" s="6" t="s">
        <v>2459</v>
      </c>
      <c r="K815" s="6" t="s">
        <v>2460</v>
      </c>
      <c r="L815" s="6" t="s">
        <v>1298</v>
      </c>
      <c r="M815" s="6"/>
      <c r="N815" s="6" t="s">
        <v>3268</v>
      </c>
      <c r="O815" s="6" t="s">
        <v>7</v>
      </c>
      <c r="P815" s="6" t="str">
        <f>VLOOKUP(Tableau1[[#This Row],[SITES NAMES]],[1]Feuil1!$1:$1048576,8,FALSE)</f>
        <v>OK</v>
      </c>
      <c r="Q815" s="6" t="str">
        <f>VLOOKUP(Tableau1[[#This Row],[SITES NAMES]],[1]Feuil1!$1:$1048576,9,FALSE)</f>
        <v>YES</v>
      </c>
      <c r="R815" s="6" t="str">
        <f>VLOOKUP(Tableau1[[#This Row],[SITES NAMES]],[1]Feuil1!$1:$1048576,10,FALSE)</f>
        <v>NO</v>
      </c>
      <c r="S815" s="6" t="s">
        <v>2469</v>
      </c>
      <c r="T815" s="6" t="s">
        <v>2470</v>
      </c>
      <c r="U815" s="6" t="s">
        <v>2480</v>
      </c>
      <c r="V815" s="6" t="s">
        <v>2464</v>
      </c>
      <c r="W815" s="6" t="s">
        <v>2476</v>
      </c>
      <c r="X815" s="8"/>
      <c r="Y815" s="6" t="s">
        <v>3238</v>
      </c>
      <c r="Z815" s="6" t="s">
        <v>3261</v>
      </c>
      <c r="AA815" s="35" t="s">
        <v>3607</v>
      </c>
      <c r="AB815" s="35" t="s">
        <v>3608</v>
      </c>
      <c r="AC815" s="35" t="s">
        <v>3609</v>
      </c>
      <c r="AD815" s="35" t="s">
        <v>3610</v>
      </c>
      <c r="AE815" s="35" t="s">
        <v>3610</v>
      </c>
      <c r="AF815" s="35" t="s">
        <v>3611</v>
      </c>
      <c r="AG815" s="35" t="s">
        <v>3612</v>
      </c>
      <c r="AH815" s="35" t="s">
        <v>3613</v>
      </c>
    </row>
    <row r="816" spans="1:34" ht="14.45" hidden="1" customHeight="1" x14ac:dyDescent="0.25">
      <c r="A816" s="6" t="s">
        <v>1286</v>
      </c>
      <c r="B816" s="7">
        <v>43562</v>
      </c>
      <c r="C816" s="6" t="s">
        <v>1285</v>
      </c>
      <c r="D816" s="6" t="s">
        <v>66</v>
      </c>
      <c r="E816" s="6" t="s">
        <v>1924</v>
      </c>
      <c r="F816" s="6" t="s">
        <v>3229</v>
      </c>
      <c r="G816" s="8">
        <v>1.232979</v>
      </c>
      <c r="H816" s="8">
        <v>6.1872550000000004</v>
      </c>
      <c r="I816" s="6" t="s">
        <v>2497</v>
      </c>
      <c r="J816" s="6" t="s">
        <v>2459</v>
      </c>
      <c r="K816" s="6" t="s">
        <v>2460</v>
      </c>
      <c r="L816" s="6" t="s">
        <v>3536</v>
      </c>
      <c r="M816" s="6"/>
      <c r="N816" s="6" t="s">
        <v>3268</v>
      </c>
      <c r="O816" s="6" t="s">
        <v>7</v>
      </c>
      <c r="P816" s="6" t="str">
        <f>VLOOKUP(Tableau1[[#This Row],[SITES NAMES]],[1]Feuil1!$1:$1048576,8,FALSE)</f>
        <v>OK</v>
      </c>
      <c r="Q816" s="6" t="str">
        <f>VLOOKUP(Tableau1[[#This Row],[SITES NAMES]],[1]Feuil1!$1:$1048576,9,FALSE)</f>
        <v>NO</v>
      </c>
      <c r="R816" s="6" t="str">
        <f>VLOOKUP(Tableau1[[#This Row],[SITES NAMES]],[1]Feuil1!$1:$1048576,10,FALSE)</f>
        <v>YES</v>
      </c>
      <c r="S816" s="6" t="s">
        <v>2461</v>
      </c>
      <c r="T816" s="6" t="s">
        <v>2462</v>
      </c>
      <c r="U816" s="6" t="s">
        <v>2463</v>
      </c>
      <c r="V816" s="6" t="s">
        <v>2498</v>
      </c>
      <c r="W816" s="6" t="s">
        <v>2476</v>
      </c>
      <c r="X816" s="8"/>
      <c r="Y816" s="6" t="s">
        <v>3238</v>
      </c>
      <c r="Z816" s="6" t="s">
        <v>3261</v>
      </c>
      <c r="AA816" s="35" t="s">
        <v>3607</v>
      </c>
      <c r="AB816" s="35" t="s">
        <v>3608</v>
      </c>
      <c r="AC816" s="35" t="s">
        <v>3609</v>
      </c>
      <c r="AD816" s="35" t="s">
        <v>3610</v>
      </c>
      <c r="AE816" s="35" t="s">
        <v>3610</v>
      </c>
      <c r="AF816" s="35" t="s">
        <v>3611</v>
      </c>
      <c r="AG816" s="35" t="s">
        <v>3612</v>
      </c>
      <c r="AH816" s="35" t="s">
        <v>3613</v>
      </c>
    </row>
    <row r="817" spans="1:34" hidden="1" x14ac:dyDescent="0.25">
      <c r="A817" s="6" t="s">
        <v>1924</v>
      </c>
      <c r="B817" s="7">
        <v>0</v>
      </c>
      <c r="C817" s="6" t="s">
        <v>1923</v>
      </c>
      <c r="D817" s="6" t="s">
        <v>66</v>
      </c>
      <c r="E817" s="6" t="s">
        <v>3232</v>
      </c>
      <c r="F817" s="18" t="s">
        <v>3230</v>
      </c>
      <c r="G817" s="8">
        <v>1.2242150000000001</v>
      </c>
      <c r="H817" s="8">
        <v>6.1341253609999997</v>
      </c>
      <c r="I817" s="6" t="s">
        <v>2497</v>
      </c>
      <c r="J817" s="6" t="s">
        <v>2459</v>
      </c>
      <c r="K817" s="6" t="s">
        <v>2460</v>
      </c>
      <c r="L817" s="6"/>
      <c r="M817" s="6"/>
      <c r="N817" s="21" t="s">
        <v>3269</v>
      </c>
      <c r="O817" s="6" t="s">
        <v>7</v>
      </c>
      <c r="P817" s="6" t="str">
        <f>VLOOKUP(Tableau1[[#This Row],[SITES NAMES]],[1]Feuil1!$1:$1048576,8,FALSE)</f>
        <v>OK</v>
      </c>
      <c r="Q817" s="6" t="str">
        <f>VLOOKUP(Tableau1[[#This Row],[SITES NAMES]],[1]Feuil1!$1:$1048576,9,FALSE)</f>
        <v>NO</v>
      </c>
      <c r="R817" s="6" t="str">
        <f>VLOOKUP(Tableau1[[#This Row],[SITES NAMES]],[1]Feuil1!$1:$1048576,10,FALSE)</f>
        <v>NO</v>
      </c>
      <c r="S817" s="6" t="s">
        <v>2461</v>
      </c>
      <c r="T817" s="6" t="s">
        <v>2462</v>
      </c>
      <c r="U817" s="6" t="s">
        <v>2463</v>
      </c>
      <c r="V817" s="6" t="s">
        <v>2498</v>
      </c>
      <c r="W817" s="6" t="s">
        <v>2476</v>
      </c>
      <c r="X817" s="8"/>
      <c r="Y817" s="6" t="s">
        <v>3238</v>
      </c>
      <c r="Z817" s="6" t="s">
        <v>3262</v>
      </c>
      <c r="AA817" s="35" t="s">
        <v>3621</v>
      </c>
      <c r="AB817" s="35" t="s">
        <v>3608</v>
      </c>
      <c r="AC817" s="35" t="s">
        <v>3624</v>
      </c>
      <c r="AD817" s="35" t="s">
        <v>3610</v>
      </c>
      <c r="AE817" s="35" t="s">
        <v>3610</v>
      </c>
      <c r="AF817" s="35" t="s">
        <v>3611</v>
      </c>
      <c r="AG817" s="35" t="s">
        <v>3612</v>
      </c>
      <c r="AH817" s="35" t="s">
        <v>3625</v>
      </c>
    </row>
    <row r="818" spans="1:34" ht="14.45" hidden="1" customHeight="1" x14ac:dyDescent="0.25">
      <c r="A818" s="6" t="s">
        <v>1548</v>
      </c>
      <c r="B818" s="7">
        <v>44617</v>
      </c>
      <c r="C818" s="6" t="s">
        <v>1547</v>
      </c>
      <c r="D818" s="6" t="s">
        <v>66</v>
      </c>
      <c r="E818" s="6" t="s">
        <v>3233</v>
      </c>
      <c r="F818" s="6" t="s">
        <v>3229</v>
      </c>
      <c r="G818" s="8">
        <v>1.1858299999999999</v>
      </c>
      <c r="H818" s="8">
        <v>6.3398000000000003</v>
      </c>
      <c r="I818" s="6" t="s">
        <v>2477</v>
      </c>
      <c r="J818" s="6" t="s">
        <v>2459</v>
      </c>
      <c r="K818" s="6" t="s">
        <v>2460</v>
      </c>
      <c r="L818" s="6"/>
      <c r="M818" s="6"/>
      <c r="N818" s="6" t="s">
        <v>3268</v>
      </c>
      <c r="O818" s="6" t="s">
        <v>37</v>
      </c>
      <c r="P818" s="6" t="str">
        <f>VLOOKUP(Tableau1[[#This Row],[SITES NAMES]],[1]Feuil1!$1:$1048576,8,FALSE)</f>
        <v>NOK</v>
      </c>
      <c r="Q818" s="6" t="str">
        <f>VLOOKUP(Tableau1[[#This Row],[SITES NAMES]],[1]Feuil1!$1:$1048576,9,FALSE)</f>
        <v>YES</v>
      </c>
      <c r="R818" s="6" t="str">
        <f>VLOOKUP(Tableau1[[#This Row],[SITES NAMES]],[1]Feuil1!$1:$1048576,10,FALSE)</f>
        <v>YES</v>
      </c>
      <c r="S818" s="6" t="s">
        <v>2469</v>
      </c>
      <c r="T818" s="6" t="s">
        <v>2470</v>
      </c>
      <c r="U818" s="6" t="s">
        <v>2480</v>
      </c>
      <c r="V818" s="6" t="s">
        <v>2472</v>
      </c>
      <c r="W818" s="6" t="s">
        <v>2473</v>
      </c>
      <c r="X818" s="8" t="s">
        <v>2968</v>
      </c>
      <c r="Y818" s="6" t="s">
        <v>3238</v>
      </c>
      <c r="Z818" s="6" t="s">
        <v>3264</v>
      </c>
      <c r="AA818" s="35" t="s">
        <v>3616</v>
      </c>
      <c r="AB818" s="35" t="s">
        <v>3608</v>
      </c>
      <c r="AC818" s="35" t="s">
        <v>3617</v>
      </c>
      <c r="AD818" s="35" t="s">
        <v>3610</v>
      </c>
      <c r="AE818" s="35" t="s">
        <v>3610</v>
      </c>
      <c r="AF818" s="35" t="s">
        <v>3611</v>
      </c>
      <c r="AG818" s="35" t="s">
        <v>3612</v>
      </c>
      <c r="AH818" s="35" t="s">
        <v>3618</v>
      </c>
    </row>
    <row r="819" spans="1:34" ht="14.45" hidden="1" customHeight="1" x14ac:dyDescent="0.25">
      <c r="A819" s="6" t="s">
        <v>1926</v>
      </c>
      <c r="B819" s="7">
        <v>0</v>
      </c>
      <c r="C819" s="6" t="s">
        <v>1925</v>
      </c>
      <c r="D819" s="6" t="s">
        <v>66</v>
      </c>
      <c r="E819" s="6" t="s">
        <v>3232</v>
      </c>
      <c r="F819" s="6" t="s">
        <v>3229</v>
      </c>
      <c r="G819" s="8">
        <v>1.214107</v>
      </c>
      <c r="H819" s="8">
        <v>6.1324769999999997</v>
      </c>
      <c r="I819" s="6" t="s">
        <v>2475</v>
      </c>
      <c r="J819" s="6" t="s">
        <v>2459</v>
      </c>
      <c r="K819" s="6" t="s">
        <v>2460</v>
      </c>
      <c r="L819" s="6"/>
      <c r="M819" s="6"/>
      <c r="N819" s="6" t="s">
        <v>3268</v>
      </c>
      <c r="O819" s="6" t="s">
        <v>1206</v>
      </c>
      <c r="P819" s="6"/>
      <c r="Q819" s="6" t="str">
        <f>VLOOKUP(Tableau1[[#This Row],[SITES NAMES]],[1]Feuil1!$1:$1048576,9,FALSE)</f>
        <v>YES</v>
      </c>
      <c r="R819" s="6" t="str">
        <f>VLOOKUP(Tableau1[[#This Row],[SITES NAMES]],[1]Feuil1!$1:$1048576,10,FALSE)</f>
        <v>NO</v>
      </c>
      <c r="S819" s="6" t="s">
        <v>2469</v>
      </c>
      <c r="T819" s="6" t="s">
        <v>2470</v>
      </c>
      <c r="U819" s="6" t="s">
        <v>2463</v>
      </c>
      <c r="V819" s="6" t="s">
        <v>2498</v>
      </c>
      <c r="W819" s="6" t="s">
        <v>2476</v>
      </c>
      <c r="X819" s="8" t="s">
        <v>3053</v>
      </c>
      <c r="Y819" s="6" t="s">
        <v>3238</v>
      </c>
      <c r="Z819" s="6" t="s">
        <v>3262</v>
      </c>
      <c r="AA819" s="35" t="s">
        <v>3621</v>
      </c>
      <c r="AB819" s="35" t="s">
        <v>3608</v>
      </c>
      <c r="AC819" s="35" t="s">
        <v>3624</v>
      </c>
      <c r="AD819" s="35" t="s">
        <v>3610</v>
      </c>
      <c r="AE819" s="35" t="s">
        <v>3610</v>
      </c>
      <c r="AF819" s="35" t="s">
        <v>3611</v>
      </c>
      <c r="AG819" s="35" t="s">
        <v>3612</v>
      </c>
      <c r="AH819" s="35" t="s">
        <v>3625</v>
      </c>
    </row>
    <row r="820" spans="1:34" ht="14.45" hidden="1" customHeight="1" x14ac:dyDescent="0.25">
      <c r="A820" s="6" t="s">
        <v>1928</v>
      </c>
      <c r="B820" s="7">
        <v>0</v>
      </c>
      <c r="C820" s="6" t="s">
        <v>1927</v>
      </c>
      <c r="D820" s="6" t="s">
        <v>66</v>
      </c>
      <c r="E820" s="6" t="s">
        <v>3232</v>
      </c>
      <c r="F820" s="6" t="s">
        <v>3229</v>
      </c>
      <c r="G820" s="8">
        <v>1.2155861109999999</v>
      </c>
      <c r="H820" s="8">
        <v>6.1334861109999999</v>
      </c>
      <c r="I820" s="6" t="s">
        <v>3054</v>
      </c>
      <c r="J820" s="6" t="s">
        <v>2459</v>
      </c>
      <c r="K820" s="6" t="s">
        <v>2460</v>
      </c>
      <c r="L820" s="6"/>
      <c r="M820" s="6"/>
      <c r="N820" s="6" t="s">
        <v>3268</v>
      </c>
      <c r="O820" s="6" t="s">
        <v>1206</v>
      </c>
      <c r="P820" s="6"/>
      <c r="Q820" s="6" t="str">
        <f>VLOOKUP(Tableau1[[#This Row],[SITES NAMES]],[1]Feuil1!$1:$1048576,9,FALSE)</f>
        <v>NO</v>
      </c>
      <c r="R820" s="6"/>
      <c r="S820" s="6" t="s">
        <v>2461</v>
      </c>
      <c r="T820" s="6" t="s">
        <v>2462</v>
      </c>
      <c r="U820" s="6" t="s">
        <v>2463</v>
      </c>
      <c r="V820" s="6"/>
      <c r="W820" s="6"/>
      <c r="X820" s="8"/>
      <c r="Y820" s="6" t="s">
        <v>3238</v>
      </c>
      <c r="Z820" s="6" t="s">
        <v>3262</v>
      </c>
      <c r="AA820" s="35" t="s">
        <v>3621</v>
      </c>
      <c r="AB820" s="35" t="s">
        <v>3608</v>
      </c>
      <c r="AC820" s="35" t="s">
        <v>3624</v>
      </c>
      <c r="AD820" s="35" t="s">
        <v>3610</v>
      </c>
      <c r="AE820" s="35" t="s">
        <v>3610</v>
      </c>
      <c r="AF820" s="35" t="s">
        <v>3611</v>
      </c>
      <c r="AG820" s="35" t="s">
        <v>3612</v>
      </c>
      <c r="AH820" s="35" t="s">
        <v>3625</v>
      </c>
    </row>
    <row r="821" spans="1:34" ht="14.45" hidden="1" customHeight="1" x14ac:dyDescent="0.3">
      <c r="A821" s="6" t="s">
        <v>440</v>
      </c>
      <c r="B821" s="7">
        <v>0</v>
      </c>
      <c r="C821" s="6" t="s">
        <v>439</v>
      </c>
      <c r="D821" s="6" t="s">
        <v>395</v>
      </c>
      <c r="E821" s="6" t="s">
        <v>396</v>
      </c>
      <c r="F821" s="6" t="s">
        <v>3229</v>
      </c>
      <c r="G821" s="8">
        <v>3.1512999999999999E-2</v>
      </c>
      <c r="H821" s="8">
        <v>10.790392000000001</v>
      </c>
      <c r="I821" s="6" t="s">
        <v>2486</v>
      </c>
      <c r="J821" s="6" t="s">
        <v>2459</v>
      </c>
      <c r="K821" s="6" t="s">
        <v>2468</v>
      </c>
      <c r="L821" s="6"/>
      <c r="M821" s="6"/>
      <c r="N821" s="6" t="s">
        <v>2468</v>
      </c>
      <c r="O821" s="6" t="s">
        <v>40</v>
      </c>
      <c r="P821" s="6" t="str">
        <f>VLOOKUP(Tableau1[[#This Row],[SITES NAMES]],[1]Feuil1!$1:$1048576,8,FALSE)</f>
        <v>OK</v>
      </c>
      <c r="Q821" s="6" t="str">
        <f>VLOOKUP(Tableau1[[#This Row],[SITES NAMES]],[1]Feuil1!$1:$1048576,9,FALSE)</f>
        <v>NO</v>
      </c>
      <c r="R821" s="6" t="str">
        <f>VLOOKUP(Tableau1[[#This Row],[SITES NAMES]],[1]Feuil1!$1:$1048576,10,FALSE)</f>
        <v>NO</v>
      </c>
      <c r="S821" s="6" t="s">
        <v>2461</v>
      </c>
      <c r="T821" s="6" t="s">
        <v>2462</v>
      </c>
      <c r="U821" s="6" t="s">
        <v>2463</v>
      </c>
      <c r="V821" s="6" t="s">
        <v>2472</v>
      </c>
      <c r="W821" s="6" t="s">
        <v>2473</v>
      </c>
      <c r="X821" s="8" t="s">
        <v>2638</v>
      </c>
      <c r="Y821" s="6" t="s">
        <v>3240</v>
      </c>
      <c r="Z821" s="6" t="s">
        <v>3255</v>
      </c>
      <c r="AA821" s="37" t="s">
        <v>3704</v>
      </c>
      <c r="AB821" s="39" t="s">
        <v>3705</v>
      </c>
      <c r="AC821" s="37" t="s">
        <v>3706</v>
      </c>
      <c r="AD821" s="37" t="s">
        <v>3707</v>
      </c>
      <c r="AE821" s="37" t="s">
        <v>3708</v>
      </c>
      <c r="AF821" s="37" t="s">
        <v>3709</v>
      </c>
      <c r="AG821" s="46" t="s">
        <v>3710</v>
      </c>
      <c r="AH821" s="37" t="s">
        <v>3711</v>
      </c>
    </row>
    <row r="822" spans="1:34" ht="14.45" hidden="1" customHeight="1" x14ac:dyDescent="0.25">
      <c r="A822" s="6" t="s">
        <v>1288</v>
      </c>
      <c r="B822" s="7">
        <v>0</v>
      </c>
      <c r="C822" s="6" t="s">
        <v>1287</v>
      </c>
      <c r="D822" s="6" t="s">
        <v>66</v>
      </c>
      <c r="E822" s="6" t="s">
        <v>1924</v>
      </c>
      <c r="F822" s="6" t="s">
        <v>3229</v>
      </c>
      <c r="G822" s="8">
        <v>1.228613</v>
      </c>
      <c r="H822" s="8">
        <v>6.1536954540000002</v>
      </c>
      <c r="I822" s="6" t="s">
        <v>2497</v>
      </c>
      <c r="J822" s="6" t="s">
        <v>2459</v>
      </c>
      <c r="K822" s="6" t="s">
        <v>2460</v>
      </c>
      <c r="L822" s="6"/>
      <c r="M822" s="6"/>
      <c r="N822" s="6" t="s">
        <v>3268</v>
      </c>
      <c r="O822" s="6" t="s">
        <v>7</v>
      </c>
      <c r="P822" s="6" t="str">
        <f>VLOOKUP(Tableau1[[#This Row],[SITES NAMES]],[1]Feuil1!$1:$1048576,8,FALSE)</f>
        <v>OK</v>
      </c>
      <c r="Q822" s="6" t="str">
        <f>VLOOKUP(Tableau1[[#This Row],[SITES NAMES]],[1]Feuil1!$1:$1048576,9,FALSE)</f>
        <v>NO</v>
      </c>
      <c r="R822" s="6" t="str">
        <f>VLOOKUP(Tableau1[[#This Row],[SITES NAMES]],[1]Feuil1!$1:$1048576,10,FALSE)</f>
        <v>YES</v>
      </c>
      <c r="S822" s="6" t="s">
        <v>2461</v>
      </c>
      <c r="T822" s="6" t="s">
        <v>2462</v>
      </c>
      <c r="U822" s="6" t="s">
        <v>2463</v>
      </c>
      <c r="V822" s="6" t="s">
        <v>2498</v>
      </c>
      <c r="W822" s="6" t="s">
        <v>2476</v>
      </c>
      <c r="X822" s="8" t="s">
        <v>2919</v>
      </c>
      <c r="Y822" s="6" t="s">
        <v>3238</v>
      </c>
      <c r="Z822" s="6" t="s">
        <v>3261</v>
      </c>
      <c r="AA822" s="35" t="s">
        <v>3607</v>
      </c>
      <c r="AB822" s="35" t="s">
        <v>3608</v>
      </c>
      <c r="AC822" s="35" t="s">
        <v>3609</v>
      </c>
      <c r="AD822" s="35" t="s">
        <v>3610</v>
      </c>
      <c r="AE822" s="35" t="s">
        <v>3610</v>
      </c>
      <c r="AF822" s="35" t="s">
        <v>3611</v>
      </c>
      <c r="AG822" s="35" t="s">
        <v>3612</v>
      </c>
      <c r="AH822" s="35" t="s">
        <v>3613</v>
      </c>
    </row>
    <row r="823" spans="1:34" ht="14.45" hidden="1" customHeight="1" x14ac:dyDescent="0.3">
      <c r="A823" s="6" t="s">
        <v>234</v>
      </c>
      <c r="B823" s="7">
        <v>0</v>
      </c>
      <c r="C823" s="6" t="s">
        <v>233</v>
      </c>
      <c r="D823" s="6" t="s">
        <v>132</v>
      </c>
      <c r="E823" s="6" t="s">
        <v>133</v>
      </c>
      <c r="F823" s="6" t="s">
        <v>3229</v>
      </c>
      <c r="G823" s="8">
        <v>1.3215920000000001</v>
      </c>
      <c r="H823" s="8">
        <v>7.2581119999999997</v>
      </c>
      <c r="I823" s="6" t="s">
        <v>2477</v>
      </c>
      <c r="J823" s="6" t="s">
        <v>2459</v>
      </c>
      <c r="K823" s="6" t="s">
        <v>2468</v>
      </c>
      <c r="L823" s="6" t="s">
        <v>2071</v>
      </c>
      <c r="M823" s="6"/>
      <c r="N823" s="6" t="s">
        <v>2468</v>
      </c>
      <c r="O823" s="6" t="s">
        <v>40</v>
      </c>
      <c r="P823" s="6" t="str">
        <f>VLOOKUP(Tableau1[[#This Row],[SITES NAMES]],[1]Feuil1!$1:$1048576,8,FALSE)</f>
        <v>OK</v>
      </c>
      <c r="Q823" s="6" t="str">
        <f>VLOOKUP(Tableau1[[#This Row],[SITES NAMES]],[1]Feuil1!$1:$1048576,9,FALSE)</f>
        <v>NO</v>
      </c>
      <c r="R823" s="6" t="str">
        <f>VLOOKUP(Tableau1[[#This Row],[SITES NAMES]],[1]Feuil1!$1:$1048576,10,FALSE)</f>
        <v>YES</v>
      </c>
      <c r="S823" s="6" t="s">
        <v>2461</v>
      </c>
      <c r="T823" s="6" t="s">
        <v>2470</v>
      </c>
      <c r="U823" s="6" t="s">
        <v>2463</v>
      </c>
      <c r="V823" s="6" t="s">
        <v>2472</v>
      </c>
      <c r="W823" s="6" t="s">
        <v>2473</v>
      </c>
      <c r="X823" s="8" t="s">
        <v>2559</v>
      </c>
      <c r="Y823" s="6" t="s">
        <v>3238</v>
      </c>
      <c r="Z823" s="6" t="s">
        <v>3258</v>
      </c>
      <c r="AA823" s="37" t="s">
        <v>3643</v>
      </c>
      <c r="AB823" s="39" t="s">
        <v>3644</v>
      </c>
      <c r="AC823" s="37" t="s">
        <v>3645</v>
      </c>
      <c r="AD823" s="39" t="s">
        <v>3646</v>
      </c>
      <c r="AE823" s="39" t="s">
        <v>3647</v>
      </c>
      <c r="AF823" s="39" t="s">
        <v>3648</v>
      </c>
      <c r="AG823" s="37" t="s">
        <v>3649</v>
      </c>
      <c r="AH823" s="37" t="s">
        <v>3650</v>
      </c>
    </row>
    <row r="824" spans="1:34" ht="14.45" hidden="1" customHeight="1" x14ac:dyDescent="0.3">
      <c r="A824" s="6" t="s">
        <v>829</v>
      </c>
      <c r="B824" s="7">
        <v>46022</v>
      </c>
      <c r="C824" s="6" t="s">
        <v>828</v>
      </c>
      <c r="D824" s="6" t="s">
        <v>657</v>
      </c>
      <c r="E824" s="6" t="s">
        <v>3237</v>
      </c>
      <c r="F824" s="6" t="s">
        <v>3229</v>
      </c>
      <c r="G824" s="8">
        <v>1.3606929999999999</v>
      </c>
      <c r="H824" s="8">
        <v>9.8221860000000003</v>
      </c>
      <c r="I824" s="15" t="s">
        <v>3227</v>
      </c>
      <c r="J824" s="6" t="s">
        <v>2459</v>
      </c>
      <c r="K824" s="6" t="s">
        <v>2468</v>
      </c>
      <c r="L824" s="6"/>
      <c r="M824" s="6"/>
      <c r="N824" s="6" t="s">
        <v>2468</v>
      </c>
      <c r="O824" s="6" t="s">
        <v>40</v>
      </c>
      <c r="P824" s="6"/>
      <c r="Q824" s="6"/>
      <c r="R824" s="6"/>
      <c r="S824" s="6"/>
      <c r="T824" s="6"/>
      <c r="U824" s="6"/>
      <c r="V824" s="6"/>
      <c r="W824" s="6"/>
      <c r="X824" s="8"/>
      <c r="Y824" s="6" t="s">
        <v>3239</v>
      </c>
      <c r="Z824" s="6" t="s">
        <v>3253</v>
      </c>
      <c r="AA824" s="37" t="s">
        <v>3692</v>
      </c>
      <c r="AB824" s="38" t="s">
        <v>3683</v>
      </c>
      <c r="AC824" s="39" t="s">
        <v>3693</v>
      </c>
      <c r="AD824" s="39" t="s">
        <v>3694</v>
      </c>
      <c r="AE824" s="37" t="s">
        <v>3695</v>
      </c>
      <c r="AF824" s="39" t="s">
        <v>3696</v>
      </c>
      <c r="AG824" s="40" t="s">
        <v>3685</v>
      </c>
      <c r="AH824" s="37" t="s">
        <v>3697</v>
      </c>
    </row>
    <row r="825" spans="1:34" ht="14.45" hidden="1" customHeight="1" x14ac:dyDescent="0.25">
      <c r="A825" s="6" t="s">
        <v>1684</v>
      </c>
      <c r="B825" s="7">
        <v>44539</v>
      </c>
      <c r="C825" s="6" t="s">
        <v>1683</v>
      </c>
      <c r="D825" s="6" t="s">
        <v>66</v>
      </c>
      <c r="E825" s="6" t="s">
        <v>3236</v>
      </c>
      <c r="F825" s="18" t="s">
        <v>3230</v>
      </c>
      <c r="G825" s="8">
        <v>1.1463699899999999</v>
      </c>
      <c r="H825" s="8">
        <v>6.2664200000000001</v>
      </c>
      <c r="I825" s="6" t="s">
        <v>2475</v>
      </c>
      <c r="J825" s="6" t="s">
        <v>2459</v>
      </c>
      <c r="K825" s="6" t="s">
        <v>2460</v>
      </c>
      <c r="L825" s="6"/>
      <c r="M825" s="6"/>
      <c r="N825" s="6" t="s">
        <v>3268</v>
      </c>
      <c r="O825" s="6" t="s">
        <v>7</v>
      </c>
      <c r="P825" s="6" t="str">
        <f>VLOOKUP(Tableau1[[#This Row],[SITES NAMES]],[1]Feuil1!$1:$1048576,8,FALSE)</f>
        <v>OK</v>
      </c>
      <c r="Q825" s="6" t="str">
        <f>VLOOKUP(Tableau1[[#This Row],[SITES NAMES]],[1]Feuil1!$1:$1048576,9,FALSE)</f>
        <v>YES</v>
      </c>
      <c r="R825" s="6" t="str">
        <f>VLOOKUP(Tableau1[[#This Row],[SITES NAMES]],[1]Feuil1!$1:$1048576,10,FALSE)</f>
        <v>YES</v>
      </c>
      <c r="S825" s="6" t="s">
        <v>2461</v>
      </c>
      <c r="T825" s="6" t="s">
        <v>2462</v>
      </c>
      <c r="U825" s="6" t="s">
        <v>2463</v>
      </c>
      <c r="V825" s="6" t="s">
        <v>2478</v>
      </c>
      <c r="W825" s="6" t="s">
        <v>2476</v>
      </c>
      <c r="X825" s="8"/>
      <c r="Y825" s="6" t="s">
        <v>3238</v>
      </c>
      <c r="Z825" s="6" t="s">
        <v>3263</v>
      </c>
      <c r="AA825" s="35" t="s">
        <v>3616</v>
      </c>
      <c r="AB825" s="35" t="s">
        <v>3608</v>
      </c>
      <c r="AC825" s="35" t="s">
        <v>3619</v>
      </c>
      <c r="AD825" s="35" t="s">
        <v>3610</v>
      </c>
      <c r="AE825" s="35" t="s">
        <v>3610</v>
      </c>
      <c r="AF825" s="35" t="s">
        <v>3611</v>
      </c>
      <c r="AG825" s="35" t="s">
        <v>3612</v>
      </c>
      <c r="AH825" s="35" t="s">
        <v>3620</v>
      </c>
    </row>
    <row r="826" spans="1:34" ht="14.45" hidden="1" customHeight="1" x14ac:dyDescent="0.3">
      <c r="A826" s="6" t="s">
        <v>454</v>
      </c>
      <c r="B826" s="7">
        <v>0</v>
      </c>
      <c r="C826" s="6" t="s">
        <v>453</v>
      </c>
      <c r="D826" s="6" t="s">
        <v>395</v>
      </c>
      <c r="E826" s="6" t="s">
        <v>396</v>
      </c>
      <c r="F826" s="6" t="s">
        <v>3229</v>
      </c>
      <c r="G826" s="8">
        <v>7.9439999999999997E-2</v>
      </c>
      <c r="H826" s="8">
        <v>10.6683</v>
      </c>
      <c r="I826" s="6" t="s">
        <v>2477</v>
      </c>
      <c r="J826" s="6" t="s">
        <v>2459</v>
      </c>
      <c r="K826" s="6" t="s">
        <v>2468</v>
      </c>
      <c r="L826" s="6" t="s">
        <v>3537</v>
      </c>
      <c r="M826" s="6"/>
      <c r="N826" s="6" t="s">
        <v>2468</v>
      </c>
      <c r="O826" s="6" t="s">
        <v>40</v>
      </c>
      <c r="P826" s="6" t="str">
        <f>VLOOKUP(Tableau1[[#This Row],[SITES NAMES]],[1]Feuil1!$1:$1048576,8,FALSE)</f>
        <v>OK</v>
      </c>
      <c r="Q826" s="6" t="str">
        <f>VLOOKUP(Tableau1[[#This Row],[SITES NAMES]],[1]Feuil1!$1:$1048576,9,FALSE)</f>
        <v>NO</v>
      </c>
      <c r="R826" s="6" t="str">
        <f>VLOOKUP(Tableau1[[#This Row],[SITES NAMES]],[1]Feuil1!$1:$1048576,10,FALSE)</f>
        <v>YES</v>
      </c>
      <c r="S826" s="6" t="s">
        <v>2461</v>
      </c>
      <c r="T826" s="6" t="s">
        <v>2462</v>
      </c>
      <c r="U826" s="6" t="s">
        <v>2463</v>
      </c>
      <c r="V826" s="6" t="s">
        <v>2472</v>
      </c>
      <c r="W826" s="6" t="s">
        <v>2473</v>
      </c>
      <c r="X826" s="8" t="s">
        <v>2645</v>
      </c>
      <c r="Y826" s="6" t="s">
        <v>3240</v>
      </c>
      <c r="Z826" s="6" t="s">
        <v>3255</v>
      </c>
      <c r="AA826" s="37" t="s">
        <v>3704</v>
      </c>
      <c r="AB826" s="39" t="s">
        <v>3705</v>
      </c>
      <c r="AC826" s="37" t="s">
        <v>3706</v>
      </c>
      <c r="AD826" s="37" t="s">
        <v>3707</v>
      </c>
      <c r="AE826" s="37" t="s">
        <v>3708</v>
      </c>
      <c r="AF826" s="37" t="s">
        <v>3709</v>
      </c>
      <c r="AG826" s="46" t="s">
        <v>3710</v>
      </c>
      <c r="AH826" s="37" t="s">
        <v>3711</v>
      </c>
    </row>
    <row r="827" spans="1:34" ht="14.45" hidden="1" customHeight="1" x14ac:dyDescent="0.3">
      <c r="A827" s="6" t="s">
        <v>2223</v>
      </c>
      <c r="B827" s="7">
        <v>0</v>
      </c>
      <c r="C827" s="6" t="s">
        <v>2222</v>
      </c>
      <c r="D827" s="6" t="s">
        <v>320</v>
      </c>
      <c r="E827" s="6" t="s">
        <v>2141</v>
      </c>
      <c r="F827" s="6" t="s">
        <v>3229</v>
      </c>
      <c r="G827" s="8">
        <v>0.97143000000000002</v>
      </c>
      <c r="H827" s="8">
        <v>9.17666</v>
      </c>
      <c r="I827" s="6" t="s">
        <v>2477</v>
      </c>
      <c r="J827" s="6" t="s">
        <v>2459</v>
      </c>
      <c r="K827" s="6" t="s">
        <v>2460</v>
      </c>
      <c r="L827" s="6"/>
      <c r="M827" s="6"/>
      <c r="N827" s="6" t="s">
        <v>3268</v>
      </c>
      <c r="O827" s="6" t="s">
        <v>40</v>
      </c>
      <c r="P827" s="6" t="str">
        <f>VLOOKUP(Tableau1[[#This Row],[SITES NAMES]],[1]Feuil1!$1:$1048576,8,FALSE)</f>
        <v>OK</v>
      </c>
      <c r="Q827" s="6" t="str">
        <f>VLOOKUP(Tableau1[[#This Row],[SITES NAMES]],[1]Feuil1!$1:$1048576,9,FALSE)</f>
        <v>NO</v>
      </c>
      <c r="R827" s="6" t="str">
        <f>VLOOKUP(Tableau1[[#This Row],[SITES NAMES]],[1]Feuil1!$1:$1048576,10,FALSE)</f>
        <v>NO</v>
      </c>
      <c r="S827" s="6" t="s">
        <v>2469</v>
      </c>
      <c r="T827" s="6" t="s">
        <v>2470</v>
      </c>
      <c r="U827" s="6" t="s">
        <v>2480</v>
      </c>
      <c r="V827" s="6" t="s">
        <v>2472</v>
      </c>
      <c r="W827" s="6" t="s">
        <v>2473</v>
      </c>
      <c r="X827" s="8" t="s">
        <v>3162</v>
      </c>
      <c r="Y827" s="6" t="s">
        <v>3239</v>
      </c>
      <c r="Z827" s="6" t="s">
        <v>3253</v>
      </c>
      <c r="AA827" s="37" t="s">
        <v>3672</v>
      </c>
      <c r="AB827" s="39" t="s">
        <v>3665</v>
      </c>
      <c r="AC827" s="37" t="s">
        <v>3673</v>
      </c>
      <c r="AD827" s="37" t="s">
        <v>3674</v>
      </c>
      <c r="AE827" s="37" t="s">
        <v>3675</v>
      </c>
      <c r="AF827" s="39" t="s">
        <v>3676</v>
      </c>
      <c r="AG827" s="37" t="s">
        <v>3670</v>
      </c>
      <c r="AH827" s="37" t="s">
        <v>3677</v>
      </c>
    </row>
    <row r="828" spans="1:34" ht="14.45" hidden="1" customHeight="1" x14ac:dyDescent="0.3">
      <c r="A828" s="6" t="s">
        <v>540</v>
      </c>
      <c r="B828" s="7">
        <v>44633</v>
      </c>
      <c r="C828" s="6" t="s">
        <v>539</v>
      </c>
      <c r="D828" s="6" t="s">
        <v>395</v>
      </c>
      <c r="E828" s="6" t="s">
        <v>396</v>
      </c>
      <c r="F828" s="6" t="s">
        <v>3229</v>
      </c>
      <c r="G828" s="8">
        <v>0.48719999000000003</v>
      </c>
      <c r="H828" s="8">
        <v>10.909249900000001</v>
      </c>
      <c r="I828" s="6" t="s">
        <v>2477</v>
      </c>
      <c r="J828" s="6" t="s">
        <v>2459</v>
      </c>
      <c r="K828" s="6" t="s">
        <v>2468</v>
      </c>
      <c r="L828" s="6"/>
      <c r="M828" s="6"/>
      <c r="N828" s="6" t="s">
        <v>2468</v>
      </c>
      <c r="O828" s="6" t="s">
        <v>40</v>
      </c>
      <c r="P828" s="6" t="str">
        <f>VLOOKUP(Tableau1[[#This Row],[SITES NAMES]],[1]Feuil1!$1:$1048576,8,FALSE)</f>
        <v>OK</v>
      </c>
      <c r="Q828" s="6" t="str">
        <f>VLOOKUP(Tableau1[[#This Row],[SITES NAMES]],[1]Feuil1!$1:$1048576,9,FALSE)</f>
        <v>NO</v>
      </c>
      <c r="R828" s="6" t="str">
        <f>VLOOKUP(Tableau1[[#This Row],[SITES NAMES]],[1]Feuil1!$1:$1048576,10,FALSE)</f>
        <v>YES</v>
      </c>
      <c r="S828" s="6" t="s">
        <v>2469</v>
      </c>
      <c r="T828" s="6" t="s">
        <v>2470</v>
      </c>
      <c r="U828" s="6" t="s">
        <v>2480</v>
      </c>
      <c r="V828" s="6" t="s">
        <v>2472</v>
      </c>
      <c r="W828" s="6" t="s">
        <v>2473</v>
      </c>
      <c r="X828" s="8" t="s">
        <v>2670</v>
      </c>
      <c r="Y828" s="6" t="s">
        <v>3240</v>
      </c>
      <c r="Z828" s="6" t="s">
        <v>3255</v>
      </c>
      <c r="AA828" s="37" t="s">
        <v>3704</v>
      </c>
      <c r="AB828" s="39" t="s">
        <v>3705</v>
      </c>
      <c r="AC828" s="37" t="s">
        <v>3706</v>
      </c>
      <c r="AD828" s="37" t="s">
        <v>3707</v>
      </c>
      <c r="AE828" s="37" t="s">
        <v>3708</v>
      </c>
      <c r="AF828" s="37" t="s">
        <v>3709</v>
      </c>
      <c r="AG828" s="46" t="s">
        <v>3710</v>
      </c>
      <c r="AH828" s="37" t="s">
        <v>3711</v>
      </c>
    </row>
    <row r="829" spans="1:34" ht="14.45" hidden="1" customHeight="1" x14ac:dyDescent="0.3">
      <c r="A829" s="6" t="s">
        <v>456</v>
      </c>
      <c r="B829" s="7">
        <v>0</v>
      </c>
      <c r="C829" s="6" t="s">
        <v>455</v>
      </c>
      <c r="D829" s="6" t="s">
        <v>395</v>
      </c>
      <c r="E829" s="6" t="s">
        <v>396</v>
      </c>
      <c r="F829" s="6" t="s">
        <v>3229</v>
      </c>
      <c r="G829" s="8">
        <v>0.81627000000000005</v>
      </c>
      <c r="H829" s="8">
        <v>10.84797</v>
      </c>
      <c r="I829" s="6" t="s">
        <v>2525</v>
      </c>
      <c r="J829" s="6" t="s">
        <v>2459</v>
      </c>
      <c r="K829" s="6" t="s">
        <v>2468</v>
      </c>
      <c r="L829" s="6" t="s">
        <v>3538</v>
      </c>
      <c r="M829" s="6"/>
      <c r="N829" s="6" t="s">
        <v>2468</v>
      </c>
      <c r="O829" s="6" t="s">
        <v>18</v>
      </c>
      <c r="P829" s="6" t="str">
        <f>VLOOKUP(Tableau1[[#This Row],[SITES NAMES]],[1]Feuil1!$1:$1048576,8,FALSE)</f>
        <v>NOK</v>
      </c>
      <c r="Q829" s="6" t="str">
        <f>VLOOKUP(Tableau1[[#This Row],[SITES NAMES]],[1]Feuil1!$1:$1048576,9,FALSE)</f>
        <v>NO</v>
      </c>
      <c r="R829" s="6" t="str">
        <f>VLOOKUP(Tableau1[[#This Row],[SITES NAMES]],[1]Feuil1!$1:$1048576,10,FALSE)</f>
        <v>YES</v>
      </c>
      <c r="S829" s="6" t="s">
        <v>2469</v>
      </c>
      <c r="T829" s="6" t="s">
        <v>2470</v>
      </c>
      <c r="U829" s="6" t="s">
        <v>2480</v>
      </c>
      <c r="V829" s="6" t="s">
        <v>2464</v>
      </c>
      <c r="W829" s="6" t="s">
        <v>2465</v>
      </c>
      <c r="X829" s="8" t="s">
        <v>2646</v>
      </c>
      <c r="Y829" s="6" t="s">
        <v>3240</v>
      </c>
      <c r="Z829" s="6" t="s">
        <v>3255</v>
      </c>
      <c r="AA829" s="37" t="s">
        <v>3704</v>
      </c>
      <c r="AB829" s="39" t="s">
        <v>3705</v>
      </c>
      <c r="AC829" s="37" t="s">
        <v>3706</v>
      </c>
      <c r="AD829" s="37" t="s">
        <v>3707</v>
      </c>
      <c r="AE829" s="37" t="s">
        <v>3708</v>
      </c>
      <c r="AF829" s="37" t="s">
        <v>3709</v>
      </c>
      <c r="AG829" s="46" t="s">
        <v>3710</v>
      </c>
      <c r="AH829" s="37" t="s">
        <v>3711</v>
      </c>
    </row>
    <row r="830" spans="1:34" ht="14.45" hidden="1" customHeight="1" x14ac:dyDescent="0.3">
      <c r="A830" s="6" t="s">
        <v>408</v>
      </c>
      <c r="B830" s="7">
        <v>43918</v>
      </c>
      <c r="C830" s="6" t="s">
        <v>407</v>
      </c>
      <c r="D830" s="6" t="s">
        <v>395</v>
      </c>
      <c r="E830" s="6" t="s">
        <v>396</v>
      </c>
      <c r="F830" s="6" t="s">
        <v>3229</v>
      </c>
      <c r="G830" s="8">
        <v>0.82006599999999996</v>
      </c>
      <c r="H830" s="8">
        <v>10.855777</v>
      </c>
      <c r="I830" s="6" t="s">
        <v>2482</v>
      </c>
      <c r="J830" s="6" t="s">
        <v>2459</v>
      </c>
      <c r="K830" s="6" t="s">
        <v>2468</v>
      </c>
      <c r="L830" s="6" t="s">
        <v>3513</v>
      </c>
      <c r="M830" s="6"/>
      <c r="N830" s="6" t="s">
        <v>2468</v>
      </c>
      <c r="O830" s="6" t="s">
        <v>18</v>
      </c>
      <c r="P830" s="6" t="str">
        <f>VLOOKUP(Tableau1[[#This Row],[SITES NAMES]],[1]Feuil1!$1:$1048576,8,FALSE)</f>
        <v>OK</v>
      </c>
      <c r="Q830" s="6" t="str">
        <f>VLOOKUP(Tableau1[[#This Row],[SITES NAMES]],[1]Feuil1!$1:$1048576,9,FALSE)</f>
        <v>NO</v>
      </c>
      <c r="R830" s="6" t="str">
        <f>VLOOKUP(Tableau1[[#This Row],[SITES NAMES]],[1]Feuil1!$1:$1048576,10,FALSE)</f>
        <v>YES</v>
      </c>
      <c r="S830" s="6" t="s">
        <v>2469</v>
      </c>
      <c r="T830" s="6" t="s">
        <v>2470</v>
      </c>
      <c r="U830" s="6" t="s">
        <v>2480</v>
      </c>
      <c r="V830" s="6" t="s">
        <v>2472</v>
      </c>
      <c r="W830" s="6" t="s">
        <v>2465</v>
      </c>
      <c r="X830" s="8" t="s">
        <v>2622</v>
      </c>
      <c r="Y830" s="6" t="s">
        <v>3240</v>
      </c>
      <c r="Z830" s="6" t="s">
        <v>3255</v>
      </c>
      <c r="AA830" s="37" t="s">
        <v>3704</v>
      </c>
      <c r="AB830" s="39" t="s">
        <v>3705</v>
      </c>
      <c r="AC830" s="37" t="s">
        <v>3706</v>
      </c>
      <c r="AD830" s="37" t="s">
        <v>3707</v>
      </c>
      <c r="AE830" s="37" t="s">
        <v>3708</v>
      </c>
      <c r="AF830" s="37" t="s">
        <v>3709</v>
      </c>
      <c r="AG830" s="46" t="s">
        <v>3710</v>
      </c>
      <c r="AH830" s="37" t="s">
        <v>3711</v>
      </c>
    </row>
    <row r="831" spans="1:34" ht="14.45" hidden="1" customHeight="1" x14ac:dyDescent="0.3">
      <c r="A831" s="6" t="s">
        <v>668</v>
      </c>
      <c r="B831" s="7">
        <v>0</v>
      </c>
      <c r="C831" s="6" t="s">
        <v>667</v>
      </c>
      <c r="D831" s="6" t="s">
        <v>657</v>
      </c>
      <c r="E831" s="6" t="s">
        <v>658</v>
      </c>
      <c r="F831" s="6" t="s">
        <v>3229</v>
      </c>
      <c r="G831" s="8">
        <v>0.69638999999999995</v>
      </c>
      <c r="H831" s="8">
        <v>9.5634099999999993</v>
      </c>
      <c r="I831" s="6" t="s">
        <v>2477</v>
      </c>
      <c r="J831" s="6" t="s">
        <v>2459</v>
      </c>
      <c r="K831" s="6" t="s">
        <v>2460</v>
      </c>
      <c r="L831" s="6"/>
      <c r="M831" s="6"/>
      <c r="N831" s="6" t="s">
        <v>3268</v>
      </c>
      <c r="O831" s="6" t="s">
        <v>18</v>
      </c>
      <c r="P831" s="6" t="str">
        <f>VLOOKUP(Tableau1[[#This Row],[SITES NAMES]],[1]Feuil1!$1:$1048576,8,FALSE)</f>
        <v>OK</v>
      </c>
      <c r="Q831" s="6" t="str">
        <f>VLOOKUP(Tableau1[[#This Row],[SITES NAMES]],[1]Feuil1!$1:$1048576,9,FALSE)</f>
        <v>NO</v>
      </c>
      <c r="R831" s="6" t="str">
        <f>VLOOKUP(Tableau1[[#This Row],[SITES NAMES]],[1]Feuil1!$1:$1048576,10,FALSE)</f>
        <v>NO</v>
      </c>
      <c r="S831" s="6" t="s">
        <v>2469</v>
      </c>
      <c r="T831" s="6" t="s">
        <v>2470</v>
      </c>
      <c r="U831" s="6" t="s">
        <v>2480</v>
      </c>
      <c r="V831" s="6" t="s">
        <v>2472</v>
      </c>
      <c r="W831" s="6" t="s">
        <v>2473</v>
      </c>
      <c r="X831" s="8" t="s">
        <v>2717</v>
      </c>
      <c r="Y831" s="6" t="s">
        <v>3239</v>
      </c>
      <c r="Z831" s="6" t="s">
        <v>3253</v>
      </c>
      <c r="AA831" s="38" t="s">
        <v>3682</v>
      </c>
      <c r="AB831" s="38" t="s">
        <v>3683</v>
      </c>
      <c r="AC831" s="38" t="s">
        <v>3684</v>
      </c>
      <c r="AD831" s="38" t="s">
        <v>3682</v>
      </c>
      <c r="AE831" s="38" t="s">
        <v>3682</v>
      </c>
      <c r="AF831" s="38" t="s">
        <v>3682</v>
      </c>
      <c r="AG831" s="40" t="s">
        <v>3685</v>
      </c>
      <c r="AH831" s="37" t="s">
        <v>3686</v>
      </c>
    </row>
    <row r="832" spans="1:34" ht="15.75" hidden="1" x14ac:dyDescent="0.3">
      <c r="A832" s="6" t="s">
        <v>1965</v>
      </c>
      <c r="B832" s="7" t="s">
        <v>2514</v>
      </c>
      <c r="C832" s="6" t="s">
        <v>2016</v>
      </c>
      <c r="D832" s="6" t="s">
        <v>395</v>
      </c>
      <c r="E832" s="6" t="s">
        <v>1965</v>
      </c>
      <c r="F832" s="18" t="s">
        <v>3230</v>
      </c>
      <c r="G832" s="8">
        <v>0.47221999999999997</v>
      </c>
      <c r="H832" s="8">
        <v>10.356120000000001</v>
      </c>
      <c r="I832" s="6" t="s">
        <v>2497</v>
      </c>
      <c r="J832" s="6" t="s">
        <v>2459</v>
      </c>
      <c r="K832" s="6" t="s">
        <v>2460</v>
      </c>
      <c r="L832" s="6"/>
      <c r="M832" s="6"/>
      <c r="N832" s="21" t="s">
        <v>3269</v>
      </c>
      <c r="O832" s="6" t="s">
        <v>7</v>
      </c>
      <c r="P832" s="6" t="str">
        <f>VLOOKUP(Tableau1[[#This Row],[SITES NAMES]],[1]Feuil1!$1:$1048576,8,FALSE)</f>
        <v>NOK</v>
      </c>
      <c r="Q832" s="6" t="str">
        <f>VLOOKUP(Tableau1[[#This Row],[SITES NAMES]],[1]Feuil1!$1:$1048576,9,FALSE)</f>
        <v>NO</v>
      </c>
      <c r="R832" s="6" t="str">
        <f>VLOOKUP(Tableau1[[#This Row],[SITES NAMES]],[1]Feuil1!$1:$1048576,10,FALSE)</f>
        <v>NO</v>
      </c>
      <c r="S832" s="6" t="s">
        <v>2469</v>
      </c>
      <c r="T832" s="6" t="s">
        <v>2470</v>
      </c>
      <c r="U832" s="6" t="s">
        <v>2480</v>
      </c>
      <c r="V832" s="6" t="s">
        <v>2498</v>
      </c>
      <c r="W832" s="6" t="s">
        <v>2476</v>
      </c>
      <c r="X832" s="8" t="s">
        <v>3084</v>
      </c>
      <c r="Y832" s="6" t="s">
        <v>3240</v>
      </c>
      <c r="Z832" s="6" t="s">
        <v>3255</v>
      </c>
      <c r="AA832" s="37" t="s">
        <v>3712</v>
      </c>
      <c r="AB832" s="39" t="s">
        <v>3705</v>
      </c>
      <c r="AC832" s="37" t="s">
        <v>3713</v>
      </c>
      <c r="AD832" s="37" t="s">
        <v>3712</v>
      </c>
      <c r="AE832" s="37" t="s">
        <v>3712</v>
      </c>
      <c r="AF832" s="37" t="s">
        <v>3712</v>
      </c>
      <c r="AG832" s="40" t="s">
        <v>3714</v>
      </c>
      <c r="AH832" s="37" t="s">
        <v>3715</v>
      </c>
    </row>
    <row r="833" spans="1:34" ht="14.45" hidden="1" customHeight="1" x14ac:dyDescent="0.3">
      <c r="A833" s="6" t="s">
        <v>269</v>
      </c>
      <c r="B833" s="7">
        <v>0</v>
      </c>
      <c r="C833" s="6" t="s">
        <v>268</v>
      </c>
      <c r="D833" s="6" t="s">
        <v>132</v>
      </c>
      <c r="E833" s="6" t="s">
        <v>251</v>
      </c>
      <c r="F833" s="6" t="s">
        <v>3229</v>
      </c>
      <c r="G833" s="8">
        <v>0.54811500000000002</v>
      </c>
      <c r="H833" s="8">
        <v>7.4245349999999997</v>
      </c>
      <c r="I833" s="6" t="s">
        <v>2477</v>
      </c>
      <c r="J833" s="6" t="s">
        <v>2459</v>
      </c>
      <c r="K833" s="6" t="s">
        <v>2468</v>
      </c>
      <c r="L833" s="6"/>
      <c r="M833" s="6"/>
      <c r="N833" s="6" t="s">
        <v>2468</v>
      </c>
      <c r="O833" s="6" t="s">
        <v>40</v>
      </c>
      <c r="P833" s="6" t="str">
        <f>VLOOKUP(Tableau1[[#This Row],[SITES NAMES]],[1]Feuil1!$1:$1048576,8,FALSE)</f>
        <v>NOK</v>
      </c>
      <c r="Q833" s="6" t="str">
        <f>VLOOKUP(Tableau1[[#This Row],[SITES NAMES]],[1]Feuil1!$1:$1048576,9,FALSE)</f>
        <v>NO</v>
      </c>
      <c r="R833" s="6" t="str">
        <f>VLOOKUP(Tableau1[[#This Row],[SITES NAMES]],[1]Feuil1!$1:$1048576,10,FALSE)</f>
        <v>YES</v>
      </c>
      <c r="S833" s="6" t="s">
        <v>2461</v>
      </c>
      <c r="T833" s="6" t="s">
        <v>2462</v>
      </c>
      <c r="U833" s="6" t="s">
        <v>2463</v>
      </c>
      <c r="V833" s="6" t="s">
        <v>2472</v>
      </c>
      <c r="W833" s="6" t="s">
        <v>2476</v>
      </c>
      <c r="X833" s="8">
        <v>70997002</v>
      </c>
      <c r="Y833" s="6" t="s">
        <v>3238</v>
      </c>
      <c r="Z833" s="6" t="s">
        <v>3256</v>
      </c>
      <c r="AA833" s="37" t="s">
        <v>3651</v>
      </c>
      <c r="AB833" s="39" t="s">
        <v>3644</v>
      </c>
      <c r="AC833" s="45" t="s">
        <v>3652</v>
      </c>
      <c r="AD833" s="39" t="s">
        <v>3646</v>
      </c>
      <c r="AE833" s="37" t="s">
        <v>3653</v>
      </c>
      <c r="AF833" s="37" t="s">
        <v>3654</v>
      </c>
      <c r="AG833" s="37" t="s">
        <v>3649</v>
      </c>
      <c r="AH833" s="37" t="s">
        <v>3655</v>
      </c>
    </row>
    <row r="834" spans="1:34" ht="15.75" hidden="1" x14ac:dyDescent="0.3">
      <c r="A834" s="6" t="s">
        <v>1975</v>
      </c>
      <c r="B834" s="7">
        <v>0</v>
      </c>
      <c r="C834" s="6" t="s">
        <v>1974</v>
      </c>
      <c r="D834" s="6" t="s">
        <v>395</v>
      </c>
      <c r="E834" s="6" t="s">
        <v>1965</v>
      </c>
      <c r="F834" s="6" t="s">
        <v>3229</v>
      </c>
      <c r="G834" s="8">
        <v>0.46296999999999999</v>
      </c>
      <c r="H834" s="8">
        <v>10.337020000000001</v>
      </c>
      <c r="I834" s="6" t="s">
        <v>2486</v>
      </c>
      <c r="J834" s="6" t="s">
        <v>2459</v>
      </c>
      <c r="K834" s="6" t="s">
        <v>2460</v>
      </c>
      <c r="L834" s="6"/>
      <c r="M834" s="6"/>
      <c r="N834" s="21" t="s">
        <v>3269</v>
      </c>
      <c r="O834" s="6" t="s">
        <v>7</v>
      </c>
      <c r="P834" s="6" t="str">
        <f>VLOOKUP(Tableau1[[#This Row],[SITES NAMES]],[1]Feuil1!$1:$1048576,8,FALSE)</f>
        <v>OK</v>
      </c>
      <c r="Q834" s="6" t="str">
        <f>VLOOKUP(Tableau1[[#This Row],[SITES NAMES]],[1]Feuil1!$1:$1048576,9,FALSE)</f>
        <v>NO</v>
      </c>
      <c r="R834" s="6" t="str">
        <f>VLOOKUP(Tableau1[[#This Row],[SITES NAMES]],[1]Feuil1!$1:$1048576,10,FALSE)</f>
        <v>NO</v>
      </c>
      <c r="S834" s="6" t="s">
        <v>2461</v>
      </c>
      <c r="T834" s="6" t="s">
        <v>2462</v>
      </c>
      <c r="U834" s="6" t="s">
        <v>2463</v>
      </c>
      <c r="V834" s="6" t="s">
        <v>2478</v>
      </c>
      <c r="W834" s="6" t="s">
        <v>2476</v>
      </c>
      <c r="X834" s="8" t="s">
        <v>3069</v>
      </c>
      <c r="Y834" s="6" t="s">
        <v>3240</v>
      </c>
      <c r="Z834" s="6" t="s">
        <v>3255</v>
      </c>
      <c r="AA834" s="37" t="s">
        <v>3712</v>
      </c>
      <c r="AB834" s="39" t="s">
        <v>3705</v>
      </c>
      <c r="AC834" s="37" t="s">
        <v>3713</v>
      </c>
      <c r="AD834" s="37" t="s">
        <v>3712</v>
      </c>
      <c r="AE834" s="37" t="s">
        <v>3712</v>
      </c>
      <c r="AF834" s="37" t="s">
        <v>3712</v>
      </c>
      <c r="AG834" s="40" t="s">
        <v>3714</v>
      </c>
      <c r="AH834" s="37" t="s">
        <v>3715</v>
      </c>
    </row>
    <row r="835" spans="1:34" ht="14.45" hidden="1" customHeight="1" x14ac:dyDescent="0.3">
      <c r="A835" s="6" t="s">
        <v>2018</v>
      </c>
      <c r="B835" s="7">
        <v>44795</v>
      </c>
      <c r="C835" s="6" t="s">
        <v>2017</v>
      </c>
      <c r="D835" s="6" t="s">
        <v>395</v>
      </c>
      <c r="E835" s="6" t="s">
        <v>1965</v>
      </c>
      <c r="F835" s="6" t="s">
        <v>3229</v>
      </c>
      <c r="G835" s="8">
        <v>0.47946800000000001</v>
      </c>
      <c r="H835" s="8">
        <v>10.362772</v>
      </c>
      <c r="I835" s="6" t="s">
        <v>2479</v>
      </c>
      <c r="J835" s="6" t="s">
        <v>2459</v>
      </c>
      <c r="K835" s="6" t="s">
        <v>2460</v>
      </c>
      <c r="L835" s="6"/>
      <c r="M835" s="6"/>
      <c r="N835" s="6" t="s">
        <v>3268</v>
      </c>
      <c r="O835" s="6" t="s">
        <v>7</v>
      </c>
      <c r="P835" s="6" t="str">
        <f>VLOOKUP(Tableau1[[#This Row],[SITES NAMES]],[1]Feuil1!$1:$1048576,8,FALSE)</f>
        <v>OK</v>
      </c>
      <c r="Q835" s="6" t="str">
        <f>VLOOKUP(Tableau1[[#This Row],[SITES NAMES]],[1]Feuil1!$1:$1048576,9,FALSE)</f>
        <v>NO</v>
      </c>
      <c r="R835" s="6" t="str">
        <f>VLOOKUP(Tableau1[[#This Row],[SITES NAMES]],[1]Feuil1!$1:$1048576,10,FALSE)</f>
        <v>YES</v>
      </c>
      <c r="S835" s="6" t="s">
        <v>2461</v>
      </c>
      <c r="T835" s="6" t="s">
        <v>2462</v>
      </c>
      <c r="U835" s="6" t="s">
        <v>2463</v>
      </c>
      <c r="V835" s="6" t="s">
        <v>2478</v>
      </c>
      <c r="W835" s="6" t="s">
        <v>2476</v>
      </c>
      <c r="X835" s="8"/>
      <c r="Y835" s="6" t="s">
        <v>3240</v>
      </c>
      <c r="Z835" s="6" t="s">
        <v>3255</v>
      </c>
      <c r="AA835" s="37" t="s">
        <v>3712</v>
      </c>
      <c r="AB835" s="39" t="s">
        <v>3705</v>
      </c>
      <c r="AC835" s="37" t="s">
        <v>3713</v>
      </c>
      <c r="AD835" s="37" t="s">
        <v>3712</v>
      </c>
      <c r="AE835" s="37" t="s">
        <v>3712</v>
      </c>
      <c r="AF835" s="37" t="s">
        <v>3712</v>
      </c>
      <c r="AG835" s="40" t="s">
        <v>3714</v>
      </c>
      <c r="AH835" s="37" t="s">
        <v>3715</v>
      </c>
    </row>
    <row r="836" spans="1:34" ht="14.45" hidden="1" customHeight="1" x14ac:dyDescent="0.3">
      <c r="A836" s="6" t="s">
        <v>1977</v>
      </c>
      <c r="B836" s="7">
        <v>45107</v>
      </c>
      <c r="C836" s="6" t="s">
        <v>1976</v>
      </c>
      <c r="D836" s="6" t="s">
        <v>395</v>
      </c>
      <c r="E836" s="6" t="s">
        <v>1965</v>
      </c>
      <c r="F836" s="6" t="s">
        <v>3229</v>
      </c>
      <c r="G836" s="8">
        <v>0.47585279200000002</v>
      </c>
      <c r="H836" s="8">
        <v>10.347297276999999</v>
      </c>
      <c r="I836" s="6" t="s">
        <v>2479</v>
      </c>
      <c r="J836" s="6" t="s">
        <v>2459</v>
      </c>
      <c r="K836" s="6" t="s">
        <v>2460</v>
      </c>
      <c r="L836" s="6" t="s">
        <v>1965</v>
      </c>
      <c r="M836" s="6"/>
      <c r="N836" s="6" t="s">
        <v>3268</v>
      </c>
      <c r="O836" s="6" t="s">
        <v>7</v>
      </c>
      <c r="P836" s="6" t="str">
        <f>VLOOKUP(Tableau1[[#This Row],[SITES NAMES]],[1]Feuil1!$1:$1048576,8,FALSE)</f>
        <v>NOK</v>
      </c>
      <c r="Q836" s="6" t="str">
        <f>VLOOKUP(Tableau1[[#This Row],[SITES NAMES]],[1]Feuil1!$1:$1048576,9,FALSE)</f>
        <v>NO</v>
      </c>
      <c r="R836" s="6" t="str">
        <f>VLOOKUP(Tableau1[[#This Row],[SITES NAMES]],[1]Feuil1!$1:$1048576,10,FALSE)</f>
        <v>NO</v>
      </c>
      <c r="S836" s="6" t="s">
        <v>2461</v>
      </c>
      <c r="T836" s="6" t="s">
        <v>2470</v>
      </c>
      <c r="U836" s="6" t="s">
        <v>2463</v>
      </c>
      <c r="V836" s="6" t="s">
        <v>2478</v>
      </c>
      <c r="W836" s="6" t="s">
        <v>2476</v>
      </c>
      <c r="X836" s="8">
        <v>70997372</v>
      </c>
      <c r="Y836" s="6" t="s">
        <v>3240</v>
      </c>
      <c r="Z836" s="6" t="s">
        <v>3255</v>
      </c>
      <c r="AA836" s="37" t="s">
        <v>3712</v>
      </c>
      <c r="AB836" s="39" t="s">
        <v>3705</v>
      </c>
      <c r="AC836" s="37" t="s">
        <v>3713</v>
      </c>
      <c r="AD836" s="37" t="s">
        <v>3712</v>
      </c>
      <c r="AE836" s="37" t="s">
        <v>3712</v>
      </c>
      <c r="AF836" s="37" t="s">
        <v>3712</v>
      </c>
      <c r="AG836" s="40" t="s">
        <v>3714</v>
      </c>
      <c r="AH836" s="37" t="s">
        <v>3715</v>
      </c>
    </row>
    <row r="837" spans="1:34" ht="14.45" hidden="1" customHeight="1" x14ac:dyDescent="0.3">
      <c r="A837" s="6" t="s">
        <v>99</v>
      </c>
      <c r="B837" s="7">
        <v>0</v>
      </c>
      <c r="C837" s="6" t="s">
        <v>98</v>
      </c>
      <c r="D837" s="6" t="s">
        <v>5</v>
      </c>
      <c r="E837" s="6" t="s">
        <v>6</v>
      </c>
      <c r="F837" s="6" t="s">
        <v>3229</v>
      </c>
      <c r="G837" s="8">
        <v>1.6712899999999999</v>
      </c>
      <c r="H837" s="8">
        <v>6.4461599999999999</v>
      </c>
      <c r="I837" s="6" t="s">
        <v>2479</v>
      </c>
      <c r="J837" s="6" t="s">
        <v>2459</v>
      </c>
      <c r="K837" s="6" t="s">
        <v>2468</v>
      </c>
      <c r="L837" s="6" t="s">
        <v>3539</v>
      </c>
      <c r="M837" s="6"/>
      <c r="N837" s="6" t="s">
        <v>2468</v>
      </c>
      <c r="O837" s="6" t="s">
        <v>7</v>
      </c>
      <c r="P837" s="6" t="str">
        <f>VLOOKUP(Tableau1[[#This Row],[SITES NAMES]],[1]Feuil1!$1:$1048576,8,FALSE)</f>
        <v>NOK</v>
      </c>
      <c r="Q837" s="6" t="str">
        <f>VLOOKUP(Tableau1[[#This Row],[SITES NAMES]],[1]Feuil1!$1:$1048576,9,FALSE)</f>
        <v>NO</v>
      </c>
      <c r="R837" s="6" t="str">
        <f>VLOOKUP(Tableau1[[#This Row],[SITES NAMES]],[1]Feuil1!$1:$1048576,10,FALSE)</f>
        <v>NO</v>
      </c>
      <c r="S837" s="6" t="s">
        <v>2461</v>
      </c>
      <c r="T837" s="6" t="s">
        <v>2462</v>
      </c>
      <c r="U837" s="6" t="s">
        <v>2463</v>
      </c>
      <c r="V837" s="6" t="s">
        <v>2472</v>
      </c>
      <c r="W837" s="6" t="s">
        <v>2473</v>
      </c>
      <c r="X837" s="8" t="s">
        <v>2510</v>
      </c>
      <c r="Y837" s="6" t="s">
        <v>3241</v>
      </c>
      <c r="Z837" t="e">
        <f>VLOOKUP(Tableau1[[#This Row],[SITES NAMES]],#REF!,3,FALSE)</f>
        <v>#REF!</v>
      </c>
      <c r="AA837" s="37" t="s">
        <v>3626</v>
      </c>
      <c r="AB837" s="38" t="s">
        <v>3627</v>
      </c>
      <c r="AC837" s="37" t="s">
        <v>3633</v>
      </c>
      <c r="AD837" s="37" t="s">
        <v>3628</v>
      </c>
      <c r="AE837" s="37" t="s">
        <v>3629</v>
      </c>
      <c r="AF837" s="39" t="s">
        <v>3630</v>
      </c>
      <c r="AG837" s="37" t="s">
        <v>3631</v>
      </c>
      <c r="AH837" s="37" t="s">
        <v>3632</v>
      </c>
    </row>
    <row r="838" spans="1:34" ht="14.45" hidden="1" customHeight="1" x14ac:dyDescent="0.3">
      <c r="A838" s="6" t="s">
        <v>877</v>
      </c>
      <c r="B838" s="7">
        <v>0</v>
      </c>
      <c r="C838" s="6" t="s">
        <v>876</v>
      </c>
      <c r="D838" s="6" t="s">
        <v>657</v>
      </c>
      <c r="E838" s="6" t="s">
        <v>3237</v>
      </c>
      <c r="F838" s="6" t="s">
        <v>3229</v>
      </c>
      <c r="G838" s="8">
        <v>1.2778419999999999</v>
      </c>
      <c r="H838" s="8">
        <v>9.9528780000000001</v>
      </c>
      <c r="I838" s="6" t="s">
        <v>2477</v>
      </c>
      <c r="J838" s="6" t="s">
        <v>2459</v>
      </c>
      <c r="K838" s="6" t="s">
        <v>2468</v>
      </c>
      <c r="L838" s="6" t="s">
        <v>817</v>
      </c>
      <c r="M838" s="6"/>
      <c r="N838" s="6" t="s">
        <v>2468</v>
      </c>
      <c r="O838" s="6" t="s">
        <v>40</v>
      </c>
      <c r="P838" s="6" t="str">
        <f>VLOOKUP(Tableau1[[#This Row],[SITES NAMES]],[1]Feuil1!$1:$1048576,8,FALSE)</f>
        <v>OK</v>
      </c>
      <c r="Q838" s="6" t="str">
        <f>VLOOKUP(Tableau1[[#This Row],[SITES NAMES]],[1]Feuil1!$1:$1048576,9,FALSE)</f>
        <v>NO</v>
      </c>
      <c r="R838" s="6" t="str">
        <f>VLOOKUP(Tableau1[[#This Row],[SITES NAMES]],[1]Feuil1!$1:$1048576,10,FALSE)</f>
        <v>NO</v>
      </c>
      <c r="S838" s="6" t="s">
        <v>2461</v>
      </c>
      <c r="T838" s="6" t="s">
        <v>2462</v>
      </c>
      <c r="U838" s="6" t="s">
        <v>2463</v>
      </c>
      <c r="V838" s="6" t="s">
        <v>2472</v>
      </c>
      <c r="W838" s="6" t="s">
        <v>2473</v>
      </c>
      <c r="X838" s="8" t="s">
        <v>2794</v>
      </c>
      <c r="Y838" s="6" t="s">
        <v>3239</v>
      </c>
      <c r="Z838" s="6" t="s">
        <v>3253</v>
      </c>
      <c r="AA838" s="37" t="s">
        <v>3692</v>
      </c>
      <c r="AB838" s="38" t="s">
        <v>3683</v>
      </c>
      <c r="AC838" s="39" t="s">
        <v>3693</v>
      </c>
      <c r="AD838" s="39" t="s">
        <v>3694</v>
      </c>
      <c r="AE838" s="37" t="s">
        <v>3695</v>
      </c>
      <c r="AF838" s="39" t="s">
        <v>3696</v>
      </c>
      <c r="AG838" s="40" t="s">
        <v>3685</v>
      </c>
      <c r="AH838" s="37" t="s">
        <v>3697</v>
      </c>
    </row>
    <row r="839" spans="1:34" ht="14.45" hidden="1" customHeight="1" x14ac:dyDescent="0.3">
      <c r="A839" s="6" t="s">
        <v>642</v>
      </c>
      <c r="B839" s="7">
        <v>46022</v>
      </c>
      <c r="C839" s="6" t="s">
        <v>641</v>
      </c>
      <c r="D839" s="6" t="s">
        <v>132</v>
      </c>
      <c r="E839" s="6" t="s">
        <v>565</v>
      </c>
      <c r="F839" s="6" t="s">
        <v>3229</v>
      </c>
      <c r="G839" s="8">
        <v>1.532716</v>
      </c>
      <c r="H839" s="8">
        <v>8.334308</v>
      </c>
      <c r="I839" s="16" t="s">
        <v>2477</v>
      </c>
      <c r="J839" s="6" t="s">
        <v>2459</v>
      </c>
      <c r="K839" s="6" t="s">
        <v>2468</v>
      </c>
      <c r="L839" s="6"/>
      <c r="M839" s="6"/>
      <c r="N839" s="6" t="s">
        <v>2468</v>
      </c>
      <c r="O839" s="6" t="s">
        <v>40</v>
      </c>
      <c r="P839" s="6"/>
      <c r="Q839" s="6"/>
      <c r="R839" s="6"/>
      <c r="S839" s="6"/>
      <c r="T839" s="6"/>
      <c r="U839" s="6"/>
      <c r="V839" s="6"/>
      <c r="W839" s="6"/>
      <c r="X839" s="8"/>
      <c r="Y839" s="6" t="s">
        <v>3238</v>
      </c>
      <c r="Z839" s="6"/>
      <c r="AA839" s="37" t="s">
        <v>3660</v>
      </c>
      <c r="AB839" s="39" t="s">
        <v>3644</v>
      </c>
      <c r="AC839" s="37" t="s">
        <v>3661</v>
      </c>
      <c r="AD839" s="39" t="s">
        <v>3646</v>
      </c>
      <c r="AE839" s="39" t="s">
        <v>3647</v>
      </c>
      <c r="AF839" s="39" t="s">
        <v>3662</v>
      </c>
      <c r="AG839" s="37" t="s">
        <v>3649</v>
      </c>
      <c r="AH839" s="37" t="s">
        <v>3663</v>
      </c>
    </row>
    <row r="840" spans="1:34" ht="14.45" hidden="1" customHeight="1" x14ac:dyDescent="0.3">
      <c r="A840" s="6" t="s">
        <v>610</v>
      </c>
      <c r="B840" s="7">
        <v>43899</v>
      </c>
      <c r="C840" s="6" t="s">
        <v>609</v>
      </c>
      <c r="D840" s="6" t="s">
        <v>132</v>
      </c>
      <c r="E840" s="6" t="s">
        <v>565</v>
      </c>
      <c r="F840" s="6" t="s">
        <v>3229</v>
      </c>
      <c r="G840" s="8">
        <v>1.328748</v>
      </c>
      <c r="H840" s="8">
        <v>7.7347210000000004</v>
      </c>
      <c r="I840" s="6" t="s">
        <v>2477</v>
      </c>
      <c r="J840" s="6" t="s">
        <v>2459</v>
      </c>
      <c r="K840" s="6" t="s">
        <v>2460</v>
      </c>
      <c r="L840" s="6" t="s">
        <v>606</v>
      </c>
      <c r="M840" s="6"/>
      <c r="N840" s="6" t="s">
        <v>3268</v>
      </c>
      <c r="O840" s="6" t="s">
        <v>40</v>
      </c>
      <c r="P840" s="6" t="str">
        <f>VLOOKUP(Tableau1[[#This Row],[SITES NAMES]],[1]Feuil1!$1:$1048576,8,FALSE)</f>
        <v>OK</v>
      </c>
      <c r="Q840" s="6" t="str">
        <f>VLOOKUP(Tableau1[[#This Row],[SITES NAMES]],[1]Feuil1!$1:$1048576,9,FALSE)</f>
        <v>NO</v>
      </c>
      <c r="R840" s="6" t="str">
        <f>VLOOKUP(Tableau1[[#This Row],[SITES NAMES]],[1]Feuil1!$1:$1048576,10,FALSE)</f>
        <v>YES</v>
      </c>
      <c r="S840" s="6" t="s">
        <v>2461</v>
      </c>
      <c r="T840" s="6" t="s">
        <v>2462</v>
      </c>
      <c r="U840" s="6" t="s">
        <v>2463</v>
      </c>
      <c r="V840" s="6" t="s">
        <v>2472</v>
      </c>
      <c r="W840" s="6" t="s">
        <v>2473</v>
      </c>
      <c r="X840" s="8" t="s">
        <v>2696</v>
      </c>
      <c r="Y840" s="6" t="s">
        <v>3238</v>
      </c>
      <c r="Z840" s="6"/>
      <c r="AA840" s="37" t="s">
        <v>3660</v>
      </c>
      <c r="AB840" s="39" t="s">
        <v>3644</v>
      </c>
      <c r="AC840" s="37" t="s">
        <v>3661</v>
      </c>
      <c r="AD840" s="39" t="s">
        <v>3646</v>
      </c>
      <c r="AE840" s="39" t="s">
        <v>3647</v>
      </c>
      <c r="AF840" s="39" t="s">
        <v>3662</v>
      </c>
      <c r="AG840" s="37" t="s">
        <v>3649</v>
      </c>
      <c r="AH840" s="37" t="s">
        <v>3663</v>
      </c>
    </row>
    <row r="841" spans="1:34" ht="14.45" hidden="1" customHeight="1" x14ac:dyDescent="0.25">
      <c r="A841" s="6" t="s">
        <v>1930</v>
      </c>
      <c r="B841" s="7">
        <v>0</v>
      </c>
      <c r="C841" s="6" t="s">
        <v>1929</v>
      </c>
      <c r="D841" s="6" t="s">
        <v>66</v>
      </c>
      <c r="E841" s="6" t="s">
        <v>3232</v>
      </c>
      <c r="F841" s="6" t="s">
        <v>3229</v>
      </c>
      <c r="G841" s="8">
        <v>1.2208509999999999</v>
      </c>
      <c r="H841" s="8">
        <v>6.1245289999999999</v>
      </c>
      <c r="I841" s="6" t="s">
        <v>2497</v>
      </c>
      <c r="J841" s="6" t="s">
        <v>2459</v>
      </c>
      <c r="K841" s="6" t="s">
        <v>2460</v>
      </c>
      <c r="L841" s="6"/>
      <c r="M841" s="6"/>
      <c r="N841" s="6" t="s">
        <v>3268</v>
      </c>
      <c r="O841" s="6" t="s">
        <v>1206</v>
      </c>
      <c r="P841" s="6"/>
      <c r="Q841" s="6" t="str">
        <f>VLOOKUP(Tableau1[[#This Row],[SITES NAMES]],[1]Feuil1!$1:$1048576,9,FALSE)</f>
        <v>YES</v>
      </c>
      <c r="R841" s="6" t="str">
        <f>VLOOKUP(Tableau1[[#This Row],[SITES NAMES]],[1]Feuil1!$1:$1048576,10,FALSE)</f>
        <v>YES</v>
      </c>
      <c r="S841" s="6" t="s">
        <v>2461</v>
      </c>
      <c r="T841" s="6" t="s">
        <v>2462</v>
      </c>
      <c r="U841" s="6" t="s">
        <v>2463</v>
      </c>
      <c r="V841" s="6" t="s">
        <v>2498</v>
      </c>
      <c r="W841" s="6" t="s">
        <v>2476</v>
      </c>
      <c r="X841" s="8"/>
      <c r="Y841" s="6" t="s">
        <v>3238</v>
      </c>
      <c r="Z841" s="6" t="s">
        <v>3262</v>
      </c>
      <c r="AA841" s="35" t="s">
        <v>3621</v>
      </c>
      <c r="AB841" s="35" t="s">
        <v>3608</v>
      </c>
      <c r="AC841" s="35" t="s">
        <v>3624</v>
      </c>
      <c r="AD841" s="35" t="s">
        <v>3610</v>
      </c>
      <c r="AE841" s="35" t="s">
        <v>3610</v>
      </c>
      <c r="AF841" s="35" t="s">
        <v>3611</v>
      </c>
      <c r="AG841" s="35" t="s">
        <v>3612</v>
      </c>
      <c r="AH841" s="35" t="s">
        <v>3625</v>
      </c>
    </row>
    <row r="842" spans="1:34" ht="14.45" hidden="1" customHeight="1" x14ac:dyDescent="0.3">
      <c r="A842" s="6" t="s">
        <v>733</v>
      </c>
      <c r="B842" s="7">
        <v>44674</v>
      </c>
      <c r="C842" s="6" t="s">
        <v>732</v>
      </c>
      <c r="D842" s="6" t="s">
        <v>657</v>
      </c>
      <c r="E842" s="6" t="s">
        <v>658</v>
      </c>
      <c r="F842" s="6" t="s">
        <v>3229</v>
      </c>
      <c r="G842" s="8">
        <v>0.60436398999999996</v>
      </c>
      <c r="H842" s="8">
        <v>9.1165599999999998</v>
      </c>
      <c r="I842" s="6" t="s">
        <v>2477</v>
      </c>
      <c r="J842" s="6" t="s">
        <v>2459</v>
      </c>
      <c r="K842" s="6" t="s">
        <v>2468</v>
      </c>
      <c r="L842" s="6" t="s">
        <v>3540</v>
      </c>
      <c r="M842" s="6"/>
      <c r="N842" s="6" t="s">
        <v>2468</v>
      </c>
      <c r="O842" s="6" t="s">
        <v>40</v>
      </c>
      <c r="P842" s="6" t="str">
        <f>VLOOKUP(Tableau1[[#This Row],[SITES NAMES]],[1]Feuil1!$1:$1048576,8,FALSE)</f>
        <v>OK</v>
      </c>
      <c r="Q842" s="6" t="str">
        <f>VLOOKUP(Tableau1[[#This Row],[SITES NAMES]],[1]Feuil1!$1:$1048576,9,FALSE)</f>
        <v>NO</v>
      </c>
      <c r="R842" s="6" t="str">
        <f>VLOOKUP(Tableau1[[#This Row],[SITES NAMES]],[1]Feuil1!$1:$1048576,10,FALSE)</f>
        <v>YES</v>
      </c>
      <c r="S842" s="6" t="s">
        <v>2461</v>
      </c>
      <c r="T842" s="6" t="s">
        <v>2462</v>
      </c>
      <c r="U842" s="6" t="s">
        <v>2463</v>
      </c>
      <c r="V842" s="6" t="s">
        <v>2472</v>
      </c>
      <c r="W842" s="6" t="s">
        <v>2473</v>
      </c>
      <c r="X842" s="8" t="s">
        <v>2742</v>
      </c>
      <c r="Y842" s="6" t="s">
        <v>3239</v>
      </c>
      <c r="Z842" s="6" t="s">
        <v>3253</v>
      </c>
      <c r="AA842" s="38" t="s">
        <v>3682</v>
      </c>
      <c r="AB842" s="38" t="s">
        <v>3683</v>
      </c>
      <c r="AC842" s="38" t="s">
        <v>3684</v>
      </c>
      <c r="AD842" s="38" t="s">
        <v>3682</v>
      </c>
      <c r="AE842" s="38" t="s">
        <v>3682</v>
      </c>
      <c r="AF842" s="38" t="s">
        <v>3682</v>
      </c>
      <c r="AG842" s="40" t="s">
        <v>3685</v>
      </c>
      <c r="AH842" s="37" t="s">
        <v>3686</v>
      </c>
    </row>
    <row r="843" spans="1:34" ht="14.45" hidden="1" customHeight="1" x14ac:dyDescent="0.3">
      <c r="A843" s="6" t="s">
        <v>2320</v>
      </c>
      <c r="B843" s="7">
        <v>0</v>
      </c>
      <c r="C843" s="6" t="s">
        <v>2319</v>
      </c>
      <c r="D843" s="6" t="s">
        <v>320</v>
      </c>
      <c r="E843" s="6" t="s">
        <v>2274</v>
      </c>
      <c r="F843" s="6" t="s">
        <v>3229</v>
      </c>
      <c r="G843" s="8">
        <v>1.4142600000000001</v>
      </c>
      <c r="H843" s="8">
        <v>9.0145700000000009</v>
      </c>
      <c r="I843" s="6" t="s">
        <v>2497</v>
      </c>
      <c r="J843" s="6" t="s">
        <v>2459</v>
      </c>
      <c r="K843" s="6" t="s">
        <v>2460</v>
      </c>
      <c r="L843" s="6"/>
      <c r="M843" s="6"/>
      <c r="N843" s="6" t="s">
        <v>3268</v>
      </c>
      <c r="O843" s="6" t="s">
        <v>7</v>
      </c>
      <c r="P843" s="6" t="str">
        <f>VLOOKUP(Tableau1[[#This Row],[SITES NAMES]],[1]Feuil1!$1:$1048576,8,FALSE)</f>
        <v>NOK</v>
      </c>
      <c r="Q843" s="6" t="str">
        <f>VLOOKUP(Tableau1[[#This Row],[SITES NAMES]],[1]Feuil1!$1:$1048576,9,FALSE)</f>
        <v>NO</v>
      </c>
      <c r="R843" s="6" t="str">
        <f>VLOOKUP(Tableau1[[#This Row],[SITES NAMES]],[1]Feuil1!$1:$1048576,10,FALSE)</f>
        <v>NO</v>
      </c>
      <c r="S843" s="6" t="s">
        <v>2469</v>
      </c>
      <c r="T843" s="6" t="s">
        <v>2470</v>
      </c>
      <c r="U843" s="6" t="s">
        <v>2480</v>
      </c>
      <c r="V843" s="6" t="s">
        <v>2464</v>
      </c>
      <c r="W843" s="6" t="s">
        <v>2476</v>
      </c>
      <c r="X843" s="8" t="s">
        <v>3196</v>
      </c>
      <c r="Y843" s="6" t="s">
        <v>3238</v>
      </c>
      <c r="Z843" s="6" t="s">
        <v>3254</v>
      </c>
      <c r="AA843" s="37" t="s">
        <v>3678</v>
      </c>
      <c r="AB843" s="39" t="s">
        <v>3665</v>
      </c>
      <c r="AC843" s="37" t="s">
        <v>3679</v>
      </c>
      <c r="AD843" s="37" t="s">
        <v>3678</v>
      </c>
      <c r="AE843" s="37" t="s">
        <v>3680</v>
      </c>
      <c r="AF843" s="39" t="s">
        <v>3676</v>
      </c>
      <c r="AG843" s="37" t="s">
        <v>3670</v>
      </c>
      <c r="AH843" s="37" t="s">
        <v>3681</v>
      </c>
    </row>
    <row r="844" spans="1:34" ht="14.45" hidden="1" customHeight="1" x14ac:dyDescent="0.3">
      <c r="A844" s="6" t="s">
        <v>2225</v>
      </c>
      <c r="B844" s="7">
        <v>0</v>
      </c>
      <c r="C844" s="6" t="s">
        <v>2224</v>
      </c>
      <c r="D844" s="6" t="s">
        <v>320</v>
      </c>
      <c r="E844" s="6" t="s">
        <v>2141</v>
      </c>
      <c r="F844" s="6" t="s">
        <v>3229</v>
      </c>
      <c r="G844" s="8">
        <v>0.941361</v>
      </c>
      <c r="H844" s="8">
        <v>8.6820299999999992</v>
      </c>
      <c r="I844" s="6" t="s">
        <v>2477</v>
      </c>
      <c r="J844" s="6" t="s">
        <v>2459</v>
      </c>
      <c r="K844" s="6" t="s">
        <v>2468</v>
      </c>
      <c r="L844" s="6" t="s">
        <v>2171</v>
      </c>
      <c r="M844" s="6"/>
      <c r="N844" s="6" t="s">
        <v>2468</v>
      </c>
      <c r="O844" s="6" t="s">
        <v>40</v>
      </c>
      <c r="P844" s="6" t="str">
        <f>VLOOKUP(Tableau1[[#This Row],[SITES NAMES]],[1]Feuil1!$1:$1048576,8,FALSE)</f>
        <v>OK</v>
      </c>
      <c r="Q844" s="6" t="str">
        <f>VLOOKUP(Tableau1[[#This Row],[SITES NAMES]],[1]Feuil1!$1:$1048576,9,FALSE)</f>
        <v>NO</v>
      </c>
      <c r="R844" s="6" t="str">
        <f>VLOOKUP(Tableau1[[#This Row],[SITES NAMES]],[1]Feuil1!$1:$1048576,10,FALSE)</f>
        <v>NO</v>
      </c>
      <c r="S844" s="6" t="s">
        <v>2469</v>
      </c>
      <c r="T844" s="6" t="s">
        <v>2470</v>
      </c>
      <c r="U844" s="6" t="s">
        <v>2480</v>
      </c>
      <c r="V844" s="6" t="s">
        <v>2472</v>
      </c>
      <c r="W844" s="6" t="s">
        <v>2473</v>
      </c>
      <c r="X844" s="8" t="s">
        <v>3163</v>
      </c>
      <c r="Y844" s="6" t="s">
        <v>3238</v>
      </c>
      <c r="Z844" s="6" t="s">
        <v>3254</v>
      </c>
      <c r="AA844" s="37" t="s">
        <v>3672</v>
      </c>
      <c r="AB844" s="39" t="s">
        <v>3665</v>
      </c>
      <c r="AC844" s="37" t="s">
        <v>3673</v>
      </c>
      <c r="AD844" s="37" t="s">
        <v>3674</v>
      </c>
      <c r="AE844" s="37" t="s">
        <v>3675</v>
      </c>
      <c r="AF844" s="39" t="s">
        <v>3676</v>
      </c>
      <c r="AG844" s="37" t="s">
        <v>3670</v>
      </c>
      <c r="AH844" s="37" t="s">
        <v>3677</v>
      </c>
    </row>
    <row r="845" spans="1:34" ht="14.45" hidden="1" customHeight="1" x14ac:dyDescent="0.3">
      <c r="A845" s="6" t="s">
        <v>362</v>
      </c>
      <c r="B845" s="7">
        <v>44560</v>
      </c>
      <c r="C845" s="6" t="s">
        <v>361</v>
      </c>
      <c r="D845" s="6" t="s">
        <v>320</v>
      </c>
      <c r="E845" s="6" t="s">
        <v>321</v>
      </c>
      <c r="F845" s="6" t="s">
        <v>3229</v>
      </c>
      <c r="G845" s="8">
        <v>0.89985999999999999</v>
      </c>
      <c r="H845" s="8">
        <v>8.4108900000000002</v>
      </c>
      <c r="I845" s="6" t="s">
        <v>2477</v>
      </c>
      <c r="J845" s="6" t="s">
        <v>2459</v>
      </c>
      <c r="K845" s="6" t="s">
        <v>2468</v>
      </c>
      <c r="L845" s="6" t="s">
        <v>380</v>
      </c>
      <c r="M845" s="6"/>
      <c r="N845" s="6" t="s">
        <v>2468</v>
      </c>
      <c r="O845" s="6" t="s">
        <v>40</v>
      </c>
      <c r="P845" s="6" t="str">
        <f>VLOOKUP(Tableau1[[#This Row],[SITES NAMES]],[1]Feuil1!$1:$1048576,8,FALSE)</f>
        <v>NOK</v>
      </c>
      <c r="Q845" s="6" t="str">
        <f>VLOOKUP(Tableau1[[#This Row],[SITES NAMES]],[1]Feuil1!$1:$1048576,9,FALSE)</f>
        <v>NO</v>
      </c>
      <c r="R845" s="6" t="str">
        <f>VLOOKUP(Tableau1[[#This Row],[SITES NAMES]],[1]Feuil1!$1:$1048576,10,FALSE)</f>
        <v>YES</v>
      </c>
      <c r="S845" s="6" t="s">
        <v>2461</v>
      </c>
      <c r="T845" s="6" t="s">
        <v>2462</v>
      </c>
      <c r="U845" s="6" t="s">
        <v>2463</v>
      </c>
      <c r="V845" s="6" t="s">
        <v>2472</v>
      </c>
      <c r="W845" s="6" t="s">
        <v>2473</v>
      </c>
      <c r="X845" s="8" t="s">
        <v>2603</v>
      </c>
      <c r="Y845" s="6" t="s">
        <v>3238</v>
      </c>
      <c r="Z845" s="6" t="s">
        <v>3266</v>
      </c>
      <c r="AA845" s="37" t="s">
        <v>3664</v>
      </c>
      <c r="AB845" s="39" t="s">
        <v>3665</v>
      </c>
      <c r="AC845" s="37" t="s">
        <v>3666</v>
      </c>
      <c r="AD845" s="37" t="s">
        <v>3667</v>
      </c>
      <c r="AE845" s="37" t="s">
        <v>3668</v>
      </c>
      <c r="AF845" s="37" t="s">
        <v>3669</v>
      </c>
      <c r="AG845" s="37" t="s">
        <v>3670</v>
      </c>
      <c r="AH845" s="37" t="s">
        <v>3671</v>
      </c>
    </row>
    <row r="846" spans="1:34" ht="14.45" hidden="1" customHeight="1" x14ac:dyDescent="0.25">
      <c r="A846" s="6" t="s">
        <v>1448</v>
      </c>
      <c r="B846" s="7">
        <v>0</v>
      </c>
      <c r="C846" s="6" t="s">
        <v>3321</v>
      </c>
      <c r="D846" s="6" t="s">
        <v>66</v>
      </c>
      <c r="E846" s="6" t="s">
        <v>3233</v>
      </c>
      <c r="F846" s="18" t="s">
        <v>3230</v>
      </c>
      <c r="G846" s="8">
        <v>1.186111111</v>
      </c>
      <c r="H846" s="8">
        <v>6.2249846760000001</v>
      </c>
      <c r="I846" s="6" t="s">
        <v>2486</v>
      </c>
      <c r="J846" s="6" t="s">
        <v>2459</v>
      </c>
      <c r="K846" s="6" t="s">
        <v>2460</v>
      </c>
      <c r="L846" s="6"/>
      <c r="M846" s="6"/>
      <c r="N846" s="6" t="s">
        <v>3268</v>
      </c>
      <c r="O846" s="6" t="s">
        <v>7</v>
      </c>
      <c r="P846" s="6" t="str">
        <f>VLOOKUP(Tableau1[[#This Row],[SITES NAMES]],[1]Feuil1!$1:$1048576,8,FALSE)</f>
        <v>OK</v>
      </c>
      <c r="Q846" s="6" t="str">
        <f>VLOOKUP(Tableau1[[#This Row],[SITES NAMES]],[1]Feuil1!$1:$1048576,9,FALSE)</f>
        <v>YES</v>
      </c>
      <c r="R846" s="6" t="str">
        <f>VLOOKUP(Tableau1[[#This Row],[SITES NAMES]],[1]Feuil1!$1:$1048576,10,FALSE)</f>
        <v>NO</v>
      </c>
      <c r="S846" s="6" t="s">
        <v>2469</v>
      </c>
      <c r="T846" s="6" t="s">
        <v>2470</v>
      </c>
      <c r="U846" s="6" t="s">
        <v>2480</v>
      </c>
      <c r="V846" s="6" t="s">
        <v>2478</v>
      </c>
      <c r="W846" s="6" t="s">
        <v>2476</v>
      </c>
      <c r="X846" s="8" t="s">
        <v>2951</v>
      </c>
      <c r="Y846" s="6" t="s">
        <v>3238</v>
      </c>
      <c r="Z846" s="6" t="s">
        <v>3264</v>
      </c>
      <c r="AA846" s="35" t="s">
        <v>3616</v>
      </c>
      <c r="AB846" s="35" t="s">
        <v>3608</v>
      </c>
      <c r="AC846" s="35" t="s">
        <v>3617</v>
      </c>
      <c r="AD846" s="35" t="s">
        <v>3610</v>
      </c>
      <c r="AE846" s="35" t="s">
        <v>3610</v>
      </c>
      <c r="AF846" s="35" t="s">
        <v>3611</v>
      </c>
      <c r="AG846" s="35" t="s">
        <v>3612</v>
      </c>
      <c r="AH846" s="35" t="s">
        <v>3618</v>
      </c>
    </row>
    <row r="847" spans="1:34" ht="14.45" hidden="1" customHeight="1" x14ac:dyDescent="0.25">
      <c r="A847" s="6" t="s">
        <v>1686</v>
      </c>
      <c r="B847" s="7">
        <v>43265</v>
      </c>
      <c r="C847" s="6" t="s">
        <v>1685</v>
      </c>
      <c r="D847" s="6" t="s">
        <v>66</v>
      </c>
      <c r="E847" s="6" t="s">
        <v>3236</v>
      </c>
      <c r="F847" s="6" t="s">
        <v>3229</v>
      </c>
      <c r="G847" s="8">
        <v>1.1816800000000001</v>
      </c>
      <c r="H847" s="8">
        <v>6.2302299999999997</v>
      </c>
      <c r="I847" s="6" t="s">
        <v>2497</v>
      </c>
      <c r="J847" s="6" t="s">
        <v>2459</v>
      </c>
      <c r="K847" s="6" t="s">
        <v>2460</v>
      </c>
      <c r="L847" s="6"/>
      <c r="M847" s="6"/>
      <c r="N847" s="6" t="s">
        <v>3268</v>
      </c>
      <c r="O847" s="6" t="s">
        <v>1206</v>
      </c>
      <c r="P847" s="6"/>
      <c r="Q847" s="6" t="str">
        <f>VLOOKUP(Tableau1[[#This Row],[SITES NAMES]],[1]Feuil1!$1:$1048576,9,FALSE)</f>
        <v>YES</v>
      </c>
      <c r="R847" s="6" t="str">
        <f>VLOOKUP(Tableau1[[#This Row],[SITES NAMES]],[1]Feuil1!$1:$1048576,10,FALSE)</f>
        <v>NO</v>
      </c>
      <c r="S847" s="6" t="s">
        <v>2469</v>
      </c>
      <c r="T847" s="6" t="s">
        <v>2470</v>
      </c>
      <c r="U847" s="6" t="s">
        <v>2471</v>
      </c>
      <c r="V847" s="6" t="s">
        <v>2472</v>
      </c>
      <c r="W847" s="6" t="s">
        <v>2476</v>
      </c>
      <c r="X847" s="8"/>
      <c r="Y847" s="6" t="s">
        <v>3238</v>
      </c>
      <c r="Z847" s="6" t="s">
        <v>3263</v>
      </c>
      <c r="AA847" s="35" t="s">
        <v>3616</v>
      </c>
      <c r="AB847" s="35" t="s">
        <v>3608</v>
      </c>
      <c r="AC847" s="35" t="s">
        <v>3619</v>
      </c>
      <c r="AD847" s="35" t="s">
        <v>3610</v>
      </c>
      <c r="AE847" s="35" t="s">
        <v>3610</v>
      </c>
      <c r="AF847" s="35" t="s">
        <v>3611</v>
      </c>
      <c r="AG847" s="35" t="s">
        <v>3612</v>
      </c>
      <c r="AH847" s="35" t="s">
        <v>3620</v>
      </c>
    </row>
    <row r="848" spans="1:34" ht="14.45" hidden="1" customHeight="1" x14ac:dyDescent="0.25">
      <c r="A848" s="6" t="s">
        <v>1932</v>
      </c>
      <c r="B848" s="7">
        <v>0</v>
      </c>
      <c r="C848" s="6" t="s">
        <v>1931</v>
      </c>
      <c r="D848" s="6" t="s">
        <v>66</v>
      </c>
      <c r="E848" s="6" t="s">
        <v>3232</v>
      </c>
      <c r="F848" s="6" t="s">
        <v>3229</v>
      </c>
      <c r="G848" s="8">
        <v>1.217403</v>
      </c>
      <c r="H848" s="8">
        <v>6.1274620000000004</v>
      </c>
      <c r="I848" s="6" t="s">
        <v>2497</v>
      </c>
      <c r="J848" s="6" t="s">
        <v>2459</v>
      </c>
      <c r="K848" s="6" t="s">
        <v>2460</v>
      </c>
      <c r="L848" s="6"/>
      <c r="M848" s="6"/>
      <c r="N848" s="6" t="s">
        <v>3268</v>
      </c>
      <c r="O848" s="6" t="s">
        <v>1206</v>
      </c>
      <c r="P848" s="6"/>
      <c r="Q848" s="6" t="str">
        <f>VLOOKUP(Tableau1[[#This Row],[SITES NAMES]],[1]Feuil1!$1:$1048576,9,FALSE)</f>
        <v>YES</v>
      </c>
      <c r="R848" s="6" t="str">
        <f>VLOOKUP(Tableau1[[#This Row],[SITES NAMES]],[1]Feuil1!$1:$1048576,10,FALSE)</f>
        <v>YES</v>
      </c>
      <c r="S848" s="6" t="s">
        <v>2461</v>
      </c>
      <c r="T848" s="6" t="s">
        <v>2462</v>
      </c>
      <c r="U848" s="6" t="s">
        <v>2463</v>
      </c>
      <c r="V848" s="6" t="s">
        <v>2498</v>
      </c>
      <c r="W848" s="6" t="s">
        <v>2476</v>
      </c>
      <c r="X848" s="8"/>
      <c r="Y848" s="6" t="s">
        <v>3238</v>
      </c>
      <c r="Z848" s="6" t="s">
        <v>3262</v>
      </c>
      <c r="AA848" s="35" t="s">
        <v>3621</v>
      </c>
      <c r="AB848" s="35" t="s">
        <v>3608</v>
      </c>
      <c r="AC848" s="35" t="s">
        <v>3624</v>
      </c>
      <c r="AD848" s="35" t="s">
        <v>3610</v>
      </c>
      <c r="AE848" s="35" t="s">
        <v>3610</v>
      </c>
      <c r="AF848" s="35" t="s">
        <v>3611</v>
      </c>
      <c r="AG848" s="35" t="s">
        <v>3612</v>
      </c>
      <c r="AH848" s="35" t="s">
        <v>3625</v>
      </c>
    </row>
    <row r="849" spans="1:34" ht="14.45" hidden="1" customHeight="1" x14ac:dyDescent="0.25">
      <c r="A849" s="6" t="s">
        <v>1688</v>
      </c>
      <c r="B849" s="7">
        <v>0</v>
      </c>
      <c r="C849" s="6" t="s">
        <v>1687</v>
      </c>
      <c r="D849" s="6" t="s">
        <v>66</v>
      </c>
      <c r="E849" s="6" t="s">
        <v>3236</v>
      </c>
      <c r="F849" s="6" t="s">
        <v>3229</v>
      </c>
      <c r="G849" s="8">
        <v>1.1147</v>
      </c>
      <c r="H849" s="8">
        <v>6.3351600000000001</v>
      </c>
      <c r="I849" s="6" t="s">
        <v>2479</v>
      </c>
      <c r="J849" s="6" t="s">
        <v>2459</v>
      </c>
      <c r="K849" s="6" t="s">
        <v>2460</v>
      </c>
      <c r="L849" s="6"/>
      <c r="M849" s="6"/>
      <c r="N849" s="6" t="s">
        <v>3268</v>
      </c>
      <c r="O849" s="6" t="s">
        <v>7</v>
      </c>
      <c r="P849" s="6" t="str">
        <f>VLOOKUP(Tableau1[[#This Row],[SITES NAMES]],[1]Feuil1!$1:$1048576,8,FALSE)</f>
        <v>OK</v>
      </c>
      <c r="Q849" s="6" t="str">
        <f>VLOOKUP(Tableau1[[#This Row],[SITES NAMES]],[1]Feuil1!$1:$1048576,9,FALSE)</f>
        <v>NO</v>
      </c>
      <c r="R849" s="6" t="str">
        <f>VLOOKUP(Tableau1[[#This Row],[SITES NAMES]],[1]Feuil1!$1:$1048576,10,FALSE)</f>
        <v>NO</v>
      </c>
      <c r="S849" s="6" t="s">
        <v>2461</v>
      </c>
      <c r="T849" s="6" t="s">
        <v>2462</v>
      </c>
      <c r="U849" s="6" t="s">
        <v>2463</v>
      </c>
      <c r="V849" s="6" t="s">
        <v>2478</v>
      </c>
      <c r="W849" s="6" t="s">
        <v>2473</v>
      </c>
      <c r="X849" s="8" t="s">
        <v>3004</v>
      </c>
      <c r="Y849" s="6" t="s">
        <v>3238</v>
      </c>
      <c r="Z849" s="6" t="s">
        <v>3263</v>
      </c>
      <c r="AA849" s="35" t="s">
        <v>3616</v>
      </c>
      <c r="AB849" s="35" t="s">
        <v>3608</v>
      </c>
      <c r="AC849" s="35" t="s">
        <v>3619</v>
      </c>
      <c r="AD849" s="35" t="s">
        <v>3610</v>
      </c>
      <c r="AE849" s="35" t="s">
        <v>3610</v>
      </c>
      <c r="AF849" s="35" t="s">
        <v>3611</v>
      </c>
      <c r="AG849" s="35" t="s">
        <v>3612</v>
      </c>
      <c r="AH849" s="35" t="s">
        <v>3620</v>
      </c>
    </row>
    <row r="850" spans="1:34" ht="14.45" hidden="1" customHeight="1" x14ac:dyDescent="0.25">
      <c r="A850" s="6" t="s">
        <v>1580</v>
      </c>
      <c r="B850" s="7">
        <v>44836</v>
      </c>
      <c r="C850" s="6" t="s">
        <v>1579</v>
      </c>
      <c r="D850" s="6" t="s">
        <v>66</v>
      </c>
      <c r="E850" s="6" t="s">
        <v>3236</v>
      </c>
      <c r="F850" s="6" t="s">
        <v>3229</v>
      </c>
      <c r="G850" s="8">
        <v>1.1359300000000001</v>
      </c>
      <c r="H850" s="8">
        <v>6.294886</v>
      </c>
      <c r="I850" s="6" t="s">
        <v>2479</v>
      </c>
      <c r="J850" s="6" t="s">
        <v>2459</v>
      </c>
      <c r="K850" s="6" t="s">
        <v>2460</v>
      </c>
      <c r="L850" s="6"/>
      <c r="M850" s="6"/>
      <c r="N850" s="6" t="s">
        <v>3268</v>
      </c>
      <c r="O850" s="6" t="s">
        <v>7</v>
      </c>
      <c r="P850" s="6" t="str">
        <f>VLOOKUP(Tableau1[[#This Row],[SITES NAMES]],[1]Feuil1!$1:$1048576,8,FALSE)</f>
        <v>OK</v>
      </c>
      <c r="Q850" s="6" t="str">
        <f>VLOOKUP(Tableau1[[#This Row],[SITES NAMES]],[1]Feuil1!$1:$1048576,9,FALSE)</f>
        <v>NO</v>
      </c>
      <c r="R850" s="6" t="str">
        <f>VLOOKUP(Tableau1[[#This Row],[SITES NAMES]],[1]Feuil1!$1:$1048576,10,FALSE)</f>
        <v>YES</v>
      </c>
      <c r="S850" s="6" t="s">
        <v>2469</v>
      </c>
      <c r="T850" s="6" t="s">
        <v>2470</v>
      </c>
      <c r="U850" s="6" t="s">
        <v>2480</v>
      </c>
      <c r="V850" s="6" t="s">
        <v>2478</v>
      </c>
      <c r="W850" s="6" t="s">
        <v>2465</v>
      </c>
      <c r="X850" s="8" t="s">
        <v>2975</v>
      </c>
      <c r="Y850" s="6" t="s">
        <v>3238</v>
      </c>
      <c r="Z850" s="6" t="s">
        <v>3263</v>
      </c>
      <c r="AA850" s="35" t="s">
        <v>3616</v>
      </c>
      <c r="AB850" s="35" t="s">
        <v>3608</v>
      </c>
      <c r="AC850" s="35" t="s">
        <v>3619</v>
      </c>
      <c r="AD850" s="35" t="s">
        <v>3610</v>
      </c>
      <c r="AE850" s="35" t="s">
        <v>3610</v>
      </c>
      <c r="AF850" s="35" t="s">
        <v>3611</v>
      </c>
      <c r="AG850" s="35" t="s">
        <v>3612</v>
      </c>
      <c r="AH850" s="35" t="s">
        <v>3620</v>
      </c>
    </row>
    <row r="851" spans="1:34" ht="14.45" hidden="1" customHeight="1" x14ac:dyDescent="0.25">
      <c r="A851" s="6" t="s">
        <v>1690</v>
      </c>
      <c r="B851" s="7">
        <v>44750</v>
      </c>
      <c r="C851" s="6" t="s">
        <v>1689</v>
      </c>
      <c r="D851" s="6" t="s">
        <v>66</v>
      </c>
      <c r="E851" s="6" t="s">
        <v>3236</v>
      </c>
      <c r="F851" s="6" t="s">
        <v>3229</v>
      </c>
      <c r="G851" s="8">
        <v>1.11939133</v>
      </c>
      <c r="H851" s="8">
        <v>6.3225206199999997</v>
      </c>
      <c r="I851" s="6" t="s">
        <v>2479</v>
      </c>
      <c r="J851" s="6" t="s">
        <v>2459</v>
      </c>
      <c r="K851" s="6" t="s">
        <v>2460</v>
      </c>
      <c r="L851" s="6"/>
      <c r="M851" s="6"/>
      <c r="N851" s="6" t="s">
        <v>3268</v>
      </c>
      <c r="O851" s="6" t="s">
        <v>7</v>
      </c>
      <c r="P851" s="6" t="str">
        <f>VLOOKUP(Tableau1[[#This Row],[SITES NAMES]],[1]Feuil1!$1:$1048576,8,FALSE)</f>
        <v>OK</v>
      </c>
      <c r="Q851" s="6" t="str">
        <f>VLOOKUP(Tableau1[[#This Row],[SITES NAMES]],[1]Feuil1!$1:$1048576,9,FALSE)</f>
        <v>NO</v>
      </c>
      <c r="R851" s="6" t="str">
        <f>VLOOKUP(Tableau1[[#This Row],[SITES NAMES]],[1]Feuil1!$1:$1048576,10,FALSE)</f>
        <v>YES</v>
      </c>
      <c r="S851" s="6" t="s">
        <v>2469</v>
      </c>
      <c r="T851" s="6" t="s">
        <v>2470</v>
      </c>
      <c r="U851" s="6" t="s">
        <v>2480</v>
      </c>
      <c r="V851" s="6" t="s">
        <v>2472</v>
      </c>
      <c r="W851" s="6" t="s">
        <v>2465</v>
      </c>
      <c r="X851" s="8"/>
      <c r="Y851" s="6" t="s">
        <v>3238</v>
      </c>
      <c r="Z851" s="6" t="s">
        <v>3263</v>
      </c>
      <c r="AA851" s="35" t="s">
        <v>3616</v>
      </c>
      <c r="AB851" s="35" t="s">
        <v>3608</v>
      </c>
      <c r="AC851" s="35" t="s">
        <v>3619</v>
      </c>
      <c r="AD851" s="35" t="s">
        <v>3610</v>
      </c>
      <c r="AE851" s="35" t="s">
        <v>3610</v>
      </c>
      <c r="AF851" s="35" t="s">
        <v>3611</v>
      </c>
      <c r="AG851" s="35" t="s">
        <v>3612</v>
      </c>
      <c r="AH851" s="35" t="s">
        <v>3620</v>
      </c>
    </row>
    <row r="852" spans="1:34" ht="14.45" hidden="1" customHeight="1" x14ac:dyDescent="0.3">
      <c r="A852" s="6" t="s">
        <v>2020</v>
      </c>
      <c r="B852" s="7">
        <v>0</v>
      </c>
      <c r="C852" s="6" t="s">
        <v>2019</v>
      </c>
      <c r="D852" s="6" t="s">
        <v>395</v>
      </c>
      <c r="E852" s="6" t="s">
        <v>1965</v>
      </c>
      <c r="F852" s="6" t="s">
        <v>3229</v>
      </c>
      <c r="G852" s="8">
        <v>0.63446000000000002</v>
      </c>
      <c r="H852" s="8">
        <v>10.383150000000001</v>
      </c>
      <c r="I852" s="6" t="s">
        <v>2477</v>
      </c>
      <c r="J852" s="6" t="s">
        <v>2459</v>
      </c>
      <c r="K852" s="6" t="s">
        <v>2468</v>
      </c>
      <c r="L852" s="6" t="s">
        <v>3541</v>
      </c>
      <c r="M852" s="6"/>
      <c r="N852" s="6" t="s">
        <v>2468</v>
      </c>
      <c r="O852" s="6" t="s">
        <v>18</v>
      </c>
      <c r="P852" s="6" t="str">
        <f>VLOOKUP(Tableau1[[#This Row],[SITES NAMES]],[1]Feuil1!$1:$1048576,8,FALSE)</f>
        <v>OK</v>
      </c>
      <c r="Q852" s="6" t="str">
        <f>VLOOKUP(Tableau1[[#This Row],[SITES NAMES]],[1]Feuil1!$1:$1048576,9,FALSE)</f>
        <v>NO</v>
      </c>
      <c r="R852" s="6" t="str">
        <f>VLOOKUP(Tableau1[[#This Row],[SITES NAMES]],[1]Feuil1!$1:$1048576,10,FALSE)</f>
        <v>NO</v>
      </c>
      <c r="S852" s="6" t="s">
        <v>2469</v>
      </c>
      <c r="T852" s="6" t="s">
        <v>2470</v>
      </c>
      <c r="U852" s="6" t="s">
        <v>2480</v>
      </c>
      <c r="V852" s="6" t="s">
        <v>2472</v>
      </c>
      <c r="W852" s="6" t="s">
        <v>2473</v>
      </c>
      <c r="X852" s="8" t="s">
        <v>3085</v>
      </c>
      <c r="Y852" s="6" t="s">
        <v>3240</v>
      </c>
      <c r="Z852" s="6" t="s">
        <v>3255</v>
      </c>
      <c r="AA852" s="37" t="s">
        <v>3712</v>
      </c>
      <c r="AB852" s="39" t="s">
        <v>3705</v>
      </c>
      <c r="AC852" s="37" t="s">
        <v>3713</v>
      </c>
      <c r="AD852" s="37" t="s">
        <v>3712</v>
      </c>
      <c r="AE852" s="37" t="s">
        <v>3712</v>
      </c>
      <c r="AF852" s="37" t="s">
        <v>3712</v>
      </c>
      <c r="AG852" s="40" t="s">
        <v>3714</v>
      </c>
      <c r="AH852" s="37" t="s">
        <v>3715</v>
      </c>
    </row>
    <row r="853" spans="1:34" ht="14.45" hidden="1" customHeight="1" x14ac:dyDescent="0.3">
      <c r="A853" s="6" t="s">
        <v>364</v>
      </c>
      <c r="B853" s="7">
        <v>44623</v>
      </c>
      <c r="C853" s="6" t="s">
        <v>363</v>
      </c>
      <c r="D853" s="6" t="s">
        <v>320</v>
      </c>
      <c r="E853" s="6" t="s">
        <v>321</v>
      </c>
      <c r="F853" s="6" t="s">
        <v>3229</v>
      </c>
      <c r="G853" s="8">
        <v>1.25004</v>
      </c>
      <c r="H853" s="8">
        <v>8.4280600000000003</v>
      </c>
      <c r="I853" s="6" t="s">
        <v>2477</v>
      </c>
      <c r="J853" s="6" t="s">
        <v>2459</v>
      </c>
      <c r="K853" s="6" t="s">
        <v>2468</v>
      </c>
      <c r="L853" s="6" t="s">
        <v>358</v>
      </c>
      <c r="M853" s="6"/>
      <c r="N853" s="6" t="s">
        <v>2468</v>
      </c>
      <c r="O853" s="6" t="s">
        <v>40</v>
      </c>
      <c r="P853" s="6" t="str">
        <f>VLOOKUP(Tableau1[[#This Row],[SITES NAMES]],[1]Feuil1!$1:$1048576,8,FALSE)</f>
        <v>OK</v>
      </c>
      <c r="Q853" s="6" t="str">
        <f>VLOOKUP(Tableau1[[#This Row],[SITES NAMES]],[1]Feuil1!$1:$1048576,9,FALSE)</f>
        <v>NO</v>
      </c>
      <c r="R853" s="6" t="str">
        <f>VLOOKUP(Tableau1[[#This Row],[SITES NAMES]],[1]Feuil1!$1:$1048576,10,FALSE)</f>
        <v>YES</v>
      </c>
      <c r="S853" s="6" t="s">
        <v>2469</v>
      </c>
      <c r="T853" s="6" t="s">
        <v>2470</v>
      </c>
      <c r="U853" s="6" t="s">
        <v>2480</v>
      </c>
      <c r="V853" s="6" t="s">
        <v>2472</v>
      </c>
      <c r="W853" s="6" t="s">
        <v>2473</v>
      </c>
      <c r="X853" s="8" t="s">
        <v>2604</v>
      </c>
      <c r="Y853" s="6" t="s">
        <v>3238</v>
      </c>
      <c r="Z853" s="6" t="s">
        <v>3266</v>
      </c>
      <c r="AA853" s="37" t="s">
        <v>3664</v>
      </c>
      <c r="AB853" s="39" t="s">
        <v>3665</v>
      </c>
      <c r="AC853" s="37" t="s">
        <v>3666</v>
      </c>
      <c r="AD853" s="37" t="s">
        <v>3667</v>
      </c>
      <c r="AE853" s="37" t="s">
        <v>3668</v>
      </c>
      <c r="AF853" s="37" t="s">
        <v>3669</v>
      </c>
      <c r="AG853" s="37" t="s">
        <v>3670</v>
      </c>
      <c r="AH853" s="37" t="s">
        <v>3671</v>
      </c>
    </row>
    <row r="854" spans="1:34" ht="14.45" hidden="1" customHeight="1" x14ac:dyDescent="0.3">
      <c r="A854" s="6" t="s">
        <v>630</v>
      </c>
      <c r="B854" s="7">
        <v>0</v>
      </c>
      <c r="C854" s="6" t="s">
        <v>629</v>
      </c>
      <c r="D854" s="6" t="s">
        <v>132</v>
      </c>
      <c r="E854" s="6" t="s">
        <v>565</v>
      </c>
      <c r="F854" s="6" t="s">
        <v>3229</v>
      </c>
      <c r="G854" s="8">
        <v>1.34772</v>
      </c>
      <c r="H854" s="8">
        <v>8.1080799999999993</v>
      </c>
      <c r="I854" s="6" t="s">
        <v>2479</v>
      </c>
      <c r="J854" s="6" t="s">
        <v>2459</v>
      </c>
      <c r="K854" s="6" t="s">
        <v>2460</v>
      </c>
      <c r="L854" s="6"/>
      <c r="M854" s="6"/>
      <c r="N854" s="6" t="s">
        <v>3268</v>
      </c>
      <c r="O854" s="6" t="s">
        <v>18</v>
      </c>
      <c r="P854" s="6" t="str">
        <f>VLOOKUP(Tableau1[[#This Row],[SITES NAMES]],[1]Feuil1!$1:$1048576,8,FALSE)</f>
        <v>NOK</v>
      </c>
      <c r="Q854" s="6" t="str">
        <f>VLOOKUP(Tableau1[[#This Row],[SITES NAMES]],[1]Feuil1!$1:$1048576,9,FALSE)</f>
        <v>NO</v>
      </c>
      <c r="R854" s="6" t="str">
        <f>VLOOKUP(Tableau1[[#This Row],[SITES NAMES]],[1]Feuil1!$1:$1048576,10,FALSE)</f>
        <v>NO</v>
      </c>
      <c r="S854" s="6" t="s">
        <v>2469</v>
      </c>
      <c r="T854" s="6" t="s">
        <v>2470</v>
      </c>
      <c r="U854" s="6" t="s">
        <v>2480</v>
      </c>
      <c r="V854" s="6" t="s">
        <v>2478</v>
      </c>
      <c r="W854" s="6" t="s">
        <v>2473</v>
      </c>
      <c r="X854" s="8" t="s">
        <v>2704</v>
      </c>
      <c r="Y854" s="6" t="s">
        <v>3238</v>
      </c>
      <c r="Z854" s="6" t="s">
        <v>3254</v>
      </c>
      <c r="AA854" s="37" t="s">
        <v>3660</v>
      </c>
      <c r="AB854" s="39" t="s">
        <v>3644</v>
      </c>
      <c r="AC854" s="37" t="s">
        <v>3661</v>
      </c>
      <c r="AD854" s="39" t="s">
        <v>3646</v>
      </c>
      <c r="AE854" s="39" t="s">
        <v>3647</v>
      </c>
      <c r="AF854" s="39" t="s">
        <v>3662</v>
      </c>
      <c r="AG854" s="37" t="s">
        <v>3649</v>
      </c>
      <c r="AH854" s="37" t="s">
        <v>3663</v>
      </c>
    </row>
    <row r="855" spans="1:34" ht="14.45" hidden="1" customHeight="1" x14ac:dyDescent="0.3">
      <c r="A855" s="6" t="s">
        <v>2227</v>
      </c>
      <c r="B855" s="7">
        <v>0</v>
      </c>
      <c r="C855" s="6" t="s">
        <v>2226</v>
      </c>
      <c r="D855" s="6" t="s">
        <v>320</v>
      </c>
      <c r="E855" s="6" t="s">
        <v>2141</v>
      </c>
      <c r="F855" s="6" t="s">
        <v>3229</v>
      </c>
      <c r="G855" s="8">
        <v>1.1459722219999999</v>
      </c>
      <c r="H855" s="8">
        <v>8.9841384009999992</v>
      </c>
      <c r="I855" s="6" t="s">
        <v>2497</v>
      </c>
      <c r="J855" s="6" t="s">
        <v>2459</v>
      </c>
      <c r="K855" s="6" t="s">
        <v>2460</v>
      </c>
      <c r="L855" s="6"/>
      <c r="M855" s="6"/>
      <c r="N855" s="6" t="s">
        <v>3268</v>
      </c>
      <c r="O855" s="6" t="s">
        <v>7</v>
      </c>
      <c r="P855" s="6" t="str">
        <f>VLOOKUP(Tableau1[[#This Row],[SITES NAMES]],[1]Feuil1!$1:$1048576,8,FALSE)</f>
        <v>OK</v>
      </c>
      <c r="Q855" s="6" t="str">
        <f>VLOOKUP(Tableau1[[#This Row],[SITES NAMES]],[1]Feuil1!$1:$1048576,9,FALSE)</f>
        <v>NO</v>
      </c>
      <c r="R855" s="6" t="str">
        <f>VLOOKUP(Tableau1[[#This Row],[SITES NAMES]],[1]Feuil1!$1:$1048576,10,FALSE)</f>
        <v>NO</v>
      </c>
      <c r="S855" s="6" t="s">
        <v>2469</v>
      </c>
      <c r="T855" s="6" t="s">
        <v>2470</v>
      </c>
      <c r="U855" s="6" t="s">
        <v>2471</v>
      </c>
      <c r="V855" s="6" t="s">
        <v>2464</v>
      </c>
      <c r="W855" s="6" t="s">
        <v>2476</v>
      </c>
      <c r="X855" s="8"/>
      <c r="Y855" s="6" t="s">
        <v>3238</v>
      </c>
      <c r="Z855" s="6" t="s">
        <v>3254</v>
      </c>
      <c r="AA855" s="37" t="s">
        <v>3672</v>
      </c>
      <c r="AB855" s="39" t="s">
        <v>3665</v>
      </c>
      <c r="AC855" s="37" t="s">
        <v>3673</v>
      </c>
      <c r="AD855" s="37" t="s">
        <v>3674</v>
      </c>
      <c r="AE855" s="37" t="s">
        <v>3675</v>
      </c>
      <c r="AF855" s="39" t="s">
        <v>3676</v>
      </c>
      <c r="AG855" s="37" t="s">
        <v>3670</v>
      </c>
      <c r="AH855" s="37" t="s">
        <v>3677</v>
      </c>
    </row>
    <row r="856" spans="1:34" ht="14.45" hidden="1" customHeight="1" x14ac:dyDescent="0.25">
      <c r="A856" s="6" t="s">
        <v>1450</v>
      </c>
      <c r="B856" s="7">
        <v>0</v>
      </c>
      <c r="C856" s="6" t="s">
        <v>1449</v>
      </c>
      <c r="D856" s="6" t="s">
        <v>66</v>
      </c>
      <c r="E856" s="6" t="s">
        <v>3233</v>
      </c>
      <c r="F856" s="6" t="s">
        <v>3229</v>
      </c>
      <c r="G856" s="8">
        <v>1.2170780000000001</v>
      </c>
      <c r="H856" s="8">
        <v>6.2334600299999998</v>
      </c>
      <c r="I856" s="6" t="s">
        <v>2497</v>
      </c>
      <c r="J856" s="6" t="s">
        <v>2459</v>
      </c>
      <c r="K856" s="6" t="s">
        <v>2460</v>
      </c>
      <c r="L856" s="6"/>
      <c r="M856" s="6"/>
      <c r="N856" s="6" t="s">
        <v>3268</v>
      </c>
      <c r="O856" s="6" t="s">
        <v>7</v>
      </c>
      <c r="P856" s="6" t="str">
        <f>VLOOKUP(Tableau1[[#This Row],[SITES NAMES]],[1]Feuil1!$1:$1048576,8,FALSE)</f>
        <v>OK</v>
      </c>
      <c r="Q856" s="6" t="str">
        <f>VLOOKUP(Tableau1[[#This Row],[SITES NAMES]],[1]Feuil1!$1:$1048576,9,FALSE)</f>
        <v>NO</v>
      </c>
      <c r="R856" s="6" t="str">
        <f>VLOOKUP(Tableau1[[#This Row],[SITES NAMES]],[1]Feuil1!$1:$1048576,10,FALSE)</f>
        <v>YES</v>
      </c>
      <c r="S856" s="6" t="s">
        <v>2461</v>
      </c>
      <c r="T856" s="6" t="s">
        <v>2470</v>
      </c>
      <c r="U856" s="6" t="s">
        <v>2463</v>
      </c>
      <c r="V856" s="6" t="s">
        <v>2478</v>
      </c>
      <c r="W856" s="6" t="s">
        <v>2476</v>
      </c>
      <c r="X856" s="8" t="s">
        <v>2952</v>
      </c>
      <c r="Y856" s="6" t="s">
        <v>3238</v>
      </c>
      <c r="Z856" s="6" t="s">
        <v>3264</v>
      </c>
      <c r="AA856" s="35" t="s">
        <v>3616</v>
      </c>
      <c r="AB856" s="35" t="s">
        <v>3608</v>
      </c>
      <c r="AC856" s="35" t="s">
        <v>3617</v>
      </c>
      <c r="AD856" s="35" t="s">
        <v>3610</v>
      </c>
      <c r="AE856" s="35" t="s">
        <v>3610</v>
      </c>
      <c r="AF856" s="35" t="s">
        <v>3611</v>
      </c>
      <c r="AG856" s="35" t="s">
        <v>3612</v>
      </c>
      <c r="AH856" s="35" t="s">
        <v>3618</v>
      </c>
    </row>
    <row r="857" spans="1:34" ht="14.45" hidden="1" customHeight="1" x14ac:dyDescent="0.3">
      <c r="A857" s="6" t="s">
        <v>366</v>
      </c>
      <c r="B857" s="7">
        <v>44755</v>
      </c>
      <c r="C857" s="6" t="s">
        <v>365</v>
      </c>
      <c r="D857" s="6" t="s">
        <v>320</v>
      </c>
      <c r="E857" s="6" t="s">
        <v>321</v>
      </c>
      <c r="F857" s="6" t="s">
        <v>3229</v>
      </c>
      <c r="G857" s="8">
        <v>0.77604998999999997</v>
      </c>
      <c r="H857" s="8">
        <v>8.2363829899999992</v>
      </c>
      <c r="I857" s="6" t="s">
        <v>2467</v>
      </c>
      <c r="J857" s="6" t="s">
        <v>2459</v>
      </c>
      <c r="K857" s="6" t="s">
        <v>2468</v>
      </c>
      <c r="L857" s="6" t="s">
        <v>3430</v>
      </c>
      <c r="M857" s="6"/>
      <c r="N857" s="6" t="s">
        <v>2468</v>
      </c>
      <c r="O857" s="6" t="s">
        <v>7</v>
      </c>
      <c r="P857" s="6" t="str">
        <f>VLOOKUP(Tableau1[[#This Row],[SITES NAMES]],[1]Feuil1!$1:$1048576,8,FALSE)</f>
        <v>OK</v>
      </c>
      <c r="Q857" s="6" t="str">
        <f>VLOOKUP(Tableau1[[#This Row],[SITES NAMES]],[1]Feuil1!$1:$1048576,9,FALSE)</f>
        <v>NO</v>
      </c>
      <c r="R857" s="6" t="str">
        <f>VLOOKUP(Tableau1[[#This Row],[SITES NAMES]],[1]Feuil1!$1:$1048576,10,FALSE)</f>
        <v>YES</v>
      </c>
      <c r="S857" s="6" t="s">
        <v>2469</v>
      </c>
      <c r="T857" s="6" t="s">
        <v>2470</v>
      </c>
      <c r="U857" s="6" t="s">
        <v>2471</v>
      </c>
      <c r="V857" s="6" t="s">
        <v>2472</v>
      </c>
      <c r="W857" s="6" t="s">
        <v>2473</v>
      </c>
      <c r="X857" s="8" t="s">
        <v>2605</v>
      </c>
      <c r="Y857" s="6" t="s">
        <v>3238</v>
      </c>
      <c r="Z857" s="6" t="s">
        <v>3266</v>
      </c>
      <c r="AA857" s="37" t="s">
        <v>3664</v>
      </c>
      <c r="AB857" s="39" t="s">
        <v>3665</v>
      </c>
      <c r="AC857" s="37" t="s">
        <v>3666</v>
      </c>
      <c r="AD857" s="37" t="s">
        <v>3667</v>
      </c>
      <c r="AE857" s="37" t="s">
        <v>3668</v>
      </c>
      <c r="AF857" s="37" t="s">
        <v>3669</v>
      </c>
      <c r="AG857" s="37" t="s">
        <v>3670</v>
      </c>
      <c r="AH857" s="37" t="s">
        <v>3671</v>
      </c>
    </row>
    <row r="858" spans="1:34" ht="15.75" hidden="1" x14ac:dyDescent="0.3">
      <c r="A858" s="6" t="s">
        <v>789</v>
      </c>
      <c r="B858" s="7">
        <v>0</v>
      </c>
      <c r="C858" s="6" t="s">
        <v>788</v>
      </c>
      <c r="D858" s="6" t="s">
        <v>657</v>
      </c>
      <c r="E858" s="6" t="s">
        <v>758</v>
      </c>
      <c r="F858" s="6" t="s">
        <v>3229</v>
      </c>
      <c r="G858" s="8">
        <v>0.860232</v>
      </c>
      <c r="H858" s="8">
        <v>10.139863999999999</v>
      </c>
      <c r="I858" s="6" t="s">
        <v>2467</v>
      </c>
      <c r="J858" s="6" t="s">
        <v>2459</v>
      </c>
      <c r="K858" s="6" t="s">
        <v>2460</v>
      </c>
      <c r="L858" s="6"/>
      <c r="M858" s="6"/>
      <c r="N858" s="21" t="s">
        <v>3269</v>
      </c>
      <c r="O858" s="6" t="s">
        <v>40</v>
      </c>
      <c r="P858" s="6" t="str">
        <f>VLOOKUP(Tableau1[[#This Row],[SITES NAMES]],[1]Feuil1!$1:$1048576,8,FALSE)</f>
        <v>OK</v>
      </c>
      <c r="Q858" s="6" t="str">
        <f>VLOOKUP(Tableau1[[#This Row],[SITES NAMES]],[1]Feuil1!$1:$1048576,9,FALSE)</f>
        <v>NO</v>
      </c>
      <c r="R858" s="6" t="str">
        <f>VLOOKUP(Tableau1[[#This Row],[SITES NAMES]],[1]Feuil1!$1:$1048576,10,FALSE)</f>
        <v>NO</v>
      </c>
      <c r="S858" s="6"/>
      <c r="T858" s="6"/>
      <c r="U858" s="6"/>
      <c r="V858" s="6" t="s">
        <v>2464</v>
      </c>
      <c r="W858" s="6" t="s">
        <v>2473</v>
      </c>
      <c r="X858" s="8" t="s">
        <v>2766</v>
      </c>
      <c r="Y858" s="6" t="s">
        <v>3239</v>
      </c>
      <c r="Z858" s="6" t="s">
        <v>3253</v>
      </c>
      <c r="AA858" s="37" t="s">
        <v>3687</v>
      </c>
      <c r="AB858" s="38" t="s">
        <v>3683</v>
      </c>
      <c r="AC858" s="37" t="s">
        <v>3688</v>
      </c>
      <c r="AD858" s="37" t="s">
        <v>3687</v>
      </c>
      <c r="AE858" s="37" t="s">
        <v>3689</v>
      </c>
      <c r="AF858" s="39" t="s">
        <v>3690</v>
      </c>
      <c r="AG858" s="40" t="s">
        <v>3685</v>
      </c>
      <c r="AH858" s="37" t="s">
        <v>3691</v>
      </c>
    </row>
    <row r="859" spans="1:34" ht="14.45" hidden="1" customHeight="1" x14ac:dyDescent="0.3">
      <c r="A859" s="6" t="s">
        <v>458</v>
      </c>
      <c r="B859" s="7">
        <v>0</v>
      </c>
      <c r="C859" s="6" t="s">
        <v>457</v>
      </c>
      <c r="D859" s="6" t="s">
        <v>395</v>
      </c>
      <c r="E859" s="6" t="s">
        <v>396</v>
      </c>
      <c r="F859" s="6" t="s">
        <v>3229</v>
      </c>
      <c r="G859" s="8">
        <v>0.18407999999999999</v>
      </c>
      <c r="H859" s="8">
        <v>11.01525</v>
      </c>
      <c r="I859" s="6" t="s">
        <v>2477</v>
      </c>
      <c r="J859" s="6" t="s">
        <v>2459</v>
      </c>
      <c r="K859" s="6" t="s">
        <v>2468</v>
      </c>
      <c r="L859" s="6" t="s">
        <v>3542</v>
      </c>
      <c r="M859" s="6"/>
      <c r="N859" s="6" t="s">
        <v>2468</v>
      </c>
      <c r="O859" s="6" t="s">
        <v>18</v>
      </c>
      <c r="P859" s="6" t="str">
        <f>VLOOKUP(Tableau1[[#This Row],[SITES NAMES]],[1]Feuil1!$1:$1048576,8,FALSE)</f>
        <v>OK</v>
      </c>
      <c r="Q859" s="6" t="str">
        <f>VLOOKUP(Tableau1[[#This Row],[SITES NAMES]],[1]Feuil1!$1:$1048576,9,FALSE)</f>
        <v>NO</v>
      </c>
      <c r="R859" s="6" t="str">
        <f>VLOOKUP(Tableau1[[#This Row],[SITES NAMES]],[1]Feuil1!$1:$1048576,10,FALSE)</f>
        <v>NO</v>
      </c>
      <c r="S859" s="6" t="s">
        <v>2469</v>
      </c>
      <c r="T859" s="6" t="s">
        <v>2470</v>
      </c>
      <c r="U859" s="6" t="s">
        <v>2480</v>
      </c>
      <c r="V859" s="6" t="s">
        <v>2464</v>
      </c>
      <c r="W859" s="6" t="s">
        <v>2473</v>
      </c>
      <c r="X859" s="8" t="s">
        <v>2647</v>
      </c>
      <c r="Y859" s="6" t="s">
        <v>3240</v>
      </c>
      <c r="Z859" s="6" t="s">
        <v>3255</v>
      </c>
      <c r="AA859" s="37" t="s">
        <v>3704</v>
      </c>
      <c r="AB859" s="39" t="s">
        <v>3705</v>
      </c>
      <c r="AC859" s="37" t="s">
        <v>3706</v>
      </c>
      <c r="AD859" s="37" t="s">
        <v>3707</v>
      </c>
      <c r="AE859" s="37" t="s">
        <v>3708</v>
      </c>
      <c r="AF859" s="37" t="s">
        <v>3709</v>
      </c>
      <c r="AG859" s="46" t="s">
        <v>3710</v>
      </c>
      <c r="AH859" s="37" t="s">
        <v>3711</v>
      </c>
    </row>
    <row r="860" spans="1:34" ht="14.45" hidden="1" customHeight="1" x14ac:dyDescent="0.3">
      <c r="A860" s="6" t="s">
        <v>791</v>
      </c>
      <c r="B860" s="7">
        <v>0</v>
      </c>
      <c r="C860" s="6" t="s">
        <v>790</v>
      </c>
      <c r="D860" s="6" t="s">
        <v>657</v>
      </c>
      <c r="E860" s="6" t="s">
        <v>758</v>
      </c>
      <c r="F860" s="6" t="s">
        <v>3229</v>
      </c>
      <c r="G860" s="8">
        <v>1.0784666999999999</v>
      </c>
      <c r="H860" s="8">
        <v>10.143050000000001</v>
      </c>
      <c r="I860" s="14" t="s">
        <v>2477</v>
      </c>
      <c r="J860" s="6" t="s">
        <v>2459</v>
      </c>
      <c r="K860" s="6" t="s">
        <v>2468</v>
      </c>
      <c r="L860" s="6" t="s">
        <v>3543</v>
      </c>
      <c r="M860" s="6"/>
      <c r="N860" s="6" t="s">
        <v>2468</v>
      </c>
      <c r="O860" s="6" t="s">
        <v>7</v>
      </c>
      <c r="P860" s="6" t="str">
        <f>VLOOKUP(Tableau1[[#This Row],[SITES NAMES]],[1]Feuil1!$1:$1048576,8,FALSE)</f>
        <v>OK</v>
      </c>
      <c r="Q860" s="6" t="str">
        <f>VLOOKUP(Tableau1[[#This Row],[SITES NAMES]],[1]Feuil1!$1:$1048576,9,FALSE)</f>
        <v>NO</v>
      </c>
      <c r="R860" s="6" t="str">
        <f>VLOOKUP(Tableau1[[#This Row],[SITES NAMES]],[1]Feuil1!$1:$1048576,10,FALSE)</f>
        <v>NO</v>
      </c>
      <c r="S860" s="6" t="s">
        <v>2469</v>
      </c>
      <c r="T860" s="6" t="s">
        <v>2470</v>
      </c>
      <c r="U860" s="6" t="s">
        <v>2471</v>
      </c>
      <c r="V860" s="6" t="s">
        <v>2472</v>
      </c>
      <c r="W860" s="6" t="s">
        <v>2473</v>
      </c>
      <c r="X860" s="8" t="s">
        <v>2767</v>
      </c>
      <c r="Y860" s="6" t="s">
        <v>3239</v>
      </c>
      <c r="Z860" s="6" t="s">
        <v>3253</v>
      </c>
      <c r="AA860" s="37" t="s">
        <v>3687</v>
      </c>
      <c r="AB860" s="38" t="s">
        <v>3683</v>
      </c>
      <c r="AC860" s="37" t="s">
        <v>3688</v>
      </c>
      <c r="AD860" s="37" t="s">
        <v>3687</v>
      </c>
      <c r="AE860" s="37" t="s">
        <v>3689</v>
      </c>
      <c r="AF860" s="39" t="s">
        <v>3690</v>
      </c>
      <c r="AG860" s="40" t="s">
        <v>3685</v>
      </c>
      <c r="AH860" s="37" t="s">
        <v>3691</v>
      </c>
    </row>
    <row r="861" spans="1:34" ht="14.45" hidden="1" customHeight="1" x14ac:dyDescent="0.3">
      <c r="A861" s="6" t="s">
        <v>2022</v>
      </c>
      <c r="B861" s="7">
        <v>43750</v>
      </c>
      <c r="C861" s="6" t="s">
        <v>2021</v>
      </c>
      <c r="D861" s="6" t="s">
        <v>395</v>
      </c>
      <c r="E861" s="6" t="s">
        <v>1965</v>
      </c>
      <c r="F861" s="6" t="s">
        <v>3229</v>
      </c>
      <c r="G861" s="8">
        <v>0.396067</v>
      </c>
      <c r="H861" s="8">
        <v>10.325616</v>
      </c>
      <c r="I861" s="6" t="s">
        <v>2477</v>
      </c>
      <c r="J861" s="6" t="s">
        <v>2459</v>
      </c>
      <c r="K861" s="6" t="s">
        <v>2468</v>
      </c>
      <c r="L861" s="6" t="s">
        <v>3349</v>
      </c>
      <c r="M861" s="6"/>
      <c r="N861" s="6" t="s">
        <v>2468</v>
      </c>
      <c r="O861" s="6" t="s">
        <v>40</v>
      </c>
      <c r="P861" s="6" t="str">
        <f>VLOOKUP(Tableau1[[#This Row],[SITES NAMES]],[1]Feuil1!$1:$1048576,8,FALSE)</f>
        <v>OK</v>
      </c>
      <c r="Q861" s="6" t="str">
        <f>VLOOKUP(Tableau1[[#This Row],[SITES NAMES]],[1]Feuil1!$1:$1048576,9,FALSE)</f>
        <v>NO</v>
      </c>
      <c r="R861" s="6" t="str">
        <f>VLOOKUP(Tableau1[[#This Row],[SITES NAMES]],[1]Feuil1!$1:$1048576,10,FALSE)</f>
        <v>NO</v>
      </c>
      <c r="S861" s="6" t="s">
        <v>2461</v>
      </c>
      <c r="T861" s="6" t="s">
        <v>2462</v>
      </c>
      <c r="U861" s="6" t="s">
        <v>2463</v>
      </c>
      <c r="V861" s="6" t="s">
        <v>2472</v>
      </c>
      <c r="W861" s="6" t="s">
        <v>2473</v>
      </c>
      <c r="X861" s="8" t="s">
        <v>3086</v>
      </c>
      <c r="Y861" s="6" t="s">
        <v>3240</v>
      </c>
      <c r="Z861" s="6" t="s">
        <v>3255</v>
      </c>
      <c r="AA861" s="37" t="s">
        <v>3712</v>
      </c>
      <c r="AB861" s="39" t="s">
        <v>3705</v>
      </c>
      <c r="AC861" s="37" t="s">
        <v>3713</v>
      </c>
      <c r="AD861" s="37" t="s">
        <v>3712</v>
      </c>
      <c r="AE861" s="37" t="s">
        <v>3712</v>
      </c>
      <c r="AF861" s="37" t="s">
        <v>3712</v>
      </c>
      <c r="AG861" s="40" t="s">
        <v>3714</v>
      </c>
      <c r="AH861" s="37" t="s">
        <v>3715</v>
      </c>
    </row>
    <row r="862" spans="1:34" ht="14.45" hidden="1" customHeight="1" x14ac:dyDescent="0.3">
      <c r="A862" s="6" t="s">
        <v>2024</v>
      </c>
      <c r="B862" s="7">
        <v>44073</v>
      </c>
      <c r="C862" s="6" t="s">
        <v>2023</v>
      </c>
      <c r="D862" s="6" t="s">
        <v>395</v>
      </c>
      <c r="E862" s="6" t="s">
        <v>1965</v>
      </c>
      <c r="F862" s="6" t="s">
        <v>3229</v>
      </c>
      <c r="G862" s="8">
        <v>0.207265</v>
      </c>
      <c r="H862" s="8">
        <v>10.428108</v>
      </c>
      <c r="I862" s="6" t="s">
        <v>2477</v>
      </c>
      <c r="J862" s="6" t="s">
        <v>2459</v>
      </c>
      <c r="K862" s="6" t="s">
        <v>2468</v>
      </c>
      <c r="L862" s="6" t="s">
        <v>3437</v>
      </c>
      <c r="M862" s="6"/>
      <c r="N862" s="6" t="s">
        <v>2468</v>
      </c>
      <c r="O862" s="6" t="s">
        <v>40</v>
      </c>
      <c r="P862" s="6" t="str">
        <f>VLOOKUP(Tableau1[[#This Row],[SITES NAMES]],[1]Feuil1!$1:$1048576,8,FALSE)</f>
        <v>OK</v>
      </c>
      <c r="Q862" s="6" t="str">
        <f>VLOOKUP(Tableau1[[#This Row],[SITES NAMES]],[1]Feuil1!$1:$1048576,9,FALSE)</f>
        <v>NO</v>
      </c>
      <c r="R862" s="6" t="str">
        <f>VLOOKUP(Tableau1[[#This Row],[SITES NAMES]],[1]Feuil1!$1:$1048576,10,FALSE)</f>
        <v>YES</v>
      </c>
      <c r="S862" s="6" t="s">
        <v>2469</v>
      </c>
      <c r="T862" s="6" t="s">
        <v>2470</v>
      </c>
      <c r="U862" s="6" t="s">
        <v>2480</v>
      </c>
      <c r="V862" s="6" t="s">
        <v>2472</v>
      </c>
      <c r="W862" s="6" t="s">
        <v>2473</v>
      </c>
      <c r="X862" s="8" t="s">
        <v>3087</v>
      </c>
      <c r="Y862" s="6" t="s">
        <v>3240</v>
      </c>
      <c r="Z862" s="6" t="s">
        <v>3255</v>
      </c>
      <c r="AA862" s="37" t="s">
        <v>3712</v>
      </c>
      <c r="AB862" s="39" t="s">
        <v>3705</v>
      </c>
      <c r="AC862" s="37" t="s">
        <v>3713</v>
      </c>
      <c r="AD862" s="37" t="s">
        <v>3712</v>
      </c>
      <c r="AE862" s="37" t="s">
        <v>3712</v>
      </c>
      <c r="AF862" s="37" t="s">
        <v>3712</v>
      </c>
      <c r="AG862" s="40" t="s">
        <v>3714</v>
      </c>
      <c r="AH862" s="37" t="s">
        <v>3715</v>
      </c>
    </row>
    <row r="863" spans="1:34" ht="15.75" hidden="1" x14ac:dyDescent="0.3">
      <c r="A863" s="6" t="s">
        <v>542</v>
      </c>
      <c r="B863" s="7">
        <v>0</v>
      </c>
      <c r="C863" s="6" t="s">
        <v>541</v>
      </c>
      <c r="D863" s="6" t="s">
        <v>395</v>
      </c>
      <c r="E863" s="6" t="s">
        <v>396</v>
      </c>
      <c r="F863" s="6" t="s">
        <v>3229</v>
      </c>
      <c r="G863" s="8">
        <v>0.352883</v>
      </c>
      <c r="H863" s="8">
        <v>10.724579</v>
      </c>
      <c r="I863" s="6" t="s">
        <v>2467</v>
      </c>
      <c r="J863" s="6" t="s">
        <v>2459</v>
      </c>
      <c r="K863" s="6" t="s">
        <v>2460</v>
      </c>
      <c r="L863" s="6"/>
      <c r="M863" s="6"/>
      <c r="N863" s="21" t="s">
        <v>3269</v>
      </c>
      <c r="O863" s="6" t="s">
        <v>18</v>
      </c>
      <c r="P863" s="6" t="str">
        <f>VLOOKUP(Tableau1[[#This Row],[SITES NAMES]],[1]Feuil1!$1:$1048576,8,FALSE)</f>
        <v>OK</v>
      </c>
      <c r="Q863" s="6" t="str">
        <f>VLOOKUP(Tableau1[[#This Row],[SITES NAMES]],[1]Feuil1!$1:$1048576,9,FALSE)</f>
        <v>NO</v>
      </c>
      <c r="R863" s="6" t="str">
        <f>VLOOKUP(Tableau1[[#This Row],[SITES NAMES]],[1]Feuil1!$1:$1048576,10,FALSE)</f>
        <v>YES</v>
      </c>
      <c r="S863" s="6" t="s">
        <v>2461</v>
      </c>
      <c r="T863" s="6" t="s">
        <v>2470</v>
      </c>
      <c r="U863" s="6" t="s">
        <v>2463</v>
      </c>
      <c r="V863" s="6" t="s">
        <v>2464</v>
      </c>
      <c r="W863" s="6" t="s">
        <v>2473</v>
      </c>
      <c r="X863" s="8" t="s">
        <v>2671</v>
      </c>
      <c r="Y863" s="6" t="s">
        <v>3240</v>
      </c>
      <c r="Z863" s="6" t="s">
        <v>3255</v>
      </c>
      <c r="AA863" s="37" t="s">
        <v>3704</v>
      </c>
      <c r="AB863" s="39" t="s">
        <v>3705</v>
      </c>
      <c r="AC863" s="37" t="s">
        <v>3706</v>
      </c>
      <c r="AD863" s="37" t="s">
        <v>3707</v>
      </c>
      <c r="AE863" s="37" t="s">
        <v>3708</v>
      </c>
      <c r="AF863" s="37" t="s">
        <v>3709</v>
      </c>
      <c r="AG863" s="46" t="s">
        <v>3710</v>
      </c>
      <c r="AH863" s="37" t="s">
        <v>3711</v>
      </c>
    </row>
    <row r="864" spans="1:34" ht="14.45" hidden="1" customHeight="1" x14ac:dyDescent="0.3">
      <c r="A864" s="6" t="s">
        <v>460</v>
      </c>
      <c r="B864" s="7">
        <v>0</v>
      </c>
      <c r="C864" s="6" t="s">
        <v>459</v>
      </c>
      <c r="D864" s="6" t="s">
        <v>395</v>
      </c>
      <c r="E864" s="6" t="s">
        <v>396</v>
      </c>
      <c r="F864" s="6" t="s">
        <v>3229</v>
      </c>
      <c r="G864" s="8">
        <v>9.6638000000000002E-2</v>
      </c>
      <c r="H864" s="8">
        <v>10.90319</v>
      </c>
      <c r="I864" s="6" t="s">
        <v>2477</v>
      </c>
      <c r="J864" s="6" t="s">
        <v>2459</v>
      </c>
      <c r="K864" s="6" t="s">
        <v>2468</v>
      </c>
      <c r="L864" s="6"/>
      <c r="M864" s="6"/>
      <c r="N864" s="6" t="s">
        <v>2468</v>
      </c>
      <c r="O864" s="6" t="s">
        <v>7</v>
      </c>
      <c r="P864" s="6" t="str">
        <f>VLOOKUP(Tableau1[[#This Row],[SITES NAMES]],[1]Feuil1!$1:$1048576,8,FALSE)</f>
        <v>OK</v>
      </c>
      <c r="Q864" s="6" t="str">
        <f>VLOOKUP(Tableau1[[#This Row],[SITES NAMES]],[1]Feuil1!$1:$1048576,9,FALSE)</f>
        <v>NO</v>
      </c>
      <c r="R864" s="6" t="str">
        <f>VLOOKUP(Tableau1[[#This Row],[SITES NAMES]],[1]Feuil1!$1:$1048576,10,FALSE)</f>
        <v>YES</v>
      </c>
      <c r="S864" s="6" t="s">
        <v>2469</v>
      </c>
      <c r="T864" s="6" t="s">
        <v>2470</v>
      </c>
      <c r="U864" s="6" t="s">
        <v>2480</v>
      </c>
      <c r="V864" s="6" t="s">
        <v>2472</v>
      </c>
      <c r="W864" s="6" t="s">
        <v>2473</v>
      </c>
      <c r="X864" s="8" t="s">
        <v>2648</v>
      </c>
      <c r="Y864" s="6" t="s">
        <v>3240</v>
      </c>
      <c r="Z864" s="6" t="s">
        <v>3255</v>
      </c>
      <c r="AA864" s="37" t="s">
        <v>3704</v>
      </c>
      <c r="AB864" s="39" t="s">
        <v>3705</v>
      </c>
      <c r="AC864" s="37" t="s">
        <v>3706</v>
      </c>
      <c r="AD864" s="37" t="s">
        <v>3707</v>
      </c>
      <c r="AE864" s="37" t="s">
        <v>3708</v>
      </c>
      <c r="AF864" s="37" t="s">
        <v>3709</v>
      </c>
      <c r="AG864" s="46" t="s">
        <v>3710</v>
      </c>
      <c r="AH864" s="37" t="s">
        <v>3711</v>
      </c>
    </row>
    <row r="865" spans="1:34" ht="14.45" hidden="1" customHeight="1" x14ac:dyDescent="0.3">
      <c r="A865" s="6" t="s">
        <v>2026</v>
      </c>
      <c r="B865" s="7">
        <v>45162</v>
      </c>
      <c r="C865" s="6" t="s">
        <v>2025</v>
      </c>
      <c r="D865" s="6" t="s">
        <v>395</v>
      </c>
      <c r="E865" s="6" t="s">
        <v>1965</v>
      </c>
      <c r="F865" s="6" t="s">
        <v>3229</v>
      </c>
      <c r="G865" s="8">
        <v>0.50152200000000002</v>
      </c>
      <c r="H865" s="8">
        <v>10.282342</v>
      </c>
      <c r="I865" s="6" t="s">
        <v>2477</v>
      </c>
      <c r="J865" s="6" t="s">
        <v>2459</v>
      </c>
      <c r="K865" s="6" t="s">
        <v>2468</v>
      </c>
      <c r="L865" s="6" t="s">
        <v>3544</v>
      </c>
      <c r="M865" s="6"/>
      <c r="N865" s="6" t="s">
        <v>2468</v>
      </c>
      <c r="O865" s="6" t="s">
        <v>40</v>
      </c>
      <c r="P865" s="6" t="str">
        <f>VLOOKUP(Tableau1[[#This Row],[SITES NAMES]],[1]Feuil1!$1:$1048576,8,FALSE)</f>
        <v>NOK</v>
      </c>
      <c r="Q865" s="6" t="str">
        <f>VLOOKUP(Tableau1[[#This Row],[SITES NAMES]],[1]Feuil1!$1:$1048576,9,FALSE)</f>
        <v>NO</v>
      </c>
      <c r="R865" s="6" t="str">
        <f>VLOOKUP(Tableau1[[#This Row],[SITES NAMES]],[1]Feuil1!$1:$1048576,10,FALSE)</f>
        <v>NO</v>
      </c>
      <c r="S865" s="6" t="s">
        <v>2469</v>
      </c>
      <c r="T865" s="6" t="s">
        <v>2470</v>
      </c>
      <c r="U865" s="6" t="s">
        <v>2480</v>
      </c>
      <c r="V865" s="6" t="s">
        <v>2472</v>
      </c>
      <c r="W865" s="6" t="s">
        <v>2473</v>
      </c>
      <c r="X865" s="8"/>
      <c r="Y865" s="6" t="s">
        <v>3240</v>
      </c>
      <c r="Z865" s="6" t="s">
        <v>3255</v>
      </c>
      <c r="AA865" s="37" t="s">
        <v>3712</v>
      </c>
      <c r="AB865" s="39" t="s">
        <v>3705</v>
      </c>
      <c r="AC865" s="37" t="s">
        <v>3713</v>
      </c>
      <c r="AD865" s="37" t="s">
        <v>3712</v>
      </c>
      <c r="AE865" s="37" t="s">
        <v>3712</v>
      </c>
      <c r="AF865" s="37" t="s">
        <v>3712</v>
      </c>
      <c r="AG865" s="40" t="s">
        <v>3714</v>
      </c>
      <c r="AH865" s="37" t="s">
        <v>3715</v>
      </c>
    </row>
    <row r="866" spans="1:34" ht="15.75" hidden="1" x14ac:dyDescent="0.3">
      <c r="A866" s="6" t="s">
        <v>1985</v>
      </c>
      <c r="B866" s="7">
        <v>0</v>
      </c>
      <c r="C866" s="6" t="s">
        <v>1984</v>
      </c>
      <c r="D866" s="6" t="s">
        <v>395</v>
      </c>
      <c r="E866" s="6" t="s">
        <v>1965</v>
      </c>
      <c r="F866" s="6" t="s">
        <v>3229</v>
      </c>
      <c r="G866" s="8">
        <v>0.44886700000000002</v>
      </c>
      <c r="H866" s="8">
        <v>10.054344</v>
      </c>
      <c r="I866" s="6" t="s">
        <v>2467</v>
      </c>
      <c r="J866" s="6" t="s">
        <v>2459</v>
      </c>
      <c r="K866" s="6" t="s">
        <v>2460</v>
      </c>
      <c r="L866" s="6"/>
      <c r="M866" s="6"/>
      <c r="N866" s="21" t="s">
        <v>3269</v>
      </c>
      <c r="O866" s="6" t="s">
        <v>40</v>
      </c>
      <c r="P866" s="6" t="str">
        <f>VLOOKUP(Tableau1[[#This Row],[SITES NAMES]],[1]Feuil1!$1:$1048576,8,FALSE)</f>
        <v>OK</v>
      </c>
      <c r="Q866" s="6" t="str">
        <f>VLOOKUP(Tableau1[[#This Row],[SITES NAMES]],[1]Feuil1!$1:$1048576,9,FALSE)</f>
        <v>NO</v>
      </c>
      <c r="R866" s="6" t="str">
        <f>VLOOKUP(Tableau1[[#This Row],[SITES NAMES]],[1]Feuil1!$1:$1048576,10,FALSE)</f>
        <v>NO</v>
      </c>
      <c r="S866" s="6" t="s">
        <v>2469</v>
      </c>
      <c r="T866" s="6" t="s">
        <v>2470</v>
      </c>
      <c r="U866" s="6" t="s">
        <v>2480</v>
      </c>
      <c r="V866" s="6" t="s">
        <v>2472</v>
      </c>
      <c r="W866" s="6" t="s">
        <v>2473</v>
      </c>
      <c r="X866" s="8" t="s">
        <v>3073</v>
      </c>
      <c r="Y866" s="6" t="s">
        <v>3240</v>
      </c>
      <c r="Z866" s="6" t="s">
        <v>3255</v>
      </c>
      <c r="AA866" s="37" t="s">
        <v>3712</v>
      </c>
      <c r="AB866" s="39" t="s">
        <v>3705</v>
      </c>
      <c r="AC866" s="37" t="s">
        <v>3713</v>
      </c>
      <c r="AD866" s="37" t="s">
        <v>3712</v>
      </c>
      <c r="AE866" s="37" t="s">
        <v>3712</v>
      </c>
      <c r="AF866" s="37" t="s">
        <v>3712</v>
      </c>
      <c r="AG866" s="40" t="s">
        <v>3714</v>
      </c>
      <c r="AH866" s="37" t="s">
        <v>3715</v>
      </c>
    </row>
    <row r="867" spans="1:34" ht="14.45" hidden="1" customHeight="1" x14ac:dyDescent="0.3">
      <c r="A867" s="6" t="s">
        <v>2278</v>
      </c>
      <c r="B867" s="7">
        <v>0</v>
      </c>
      <c r="C867" s="6" t="s">
        <v>2277</v>
      </c>
      <c r="D867" s="6" t="s">
        <v>320</v>
      </c>
      <c r="E867" s="6" t="s">
        <v>2274</v>
      </c>
      <c r="F867" s="6" t="s">
        <v>3229</v>
      </c>
      <c r="G867" s="8">
        <v>1.4782</v>
      </c>
      <c r="H867" s="8">
        <v>8.5150500000000005</v>
      </c>
      <c r="I867" s="6" t="s">
        <v>2479</v>
      </c>
      <c r="J867" s="6" t="s">
        <v>2459</v>
      </c>
      <c r="K867" s="6" t="s">
        <v>2468</v>
      </c>
      <c r="L867" s="6"/>
      <c r="M867" s="6"/>
      <c r="N867" s="6" t="s">
        <v>2468</v>
      </c>
      <c r="O867" s="6" t="s">
        <v>40</v>
      </c>
      <c r="P867" s="6" t="str">
        <f>VLOOKUP(Tableau1[[#This Row],[SITES NAMES]],[1]Feuil1!$1:$1048576,8,FALSE)</f>
        <v>NOK</v>
      </c>
      <c r="Q867" s="6" t="str">
        <f>VLOOKUP(Tableau1[[#This Row],[SITES NAMES]],[1]Feuil1!$1:$1048576,9,FALSE)</f>
        <v>NO</v>
      </c>
      <c r="R867" s="6" t="str">
        <f>VLOOKUP(Tableau1[[#This Row],[SITES NAMES]],[1]Feuil1!$1:$1048576,10,FALSE)</f>
        <v>YES</v>
      </c>
      <c r="S867" s="6" t="s">
        <v>2469</v>
      </c>
      <c r="T867" s="6" t="s">
        <v>2470</v>
      </c>
      <c r="U867" s="6" t="s">
        <v>2480</v>
      </c>
      <c r="V867" s="6" t="s">
        <v>2472</v>
      </c>
      <c r="W867" s="6" t="s">
        <v>2473</v>
      </c>
      <c r="X867" s="8">
        <v>70997022</v>
      </c>
      <c r="Y867" s="6" t="s">
        <v>3238</v>
      </c>
      <c r="Z867" s="6" t="s">
        <v>3254</v>
      </c>
      <c r="AA867" s="37" t="s">
        <v>3678</v>
      </c>
      <c r="AB867" s="39" t="s">
        <v>3665</v>
      </c>
      <c r="AC867" s="37" t="s">
        <v>3679</v>
      </c>
      <c r="AD867" s="37" t="s">
        <v>3678</v>
      </c>
      <c r="AE867" s="37" t="s">
        <v>3680</v>
      </c>
      <c r="AF867" s="39" t="s">
        <v>3676</v>
      </c>
      <c r="AG867" s="37" t="s">
        <v>3670</v>
      </c>
      <c r="AH867" s="37" t="s">
        <v>3681</v>
      </c>
    </row>
    <row r="868" spans="1:34" ht="14.45" hidden="1" customHeight="1" x14ac:dyDescent="0.3">
      <c r="A868" s="6" t="s">
        <v>915</v>
      </c>
      <c r="B868" s="7">
        <v>0</v>
      </c>
      <c r="C868" s="6" t="s">
        <v>914</v>
      </c>
      <c r="D868" s="6" t="s">
        <v>657</v>
      </c>
      <c r="E868" s="6" t="s">
        <v>3235</v>
      </c>
      <c r="F868" s="6" t="s">
        <v>3229</v>
      </c>
      <c r="G868" s="8">
        <v>0.81398999999999999</v>
      </c>
      <c r="H868" s="8">
        <v>9.72743</v>
      </c>
      <c r="I868" s="6" t="s">
        <v>2477</v>
      </c>
      <c r="J868" s="6" t="s">
        <v>2459</v>
      </c>
      <c r="K868" s="6" t="s">
        <v>2468</v>
      </c>
      <c r="L868" s="6" t="s">
        <v>989</v>
      </c>
      <c r="M868" s="6"/>
      <c r="N868" s="6" t="s">
        <v>2468</v>
      </c>
      <c r="O868" s="6" t="s">
        <v>40</v>
      </c>
      <c r="P868" s="6" t="str">
        <f>VLOOKUP(Tableau1[[#This Row],[SITES NAMES]],[1]Feuil1!$1:$1048576,8,FALSE)</f>
        <v>OK</v>
      </c>
      <c r="Q868" s="6" t="str">
        <f>VLOOKUP(Tableau1[[#This Row],[SITES NAMES]],[1]Feuil1!$1:$1048576,9,FALSE)</f>
        <v>NO</v>
      </c>
      <c r="R868" s="6" t="str">
        <f>VLOOKUP(Tableau1[[#This Row],[SITES NAMES]],[1]Feuil1!$1:$1048576,10,FALSE)</f>
        <v>NO</v>
      </c>
      <c r="S868" s="6" t="s">
        <v>2469</v>
      </c>
      <c r="T868" s="6" t="s">
        <v>2470</v>
      </c>
      <c r="U868" s="6" t="s">
        <v>2480</v>
      </c>
      <c r="V868" s="6" t="s">
        <v>2472</v>
      </c>
      <c r="W868" s="6" t="s">
        <v>2473</v>
      </c>
      <c r="X868" s="8" t="s">
        <v>2812</v>
      </c>
      <c r="Y868" s="6" t="s">
        <v>3239</v>
      </c>
      <c r="Z868" s="6" t="s">
        <v>3253</v>
      </c>
      <c r="AA868" s="37" t="s">
        <v>3698</v>
      </c>
      <c r="AB868" s="38" t="s">
        <v>3683</v>
      </c>
      <c r="AC868" s="39" t="s">
        <v>3699</v>
      </c>
      <c r="AD868" s="39" t="s">
        <v>3700</v>
      </c>
      <c r="AE868" s="37" t="s">
        <v>3701</v>
      </c>
      <c r="AF868" s="39" t="s">
        <v>3702</v>
      </c>
      <c r="AG868" s="40" t="s">
        <v>3685</v>
      </c>
      <c r="AH868" s="37" t="s">
        <v>3703</v>
      </c>
    </row>
    <row r="869" spans="1:34" ht="14.45" hidden="1" customHeight="1" x14ac:dyDescent="0.3">
      <c r="A869" s="6" t="s">
        <v>483</v>
      </c>
      <c r="B869" s="7">
        <v>46022</v>
      </c>
      <c r="C869" s="6" t="s">
        <v>482</v>
      </c>
      <c r="D869" s="6" t="s">
        <v>395</v>
      </c>
      <c r="E869" s="6" t="s">
        <v>396</v>
      </c>
      <c r="F869" s="6" t="s">
        <v>3229</v>
      </c>
      <c r="G869" s="8">
        <v>0.237176</v>
      </c>
      <c r="H869" s="8">
        <v>10.914974000000001</v>
      </c>
      <c r="I869" s="16" t="s">
        <v>2477</v>
      </c>
      <c r="J869" s="6" t="s">
        <v>2459</v>
      </c>
      <c r="K869" s="6" t="s">
        <v>2468</v>
      </c>
      <c r="L869" s="6"/>
      <c r="M869" s="6"/>
      <c r="N869" s="6" t="s">
        <v>2468</v>
      </c>
      <c r="O869" s="6" t="s">
        <v>40</v>
      </c>
      <c r="P869" s="6"/>
      <c r="Q869" s="6"/>
      <c r="R869" s="6"/>
      <c r="S869" s="6"/>
      <c r="T869" s="6"/>
      <c r="U869" s="6"/>
      <c r="V869" s="6"/>
      <c r="W869" s="6"/>
      <c r="X869" s="8"/>
      <c r="Y869" s="6" t="s">
        <v>3240</v>
      </c>
      <c r="Z869" s="6" t="s">
        <v>3255</v>
      </c>
      <c r="AA869" s="37" t="s">
        <v>3704</v>
      </c>
      <c r="AB869" s="39" t="s">
        <v>3705</v>
      </c>
      <c r="AC869" s="37" t="s">
        <v>3706</v>
      </c>
      <c r="AD869" s="37" t="s">
        <v>3707</v>
      </c>
      <c r="AE869" s="37" t="s">
        <v>3708</v>
      </c>
      <c r="AF869" s="37" t="s">
        <v>3709</v>
      </c>
      <c r="AG869" s="46" t="s">
        <v>3710</v>
      </c>
      <c r="AH869" s="37" t="s">
        <v>3711</v>
      </c>
    </row>
    <row r="870" spans="1:34" ht="14.45" hidden="1" customHeight="1" x14ac:dyDescent="0.3">
      <c r="A870" s="6" t="s">
        <v>410</v>
      </c>
      <c r="B870" s="7">
        <v>0</v>
      </c>
      <c r="C870" s="6" t="s">
        <v>409</v>
      </c>
      <c r="D870" s="6" t="s">
        <v>395</v>
      </c>
      <c r="E870" s="6" t="s">
        <v>396</v>
      </c>
      <c r="F870" s="6" t="s">
        <v>3229</v>
      </c>
      <c r="G870" s="8">
        <v>0.39529999999999998</v>
      </c>
      <c r="H870" s="8">
        <v>10.90138</v>
      </c>
      <c r="I870" s="6" t="s">
        <v>2467</v>
      </c>
      <c r="J870" s="6" t="s">
        <v>2459</v>
      </c>
      <c r="K870" s="6" t="s">
        <v>2468</v>
      </c>
      <c r="L870" s="6" t="s">
        <v>3545</v>
      </c>
      <c r="M870" s="6"/>
      <c r="N870" s="6" t="s">
        <v>2468</v>
      </c>
      <c r="O870" s="6" t="s">
        <v>40</v>
      </c>
      <c r="P870" s="6" t="str">
        <f>VLOOKUP(Tableau1[[#This Row],[SITES NAMES]],[1]Feuil1!$1:$1048576,8,FALSE)</f>
        <v>NOK</v>
      </c>
      <c r="Q870" s="6" t="str">
        <f>VLOOKUP(Tableau1[[#This Row],[SITES NAMES]],[1]Feuil1!$1:$1048576,9,FALSE)</f>
        <v>NO</v>
      </c>
      <c r="R870" s="6" t="str">
        <f>VLOOKUP(Tableau1[[#This Row],[SITES NAMES]],[1]Feuil1!$1:$1048576,10,FALSE)</f>
        <v>NO</v>
      </c>
      <c r="S870" s="6" t="s">
        <v>2469</v>
      </c>
      <c r="T870" s="6" t="s">
        <v>2470</v>
      </c>
      <c r="U870" s="6" t="s">
        <v>2471</v>
      </c>
      <c r="V870" s="6" t="s">
        <v>2464</v>
      </c>
      <c r="W870" s="6" t="s">
        <v>2473</v>
      </c>
      <c r="X870" s="8" t="s">
        <v>2623</v>
      </c>
      <c r="Y870" s="6" t="s">
        <v>3240</v>
      </c>
      <c r="Z870" s="6" t="s">
        <v>3255</v>
      </c>
      <c r="AA870" s="37" t="s">
        <v>3704</v>
      </c>
      <c r="AB870" s="39" t="s">
        <v>3705</v>
      </c>
      <c r="AC870" s="37" t="s">
        <v>3706</v>
      </c>
      <c r="AD870" s="37" t="s">
        <v>3707</v>
      </c>
      <c r="AE870" s="37" t="s">
        <v>3708</v>
      </c>
      <c r="AF870" s="37" t="s">
        <v>3709</v>
      </c>
      <c r="AG870" s="46" t="s">
        <v>3710</v>
      </c>
      <c r="AH870" s="37" t="s">
        <v>3711</v>
      </c>
    </row>
    <row r="871" spans="1:34" ht="14.45" hidden="1" customHeight="1" x14ac:dyDescent="0.3">
      <c r="A871" s="6" t="s">
        <v>735</v>
      </c>
      <c r="B871" s="7">
        <v>43927</v>
      </c>
      <c r="C871" s="6" t="s">
        <v>734</v>
      </c>
      <c r="D871" s="6" t="s">
        <v>657</v>
      </c>
      <c r="E871" s="6" t="s">
        <v>658</v>
      </c>
      <c r="F871" s="6" t="s">
        <v>3229</v>
      </c>
      <c r="G871" s="8">
        <v>0.62492999999999999</v>
      </c>
      <c r="H871" s="8">
        <v>9.7703600000000002</v>
      </c>
      <c r="I871" s="6" t="s">
        <v>2467</v>
      </c>
      <c r="J871" s="6" t="s">
        <v>2459</v>
      </c>
      <c r="K871" s="6" t="s">
        <v>2468</v>
      </c>
      <c r="L871" s="6" t="s">
        <v>3546</v>
      </c>
      <c r="M871" s="6"/>
      <c r="N871" s="6" t="s">
        <v>2468</v>
      </c>
      <c r="O871" s="6" t="s">
        <v>40</v>
      </c>
      <c r="P871" s="6" t="str">
        <f>VLOOKUP(Tableau1[[#This Row],[SITES NAMES]],[1]Feuil1!$1:$1048576,8,FALSE)</f>
        <v>OK</v>
      </c>
      <c r="Q871" s="6" t="str">
        <f>VLOOKUP(Tableau1[[#This Row],[SITES NAMES]],[1]Feuil1!$1:$1048576,9,FALSE)</f>
        <v>NO</v>
      </c>
      <c r="R871" s="6" t="str">
        <f>VLOOKUP(Tableau1[[#This Row],[SITES NAMES]],[1]Feuil1!$1:$1048576,10,FALSE)</f>
        <v>NO</v>
      </c>
      <c r="S871" s="6" t="s">
        <v>2461</v>
      </c>
      <c r="T871" s="6" t="s">
        <v>2462</v>
      </c>
      <c r="U871" s="6" t="s">
        <v>2463</v>
      </c>
      <c r="V871" s="6" t="s">
        <v>2472</v>
      </c>
      <c r="W871" s="6" t="s">
        <v>2473</v>
      </c>
      <c r="X871" s="8" t="s">
        <v>2743</v>
      </c>
      <c r="Y871" s="6" t="s">
        <v>3239</v>
      </c>
      <c r="Z871" s="6" t="s">
        <v>3253</v>
      </c>
      <c r="AA871" s="38" t="s">
        <v>3682</v>
      </c>
      <c r="AB871" s="38" t="s">
        <v>3683</v>
      </c>
      <c r="AC871" s="38" t="s">
        <v>3684</v>
      </c>
      <c r="AD871" s="38" t="s">
        <v>3682</v>
      </c>
      <c r="AE871" s="38" t="s">
        <v>3682</v>
      </c>
      <c r="AF871" s="38" t="s">
        <v>3682</v>
      </c>
      <c r="AG871" s="40" t="s">
        <v>3685</v>
      </c>
      <c r="AH871" s="37" t="s">
        <v>3686</v>
      </c>
    </row>
    <row r="872" spans="1:34" ht="14.45" hidden="1" customHeight="1" x14ac:dyDescent="0.3">
      <c r="A872" s="6" t="s">
        <v>737</v>
      </c>
      <c r="B872" s="7">
        <v>0</v>
      </c>
      <c r="C872" s="6" t="s">
        <v>736</v>
      </c>
      <c r="D872" s="6" t="s">
        <v>657</v>
      </c>
      <c r="E872" s="6" t="s">
        <v>658</v>
      </c>
      <c r="F872" s="6" t="s">
        <v>3229</v>
      </c>
      <c r="G872" s="8">
        <v>0.41171200000000002</v>
      </c>
      <c r="H872" s="8">
        <v>9.588635</v>
      </c>
      <c r="I872" s="6" t="s">
        <v>2467</v>
      </c>
      <c r="J872" s="6" t="s">
        <v>2459</v>
      </c>
      <c r="K872" s="6" t="s">
        <v>2468</v>
      </c>
      <c r="L872" s="6" t="s">
        <v>3500</v>
      </c>
      <c r="M872" s="6"/>
      <c r="N872" s="6" t="s">
        <v>2468</v>
      </c>
      <c r="O872" s="6" t="s">
        <v>40</v>
      </c>
      <c r="P872" s="6" t="str">
        <f>VLOOKUP(Tableau1[[#This Row],[SITES NAMES]],[1]Feuil1!$1:$1048576,8,FALSE)</f>
        <v>OK</v>
      </c>
      <c r="Q872" s="6" t="str">
        <f>VLOOKUP(Tableau1[[#This Row],[SITES NAMES]],[1]Feuil1!$1:$1048576,9,FALSE)</f>
        <v>NO</v>
      </c>
      <c r="R872" s="6" t="str">
        <f>VLOOKUP(Tableau1[[#This Row],[SITES NAMES]],[1]Feuil1!$1:$1048576,10,FALSE)</f>
        <v>NO</v>
      </c>
      <c r="S872" s="6" t="s">
        <v>2461</v>
      </c>
      <c r="T872" s="6" t="s">
        <v>2462</v>
      </c>
      <c r="U872" s="6" t="s">
        <v>2463</v>
      </c>
      <c r="V872" s="6" t="s">
        <v>2472</v>
      </c>
      <c r="W872" s="6" t="s">
        <v>2473</v>
      </c>
      <c r="X872" s="8" t="s">
        <v>2744</v>
      </c>
      <c r="Y872" s="6" t="s">
        <v>3239</v>
      </c>
      <c r="Z872" s="6" t="s">
        <v>3253</v>
      </c>
      <c r="AA872" s="38" t="s">
        <v>3682</v>
      </c>
      <c r="AB872" s="38" t="s">
        <v>3683</v>
      </c>
      <c r="AC872" s="38" t="s">
        <v>3684</v>
      </c>
      <c r="AD872" s="38" t="s">
        <v>3682</v>
      </c>
      <c r="AE872" s="38" t="s">
        <v>3682</v>
      </c>
      <c r="AF872" s="38" t="s">
        <v>3682</v>
      </c>
      <c r="AG872" s="40" t="s">
        <v>3685</v>
      </c>
      <c r="AH872" s="37" t="s">
        <v>3686</v>
      </c>
    </row>
    <row r="873" spans="1:34" ht="14.45" hidden="1" customHeight="1" x14ac:dyDescent="0.25">
      <c r="A873" s="6" t="s">
        <v>1692</v>
      </c>
      <c r="B873" s="7">
        <v>44532</v>
      </c>
      <c r="C873" s="6" t="s">
        <v>1691</v>
      </c>
      <c r="D873" s="6" t="s">
        <v>66</v>
      </c>
      <c r="E873" s="6" t="s">
        <v>3236</v>
      </c>
      <c r="F873" s="6" t="s">
        <v>3229</v>
      </c>
      <c r="G873" s="8">
        <v>1.141589</v>
      </c>
      <c r="H873" s="8">
        <v>6.2308809900000002</v>
      </c>
      <c r="I873" s="6" t="s">
        <v>2475</v>
      </c>
      <c r="J873" s="6" t="s">
        <v>2459</v>
      </c>
      <c r="K873" s="6" t="s">
        <v>2460</v>
      </c>
      <c r="L873" s="6"/>
      <c r="M873" s="6"/>
      <c r="N873" s="6" t="s">
        <v>3268</v>
      </c>
      <c r="O873" s="6" t="s">
        <v>7</v>
      </c>
      <c r="P873" s="6" t="str">
        <f>VLOOKUP(Tableau1[[#This Row],[SITES NAMES]],[1]Feuil1!$1:$1048576,8,FALSE)</f>
        <v>OK</v>
      </c>
      <c r="Q873" s="6" t="str">
        <f>VLOOKUP(Tableau1[[#This Row],[SITES NAMES]],[1]Feuil1!$1:$1048576,9,FALSE)</f>
        <v>NO</v>
      </c>
      <c r="R873" s="6" t="str">
        <f>VLOOKUP(Tableau1[[#This Row],[SITES NAMES]],[1]Feuil1!$1:$1048576,10,FALSE)</f>
        <v>YES</v>
      </c>
      <c r="S873" s="6" t="s">
        <v>2461</v>
      </c>
      <c r="T873" s="6" t="s">
        <v>2462</v>
      </c>
      <c r="U873" s="6" t="s">
        <v>2463</v>
      </c>
      <c r="V873" s="6" t="s">
        <v>2464</v>
      </c>
      <c r="W873" s="6" t="s">
        <v>2465</v>
      </c>
      <c r="X873" s="8" t="s">
        <v>3005</v>
      </c>
      <c r="Y873" s="6" t="s">
        <v>3238</v>
      </c>
      <c r="Z873" s="6" t="s">
        <v>3263</v>
      </c>
      <c r="AA873" s="35" t="s">
        <v>3616</v>
      </c>
      <c r="AB873" s="35" t="s">
        <v>3608</v>
      </c>
      <c r="AC873" s="35" t="s">
        <v>3619</v>
      </c>
      <c r="AD873" s="35" t="s">
        <v>3610</v>
      </c>
      <c r="AE873" s="35" t="s">
        <v>3610</v>
      </c>
      <c r="AF873" s="35" t="s">
        <v>3611</v>
      </c>
      <c r="AG873" s="35" t="s">
        <v>3612</v>
      </c>
      <c r="AH873" s="35" t="s">
        <v>3620</v>
      </c>
    </row>
    <row r="874" spans="1:34" ht="14.45" hidden="1" customHeight="1" x14ac:dyDescent="0.3">
      <c r="A874" s="6" t="s">
        <v>442</v>
      </c>
      <c r="B874" s="7">
        <v>43600</v>
      </c>
      <c r="C874" s="6" t="s">
        <v>441</v>
      </c>
      <c r="D874" s="6" t="s">
        <v>395</v>
      </c>
      <c r="E874" s="6" t="s">
        <v>396</v>
      </c>
      <c r="F874" s="6" t="s">
        <v>3229</v>
      </c>
      <c r="G874" s="8">
        <v>0.14826</v>
      </c>
      <c r="H874" s="8">
        <v>10.91005</v>
      </c>
      <c r="I874" s="6" t="s">
        <v>2477</v>
      </c>
      <c r="J874" s="6" t="s">
        <v>2459</v>
      </c>
      <c r="K874" s="6" t="s">
        <v>2468</v>
      </c>
      <c r="L874" s="6" t="s">
        <v>3547</v>
      </c>
      <c r="M874" s="6"/>
      <c r="N874" s="6" t="s">
        <v>2468</v>
      </c>
      <c r="O874" s="6" t="s">
        <v>18</v>
      </c>
      <c r="P874" s="6" t="str">
        <f>VLOOKUP(Tableau1[[#This Row],[SITES NAMES]],[1]Feuil1!$1:$1048576,8,FALSE)</f>
        <v>NOK</v>
      </c>
      <c r="Q874" s="6" t="str">
        <f>VLOOKUP(Tableau1[[#This Row],[SITES NAMES]],[1]Feuil1!$1:$1048576,9,FALSE)</f>
        <v>NO</v>
      </c>
      <c r="R874" s="6" t="str">
        <f>VLOOKUP(Tableau1[[#This Row],[SITES NAMES]],[1]Feuil1!$1:$1048576,10,FALSE)</f>
        <v>NO</v>
      </c>
      <c r="S874" s="6" t="s">
        <v>2461</v>
      </c>
      <c r="T874" s="6" t="s">
        <v>2462</v>
      </c>
      <c r="U874" s="6" t="s">
        <v>2463</v>
      </c>
      <c r="V874" s="6" t="s">
        <v>2464</v>
      </c>
      <c r="W874" s="6" t="s">
        <v>2473</v>
      </c>
      <c r="X874" s="8" t="s">
        <v>2639</v>
      </c>
      <c r="Y874" s="6" t="s">
        <v>3240</v>
      </c>
      <c r="Z874" s="6" t="s">
        <v>3255</v>
      </c>
      <c r="AA874" s="37" t="s">
        <v>3704</v>
      </c>
      <c r="AB874" s="39" t="s">
        <v>3705</v>
      </c>
      <c r="AC874" s="37" t="s">
        <v>3706</v>
      </c>
      <c r="AD874" s="37" t="s">
        <v>3707</v>
      </c>
      <c r="AE874" s="37" t="s">
        <v>3708</v>
      </c>
      <c r="AF874" s="37" t="s">
        <v>3709</v>
      </c>
      <c r="AG874" s="46" t="s">
        <v>3710</v>
      </c>
      <c r="AH874" s="37" t="s">
        <v>3711</v>
      </c>
    </row>
    <row r="875" spans="1:34" ht="15.75" hidden="1" x14ac:dyDescent="0.3">
      <c r="A875" s="6" t="s">
        <v>2028</v>
      </c>
      <c r="B875" s="7">
        <v>0</v>
      </c>
      <c r="C875" s="6" t="s">
        <v>2027</v>
      </c>
      <c r="D875" s="6" t="s">
        <v>395</v>
      </c>
      <c r="E875" s="6" t="s">
        <v>1965</v>
      </c>
      <c r="F875" s="6" t="s">
        <v>3229</v>
      </c>
      <c r="G875" s="8">
        <v>0.39004800000000001</v>
      </c>
      <c r="H875" s="8">
        <v>10.618566</v>
      </c>
      <c r="I875" s="6" t="s">
        <v>2477</v>
      </c>
      <c r="J875" s="6" t="s">
        <v>2459</v>
      </c>
      <c r="K875" s="6" t="s">
        <v>2460</v>
      </c>
      <c r="L875" s="6"/>
      <c r="M875" s="6"/>
      <c r="N875" s="21" t="s">
        <v>3269</v>
      </c>
      <c r="O875" s="6" t="s">
        <v>7</v>
      </c>
      <c r="P875" s="6" t="str">
        <f>VLOOKUP(Tableau1[[#This Row],[SITES NAMES]],[1]Feuil1!$1:$1048576,8,FALSE)</f>
        <v>OK</v>
      </c>
      <c r="Q875" s="6" t="str">
        <f>VLOOKUP(Tableau1[[#This Row],[SITES NAMES]],[1]Feuil1!$1:$1048576,9,FALSE)</f>
        <v>NO</v>
      </c>
      <c r="R875" s="6" t="str">
        <f>VLOOKUP(Tableau1[[#This Row],[SITES NAMES]],[1]Feuil1!$1:$1048576,10,FALSE)</f>
        <v>YES</v>
      </c>
      <c r="S875" s="6" t="s">
        <v>2461</v>
      </c>
      <c r="T875" s="6" t="s">
        <v>2462</v>
      </c>
      <c r="U875" s="6" t="s">
        <v>2463</v>
      </c>
      <c r="V875" s="6" t="s">
        <v>2464</v>
      </c>
      <c r="W875" s="6" t="s">
        <v>2473</v>
      </c>
      <c r="X875" s="8" t="s">
        <v>3088</v>
      </c>
      <c r="Y875" s="6" t="s">
        <v>3240</v>
      </c>
      <c r="Z875" s="6" t="s">
        <v>3255</v>
      </c>
      <c r="AA875" s="37" t="s">
        <v>3712</v>
      </c>
      <c r="AB875" s="39" t="s">
        <v>3705</v>
      </c>
      <c r="AC875" s="37" t="s">
        <v>3713</v>
      </c>
      <c r="AD875" s="37" t="s">
        <v>3712</v>
      </c>
      <c r="AE875" s="37" t="s">
        <v>3712</v>
      </c>
      <c r="AF875" s="37" t="s">
        <v>3712</v>
      </c>
      <c r="AG875" s="40" t="s">
        <v>3714</v>
      </c>
      <c r="AH875" s="37" t="s">
        <v>3715</v>
      </c>
    </row>
    <row r="876" spans="1:34" ht="14.45" hidden="1" customHeight="1" x14ac:dyDescent="0.3">
      <c r="A876" s="6" t="s">
        <v>137</v>
      </c>
      <c r="B876" s="7">
        <v>0</v>
      </c>
      <c r="C876" s="6" t="s">
        <v>136</v>
      </c>
      <c r="D876" s="6" t="s">
        <v>132</v>
      </c>
      <c r="E876" s="6" t="s">
        <v>133</v>
      </c>
      <c r="F876" s="6" t="s">
        <v>3229</v>
      </c>
      <c r="G876" s="8">
        <v>1.4361999999999999</v>
      </c>
      <c r="H876" s="8">
        <v>7.4173</v>
      </c>
      <c r="I876" s="6" t="s">
        <v>2467</v>
      </c>
      <c r="J876" s="6" t="s">
        <v>2459</v>
      </c>
      <c r="K876" s="6" t="s">
        <v>2468</v>
      </c>
      <c r="L876" s="6" t="s">
        <v>3348</v>
      </c>
      <c r="M876" s="6"/>
      <c r="N876" s="6" t="s">
        <v>2468</v>
      </c>
      <c r="O876" s="6" t="s">
        <v>7</v>
      </c>
      <c r="P876" s="6" t="str">
        <f>VLOOKUP(Tableau1[[#This Row],[SITES NAMES]],[1]Feuil1!$1:$1048576,8,FALSE)</f>
        <v>OK</v>
      </c>
      <c r="Q876" s="6" t="str">
        <f>VLOOKUP(Tableau1[[#This Row],[SITES NAMES]],[1]Feuil1!$1:$1048576,9,FALSE)</f>
        <v>NO</v>
      </c>
      <c r="R876" s="6" t="str">
        <f>VLOOKUP(Tableau1[[#This Row],[SITES NAMES]],[1]Feuil1!$1:$1048576,10,FALSE)</f>
        <v>NO</v>
      </c>
      <c r="S876" s="6" t="s">
        <v>2461</v>
      </c>
      <c r="T876" s="6" t="s">
        <v>2462</v>
      </c>
      <c r="U876" s="6" t="s">
        <v>2463</v>
      </c>
      <c r="V876" s="6" t="s">
        <v>2472</v>
      </c>
      <c r="W876" s="6" t="s">
        <v>2473</v>
      </c>
      <c r="X876" s="8" t="s">
        <v>2523</v>
      </c>
      <c r="Y876" s="6" t="s">
        <v>3238</v>
      </c>
      <c r="Z876" s="6" t="s">
        <v>3258</v>
      </c>
      <c r="AA876" s="37" t="s">
        <v>3643</v>
      </c>
      <c r="AB876" s="39" t="s">
        <v>3644</v>
      </c>
      <c r="AC876" s="37" t="s">
        <v>3645</v>
      </c>
      <c r="AD876" s="39" t="s">
        <v>3646</v>
      </c>
      <c r="AE876" s="39" t="s">
        <v>3647</v>
      </c>
      <c r="AF876" s="39" t="s">
        <v>3648</v>
      </c>
      <c r="AG876" s="37" t="s">
        <v>3649</v>
      </c>
      <c r="AH876" s="37" t="s">
        <v>3650</v>
      </c>
    </row>
    <row r="877" spans="1:34" ht="14.45" hidden="1" customHeight="1" x14ac:dyDescent="0.3">
      <c r="A877" s="6" t="s">
        <v>544</v>
      </c>
      <c r="B877" s="7">
        <v>0</v>
      </c>
      <c r="C877" s="6" t="s">
        <v>543</v>
      </c>
      <c r="D877" s="6" t="s">
        <v>395</v>
      </c>
      <c r="E877" s="6" t="s">
        <v>396</v>
      </c>
      <c r="F877" s="6" t="s">
        <v>3229</v>
      </c>
      <c r="G877" s="8">
        <v>0.109082</v>
      </c>
      <c r="H877" s="8">
        <v>10.704465000000001</v>
      </c>
      <c r="I877" s="6" t="s">
        <v>2479</v>
      </c>
      <c r="J877" s="6" t="s">
        <v>2459</v>
      </c>
      <c r="K877" s="6" t="s">
        <v>2468</v>
      </c>
      <c r="L877" s="6" t="s">
        <v>3402</v>
      </c>
      <c r="M877" s="6"/>
      <c r="N877" s="6" t="s">
        <v>2468</v>
      </c>
      <c r="O877" s="6" t="s">
        <v>7</v>
      </c>
      <c r="P877" s="6" t="str">
        <f>VLOOKUP(Tableau1[[#This Row],[SITES NAMES]],[1]Feuil1!$1:$1048576,8,FALSE)</f>
        <v>OK</v>
      </c>
      <c r="Q877" s="6" t="str">
        <f>VLOOKUP(Tableau1[[#This Row],[SITES NAMES]],[1]Feuil1!$1:$1048576,9,FALSE)</f>
        <v>NO</v>
      </c>
      <c r="R877" s="6" t="str">
        <f>VLOOKUP(Tableau1[[#This Row],[SITES NAMES]],[1]Feuil1!$1:$1048576,10,FALSE)</f>
        <v>YES</v>
      </c>
      <c r="S877" s="6" t="s">
        <v>2461</v>
      </c>
      <c r="T877" s="6" t="s">
        <v>2462</v>
      </c>
      <c r="U877" s="6" t="s">
        <v>2463</v>
      </c>
      <c r="V877" s="6" t="s">
        <v>2478</v>
      </c>
      <c r="W877" s="6" t="s">
        <v>2473</v>
      </c>
      <c r="X877" s="8" t="s">
        <v>2672</v>
      </c>
      <c r="Y877" s="6" t="s">
        <v>3240</v>
      </c>
      <c r="Z877" s="6" t="s">
        <v>3255</v>
      </c>
      <c r="AA877" s="37" t="s">
        <v>3704</v>
      </c>
      <c r="AB877" s="39" t="s">
        <v>3705</v>
      </c>
      <c r="AC877" s="37" t="s">
        <v>3706</v>
      </c>
      <c r="AD877" s="37" t="s">
        <v>3707</v>
      </c>
      <c r="AE877" s="37" t="s">
        <v>3708</v>
      </c>
      <c r="AF877" s="37" t="s">
        <v>3709</v>
      </c>
      <c r="AG877" s="46" t="s">
        <v>3710</v>
      </c>
      <c r="AH877" s="37" t="s">
        <v>3711</v>
      </c>
    </row>
    <row r="878" spans="1:34" ht="14.45" hidden="1" customHeight="1" x14ac:dyDescent="0.3">
      <c r="A878" s="6" t="s">
        <v>2030</v>
      </c>
      <c r="B878" s="7">
        <v>45016</v>
      </c>
      <c r="C878" s="6" t="s">
        <v>2029</v>
      </c>
      <c r="D878" s="6" t="s">
        <v>395</v>
      </c>
      <c r="E878" s="6" t="s">
        <v>1965</v>
      </c>
      <c r="F878" s="6" t="s">
        <v>3229</v>
      </c>
      <c r="G878" s="8">
        <v>0.78643300000000005</v>
      </c>
      <c r="H878" s="8">
        <v>10.633933000000001</v>
      </c>
      <c r="I878" s="6" t="s">
        <v>2477</v>
      </c>
      <c r="J878" s="6" t="s">
        <v>2459</v>
      </c>
      <c r="K878" s="6" t="s">
        <v>2468</v>
      </c>
      <c r="L878" s="6"/>
      <c r="M878" s="6"/>
      <c r="N878" s="6" t="s">
        <v>2468</v>
      </c>
      <c r="O878" s="6" t="s">
        <v>40</v>
      </c>
      <c r="P878" s="6" t="str">
        <f>VLOOKUP(Tableau1[[#This Row],[SITES NAMES]],[1]Feuil1!$1:$1048576,8,FALSE)</f>
        <v>OK</v>
      </c>
      <c r="Q878" s="6" t="str">
        <f>VLOOKUP(Tableau1[[#This Row],[SITES NAMES]],[1]Feuil1!$1:$1048576,9,FALSE)</f>
        <v>NO</v>
      </c>
      <c r="R878" s="6" t="str">
        <f>VLOOKUP(Tableau1[[#This Row],[SITES NAMES]],[1]Feuil1!$1:$1048576,10,FALSE)</f>
        <v>YES</v>
      </c>
      <c r="S878" s="6" t="s">
        <v>2461</v>
      </c>
      <c r="T878" s="6" t="s">
        <v>2470</v>
      </c>
      <c r="U878" s="6" t="s">
        <v>2463</v>
      </c>
      <c r="V878" s="6" t="s">
        <v>2472</v>
      </c>
      <c r="W878" s="6" t="s">
        <v>2473</v>
      </c>
      <c r="X878" s="8">
        <v>70997266</v>
      </c>
      <c r="Y878" s="6" t="s">
        <v>3240</v>
      </c>
      <c r="Z878" s="6" t="s">
        <v>3255</v>
      </c>
      <c r="AA878" s="37" t="s">
        <v>3712</v>
      </c>
      <c r="AB878" s="39" t="s">
        <v>3705</v>
      </c>
      <c r="AC878" s="37" t="s">
        <v>3713</v>
      </c>
      <c r="AD878" s="37" t="s">
        <v>3712</v>
      </c>
      <c r="AE878" s="37" t="s">
        <v>3712</v>
      </c>
      <c r="AF878" s="37" t="s">
        <v>3712</v>
      </c>
      <c r="AG878" s="40" t="s">
        <v>3714</v>
      </c>
      <c r="AH878" s="37" t="s">
        <v>3715</v>
      </c>
    </row>
    <row r="879" spans="1:34" ht="15.75" hidden="1" x14ac:dyDescent="0.3">
      <c r="A879" s="6" t="s">
        <v>546</v>
      </c>
      <c r="B879" s="7">
        <v>0</v>
      </c>
      <c r="C879" s="6" t="s">
        <v>545</v>
      </c>
      <c r="D879" s="6" t="s">
        <v>395</v>
      </c>
      <c r="E879" s="6" t="s">
        <v>396</v>
      </c>
      <c r="F879" s="18" t="s">
        <v>3230</v>
      </c>
      <c r="G879" s="8">
        <v>0.202805556</v>
      </c>
      <c r="H879" s="8">
        <v>10.887888889999999</v>
      </c>
      <c r="I879" s="6" t="s">
        <v>2475</v>
      </c>
      <c r="J879" s="6" t="s">
        <v>2459</v>
      </c>
      <c r="K879" s="6" t="s">
        <v>2460</v>
      </c>
      <c r="L879" s="6"/>
      <c r="M879" s="6"/>
      <c r="N879" s="21" t="s">
        <v>3269</v>
      </c>
      <c r="O879" s="6" t="s">
        <v>7</v>
      </c>
      <c r="P879" s="6" t="str">
        <f>VLOOKUP(Tableau1[[#This Row],[SITES NAMES]],[1]Feuil1!$1:$1048576,8,FALSE)</f>
        <v>OK</v>
      </c>
      <c r="Q879" s="6" t="str">
        <f>VLOOKUP(Tableau1[[#This Row],[SITES NAMES]],[1]Feuil1!$1:$1048576,9,FALSE)</f>
        <v>YES</v>
      </c>
      <c r="R879" s="6" t="str">
        <f>VLOOKUP(Tableau1[[#This Row],[SITES NAMES]],[1]Feuil1!$1:$1048576,10,FALSE)</f>
        <v>YES</v>
      </c>
      <c r="S879" s="6" t="s">
        <v>2461</v>
      </c>
      <c r="T879" s="6" t="s">
        <v>2462</v>
      </c>
      <c r="U879" s="6" t="s">
        <v>2463</v>
      </c>
      <c r="V879" s="6" t="s">
        <v>2478</v>
      </c>
      <c r="W879" s="6" t="s">
        <v>2465</v>
      </c>
      <c r="X879" s="8" t="e">
        <f>VLOOKUP(Tableau1[[#This Row],[SITES NAMES]],[2]Feuil1!$1:$1048576,5,FALSE)</f>
        <v>#N/A</v>
      </c>
      <c r="Y879" s="6" t="s">
        <v>3240</v>
      </c>
      <c r="Z879" s="6" t="s">
        <v>3255</v>
      </c>
      <c r="AA879" s="37" t="s">
        <v>3704</v>
      </c>
      <c r="AB879" s="39" t="s">
        <v>3705</v>
      </c>
      <c r="AC879" s="37" t="s">
        <v>3706</v>
      </c>
      <c r="AD879" s="37" t="s">
        <v>3707</v>
      </c>
      <c r="AE879" s="37" t="s">
        <v>3708</v>
      </c>
      <c r="AF879" s="37" t="s">
        <v>3709</v>
      </c>
      <c r="AG879" s="46" t="s">
        <v>3710</v>
      </c>
      <c r="AH879" s="37" t="s">
        <v>3711</v>
      </c>
    </row>
    <row r="880" spans="1:34" ht="14.45" hidden="1" customHeight="1" x14ac:dyDescent="0.3">
      <c r="A880" s="6" t="s">
        <v>793</v>
      </c>
      <c r="B880" s="7">
        <v>43885</v>
      </c>
      <c r="C880" s="6" t="s">
        <v>792</v>
      </c>
      <c r="D880" s="6" t="s">
        <v>657</v>
      </c>
      <c r="E880" s="6" t="s">
        <v>758</v>
      </c>
      <c r="F880" s="6" t="s">
        <v>3229</v>
      </c>
      <c r="G880" s="8">
        <v>0.72787999999999997</v>
      </c>
      <c r="H880" s="8">
        <v>10.222659999999999</v>
      </c>
      <c r="I880" s="6" t="s">
        <v>2467</v>
      </c>
      <c r="J880" s="6" t="s">
        <v>2459</v>
      </c>
      <c r="K880" s="6" t="s">
        <v>2460</v>
      </c>
      <c r="L880" s="6" t="s">
        <v>3440</v>
      </c>
      <c r="M880" s="6"/>
      <c r="N880" s="6" t="s">
        <v>3268</v>
      </c>
      <c r="O880" s="6" t="s">
        <v>40</v>
      </c>
      <c r="P880" s="6" t="str">
        <f>VLOOKUP(Tableau1[[#This Row],[SITES NAMES]],[1]Feuil1!$1:$1048576,8,FALSE)</f>
        <v>OK</v>
      </c>
      <c r="Q880" s="6" t="str">
        <f>VLOOKUP(Tableau1[[#This Row],[SITES NAMES]],[1]Feuil1!$1:$1048576,9,FALSE)</f>
        <v>NO</v>
      </c>
      <c r="R880" s="6" t="str">
        <f>VLOOKUP(Tableau1[[#This Row],[SITES NAMES]],[1]Feuil1!$1:$1048576,10,FALSE)</f>
        <v>NO</v>
      </c>
      <c r="S880" s="6" t="s">
        <v>2461</v>
      </c>
      <c r="T880" s="6" t="s">
        <v>2462</v>
      </c>
      <c r="U880" s="6" t="s">
        <v>2463</v>
      </c>
      <c r="V880" s="6" t="s">
        <v>2472</v>
      </c>
      <c r="W880" s="6" t="s">
        <v>2473</v>
      </c>
      <c r="X880" s="8" t="s">
        <v>2768</v>
      </c>
      <c r="Y880" s="6" t="s">
        <v>3239</v>
      </c>
      <c r="Z880" s="6" t="s">
        <v>3253</v>
      </c>
      <c r="AA880" s="37" t="s">
        <v>3687</v>
      </c>
      <c r="AB880" s="38" t="s">
        <v>3683</v>
      </c>
      <c r="AC880" s="37" t="s">
        <v>3688</v>
      </c>
      <c r="AD880" s="37" t="s">
        <v>3687</v>
      </c>
      <c r="AE880" s="37" t="s">
        <v>3689</v>
      </c>
      <c r="AF880" s="39" t="s">
        <v>3690</v>
      </c>
      <c r="AG880" s="40" t="s">
        <v>3685</v>
      </c>
      <c r="AH880" s="37" t="s">
        <v>3691</v>
      </c>
    </row>
    <row r="881" spans="1:34" ht="14.45" hidden="1" customHeight="1" x14ac:dyDescent="0.3">
      <c r="A881" s="6" t="s">
        <v>422</v>
      </c>
      <c r="B881" s="7">
        <v>43878</v>
      </c>
      <c r="C881" s="6" t="s">
        <v>421</v>
      </c>
      <c r="D881" s="6" t="s">
        <v>395</v>
      </c>
      <c r="E881" s="6" t="s">
        <v>396</v>
      </c>
      <c r="F881" s="6" t="s">
        <v>3229</v>
      </c>
      <c r="G881" s="8">
        <v>0.41946499999999998</v>
      </c>
      <c r="H881" s="8">
        <v>10.813568</v>
      </c>
      <c r="I881" s="6" t="s">
        <v>2467</v>
      </c>
      <c r="J881" s="6" t="s">
        <v>2459</v>
      </c>
      <c r="K881" s="6" t="s">
        <v>2468</v>
      </c>
      <c r="L881" s="6" t="s">
        <v>3417</v>
      </c>
      <c r="M881" s="6"/>
      <c r="N881" s="6" t="s">
        <v>2468</v>
      </c>
      <c r="O881" s="6" t="s">
        <v>7</v>
      </c>
      <c r="P881" s="6" t="str">
        <f>VLOOKUP(Tableau1[[#This Row],[SITES NAMES]],[1]Feuil1!$1:$1048576,8,FALSE)</f>
        <v>OK</v>
      </c>
      <c r="Q881" s="6" t="str">
        <f>VLOOKUP(Tableau1[[#This Row],[SITES NAMES]],[1]Feuil1!$1:$1048576,9,FALSE)</f>
        <v>NO</v>
      </c>
      <c r="R881" s="6" t="str">
        <f>VLOOKUP(Tableau1[[#This Row],[SITES NAMES]],[1]Feuil1!$1:$1048576,10,FALSE)</f>
        <v>NO</v>
      </c>
      <c r="S881" s="6" t="s">
        <v>2469</v>
      </c>
      <c r="T881" s="6" t="s">
        <v>2470</v>
      </c>
      <c r="U881" s="6" t="s">
        <v>2471</v>
      </c>
      <c r="V881" s="6" t="s">
        <v>2472</v>
      </c>
      <c r="W881" s="6" t="s">
        <v>2473</v>
      </c>
      <c r="X881" s="8" t="s">
        <v>2629</v>
      </c>
      <c r="Y881" s="6" t="s">
        <v>3240</v>
      </c>
      <c r="Z881" s="6" t="s">
        <v>3255</v>
      </c>
      <c r="AA881" s="37" t="s">
        <v>3704</v>
      </c>
      <c r="AB881" s="39" t="s">
        <v>3705</v>
      </c>
      <c r="AC881" s="37" t="s">
        <v>3706</v>
      </c>
      <c r="AD881" s="37" t="s">
        <v>3707</v>
      </c>
      <c r="AE881" s="37" t="s">
        <v>3708</v>
      </c>
      <c r="AF881" s="37" t="s">
        <v>3709</v>
      </c>
      <c r="AG881" s="46" t="s">
        <v>3710</v>
      </c>
      <c r="AH881" s="37" t="s">
        <v>3711</v>
      </c>
    </row>
    <row r="882" spans="1:34" ht="14.45" hidden="1" customHeight="1" x14ac:dyDescent="0.3">
      <c r="A882" s="6" t="s">
        <v>739</v>
      </c>
      <c r="B882" s="7">
        <v>43595</v>
      </c>
      <c r="C882" s="6" t="s">
        <v>738</v>
      </c>
      <c r="D882" s="6" t="s">
        <v>657</v>
      </c>
      <c r="E882" s="6" t="s">
        <v>658</v>
      </c>
      <c r="F882" s="6" t="s">
        <v>3229</v>
      </c>
      <c r="G882" s="8">
        <v>0.58787999999999996</v>
      </c>
      <c r="H882" s="8">
        <v>9.3939699999999995</v>
      </c>
      <c r="I882" s="6" t="s">
        <v>2482</v>
      </c>
      <c r="J882" s="6" t="s">
        <v>2459</v>
      </c>
      <c r="K882" s="6" t="s">
        <v>2468</v>
      </c>
      <c r="L882" s="6" t="s">
        <v>3500</v>
      </c>
      <c r="M882" s="6"/>
      <c r="N882" s="6" t="s">
        <v>2468</v>
      </c>
      <c r="O882" s="6" t="s">
        <v>40</v>
      </c>
      <c r="P882" s="6" t="str">
        <f>VLOOKUP(Tableau1[[#This Row],[SITES NAMES]],[1]Feuil1!$1:$1048576,8,FALSE)</f>
        <v>NOK</v>
      </c>
      <c r="Q882" s="6" t="str">
        <f>VLOOKUP(Tableau1[[#This Row],[SITES NAMES]],[1]Feuil1!$1:$1048576,9,FALSE)</f>
        <v>NO</v>
      </c>
      <c r="R882" s="6" t="str">
        <f>VLOOKUP(Tableau1[[#This Row],[SITES NAMES]],[1]Feuil1!$1:$1048576,10,FALSE)</f>
        <v>NO</v>
      </c>
      <c r="S882" s="6" t="s">
        <v>2469</v>
      </c>
      <c r="T882" s="6" t="s">
        <v>2470</v>
      </c>
      <c r="U882" s="6" t="s">
        <v>2480</v>
      </c>
      <c r="V882" s="6" t="s">
        <v>2472</v>
      </c>
      <c r="W882" s="6" t="s">
        <v>2473</v>
      </c>
      <c r="X882" s="8" t="s">
        <v>2745</v>
      </c>
      <c r="Y882" s="6" t="s">
        <v>3239</v>
      </c>
      <c r="Z882" s="6" t="s">
        <v>3253</v>
      </c>
      <c r="AA882" s="38" t="s">
        <v>3682</v>
      </c>
      <c r="AB882" s="38" t="s">
        <v>3683</v>
      </c>
      <c r="AC882" s="38" t="s">
        <v>3684</v>
      </c>
      <c r="AD882" s="38" t="s">
        <v>3682</v>
      </c>
      <c r="AE882" s="38" t="s">
        <v>3682</v>
      </c>
      <c r="AF882" s="38" t="s">
        <v>3682</v>
      </c>
      <c r="AG882" s="40" t="s">
        <v>3685</v>
      </c>
      <c r="AH882" s="37" t="s">
        <v>3686</v>
      </c>
    </row>
    <row r="883" spans="1:34" ht="14.45" hidden="1" customHeight="1" x14ac:dyDescent="0.3">
      <c r="A883" s="6" t="s">
        <v>795</v>
      </c>
      <c r="B883" s="7">
        <v>0</v>
      </c>
      <c r="C883" s="6" t="s">
        <v>794</v>
      </c>
      <c r="D883" s="6" t="s">
        <v>657</v>
      </c>
      <c r="E883" s="6" t="s">
        <v>758</v>
      </c>
      <c r="F883" s="6" t="s">
        <v>3229</v>
      </c>
      <c r="G883" s="8">
        <v>1.0001709999999999</v>
      </c>
      <c r="H883" s="8">
        <v>9.9986069999999998</v>
      </c>
      <c r="I883" s="6" t="s">
        <v>2477</v>
      </c>
      <c r="J883" s="6" t="s">
        <v>2459</v>
      </c>
      <c r="K883" s="6" t="s">
        <v>2468</v>
      </c>
      <c r="L883" s="6" t="s">
        <v>3548</v>
      </c>
      <c r="M883" s="6"/>
      <c r="N883" s="6" t="s">
        <v>2468</v>
      </c>
      <c r="O883" s="6" t="s">
        <v>40</v>
      </c>
      <c r="P883" s="6" t="str">
        <f>VLOOKUP(Tableau1[[#This Row],[SITES NAMES]],[1]Feuil1!$1:$1048576,8,FALSE)</f>
        <v>OK</v>
      </c>
      <c r="Q883" s="6" t="str">
        <f>VLOOKUP(Tableau1[[#This Row],[SITES NAMES]],[1]Feuil1!$1:$1048576,9,FALSE)</f>
        <v>NO</v>
      </c>
      <c r="R883" s="6" t="str">
        <f>VLOOKUP(Tableau1[[#This Row],[SITES NAMES]],[1]Feuil1!$1:$1048576,10,FALSE)</f>
        <v>NO</v>
      </c>
      <c r="S883" s="6" t="s">
        <v>2469</v>
      </c>
      <c r="T883" s="6" t="s">
        <v>2470</v>
      </c>
      <c r="U883" s="6" t="s">
        <v>2480</v>
      </c>
      <c r="V883" s="6" t="s">
        <v>2472</v>
      </c>
      <c r="W883" s="6" t="s">
        <v>2473</v>
      </c>
      <c r="X883" s="8" t="s">
        <v>2769</v>
      </c>
      <c r="Y883" s="6" t="s">
        <v>3239</v>
      </c>
      <c r="Z883" s="6" t="s">
        <v>3253</v>
      </c>
      <c r="AA883" s="37" t="s">
        <v>3687</v>
      </c>
      <c r="AB883" s="38" t="s">
        <v>3683</v>
      </c>
      <c r="AC883" s="37" t="s">
        <v>3688</v>
      </c>
      <c r="AD883" s="37" t="s">
        <v>3687</v>
      </c>
      <c r="AE883" s="37" t="s">
        <v>3689</v>
      </c>
      <c r="AF883" s="39" t="s">
        <v>3690</v>
      </c>
      <c r="AG883" s="40" t="s">
        <v>3685</v>
      </c>
      <c r="AH883" s="37" t="s">
        <v>3691</v>
      </c>
    </row>
    <row r="884" spans="1:34" ht="14.45" hidden="1" customHeight="1" x14ac:dyDescent="0.3">
      <c r="A884" s="6" t="s">
        <v>987</v>
      </c>
      <c r="B884" s="7">
        <v>43588</v>
      </c>
      <c r="C884" s="6" t="s">
        <v>986</v>
      </c>
      <c r="D884" s="6" t="s">
        <v>657</v>
      </c>
      <c r="E884" s="6" t="s">
        <v>3235</v>
      </c>
      <c r="F884" s="6" t="s">
        <v>3229</v>
      </c>
      <c r="G884" s="8">
        <v>0.75409999999999999</v>
      </c>
      <c r="H884" s="8">
        <v>9.7982499999999995</v>
      </c>
      <c r="I884" s="6" t="s">
        <v>2467</v>
      </c>
      <c r="J884" s="6" t="s">
        <v>2459</v>
      </c>
      <c r="K884" s="6" t="s">
        <v>2468</v>
      </c>
      <c r="L884" s="6" t="s">
        <v>989</v>
      </c>
      <c r="M884" s="6"/>
      <c r="N884" s="6" t="s">
        <v>2468</v>
      </c>
      <c r="O884" s="6" t="s">
        <v>40</v>
      </c>
      <c r="P884" s="6" t="str">
        <f>VLOOKUP(Tableau1[[#This Row],[SITES NAMES]],[1]Feuil1!$1:$1048576,8,FALSE)</f>
        <v>OK</v>
      </c>
      <c r="Q884" s="6" t="str">
        <f>VLOOKUP(Tableau1[[#This Row],[SITES NAMES]],[1]Feuil1!$1:$1048576,9,FALSE)</f>
        <v>NO</v>
      </c>
      <c r="R884" s="6" t="str">
        <f>VLOOKUP(Tableau1[[#This Row],[SITES NAMES]],[1]Feuil1!$1:$1048576,10,FALSE)</f>
        <v>NO</v>
      </c>
      <c r="S884" s="6" t="s">
        <v>2461</v>
      </c>
      <c r="T884" s="6" t="s">
        <v>2462</v>
      </c>
      <c r="U884" s="6" t="s">
        <v>2463</v>
      </c>
      <c r="V884" s="6" t="s">
        <v>2472</v>
      </c>
      <c r="W884" s="6" t="s">
        <v>2473</v>
      </c>
      <c r="X884" s="8" t="s">
        <v>2831</v>
      </c>
      <c r="Y884" s="6" t="s">
        <v>3239</v>
      </c>
      <c r="Z884" s="6" t="s">
        <v>3253</v>
      </c>
      <c r="AA884" s="37" t="s">
        <v>3698</v>
      </c>
      <c r="AB884" s="38" t="s">
        <v>3683</v>
      </c>
      <c r="AC884" s="39" t="s">
        <v>3699</v>
      </c>
      <c r="AD884" s="39" t="s">
        <v>3700</v>
      </c>
      <c r="AE884" s="37" t="s">
        <v>3701</v>
      </c>
      <c r="AF884" s="39" t="s">
        <v>3702</v>
      </c>
      <c r="AG884" s="40" t="s">
        <v>3685</v>
      </c>
      <c r="AH884" s="37" t="s">
        <v>3703</v>
      </c>
    </row>
    <row r="885" spans="1:34" ht="14.45" hidden="1" customHeight="1" x14ac:dyDescent="0.3">
      <c r="A885" s="6" t="s">
        <v>989</v>
      </c>
      <c r="B885" s="7">
        <v>0</v>
      </c>
      <c r="C885" s="6" t="s">
        <v>988</v>
      </c>
      <c r="D885" s="6" t="s">
        <v>657</v>
      </c>
      <c r="E885" s="6" t="s">
        <v>3235</v>
      </c>
      <c r="F885" s="6" t="s">
        <v>3229</v>
      </c>
      <c r="G885" s="8">
        <v>0.74097000000000002</v>
      </c>
      <c r="H885" s="8">
        <v>9.6938600000000008</v>
      </c>
      <c r="I885" s="6" t="s">
        <v>2467</v>
      </c>
      <c r="J885" s="6" t="s">
        <v>2459</v>
      </c>
      <c r="K885" s="6" t="s">
        <v>2468</v>
      </c>
      <c r="L885" s="6" t="s">
        <v>3549</v>
      </c>
      <c r="M885" s="6"/>
      <c r="N885" s="6" t="s">
        <v>2468</v>
      </c>
      <c r="O885" s="6" t="s">
        <v>18</v>
      </c>
      <c r="P885" s="6" t="str">
        <f>VLOOKUP(Tableau1[[#This Row],[SITES NAMES]],[1]Feuil1!$1:$1048576,8,FALSE)</f>
        <v>OK</v>
      </c>
      <c r="Q885" s="6" t="str">
        <f>VLOOKUP(Tableau1[[#This Row],[SITES NAMES]],[1]Feuil1!$1:$1048576,9,FALSE)</f>
        <v>NO</v>
      </c>
      <c r="R885" s="6" t="str">
        <f>VLOOKUP(Tableau1[[#This Row],[SITES NAMES]],[1]Feuil1!$1:$1048576,10,FALSE)</f>
        <v>NO</v>
      </c>
      <c r="S885" s="6" t="s">
        <v>2461</v>
      </c>
      <c r="T885" s="6" t="s">
        <v>2462</v>
      </c>
      <c r="U885" s="6" t="s">
        <v>2463</v>
      </c>
      <c r="V885" s="6" t="s">
        <v>2472</v>
      </c>
      <c r="W885" s="6" t="s">
        <v>2473</v>
      </c>
      <c r="X885" s="8" t="s">
        <v>2832</v>
      </c>
      <c r="Y885" s="6" t="s">
        <v>3239</v>
      </c>
      <c r="Z885" s="6" t="s">
        <v>3253</v>
      </c>
      <c r="AA885" s="37" t="s">
        <v>3698</v>
      </c>
      <c r="AB885" s="38" t="s">
        <v>3683</v>
      </c>
      <c r="AC885" s="39" t="s">
        <v>3699</v>
      </c>
      <c r="AD885" s="39" t="s">
        <v>3700</v>
      </c>
      <c r="AE885" s="37" t="s">
        <v>3701</v>
      </c>
      <c r="AF885" s="39" t="s">
        <v>3702</v>
      </c>
      <c r="AG885" s="40" t="s">
        <v>3685</v>
      </c>
      <c r="AH885" s="37" t="s">
        <v>3703</v>
      </c>
    </row>
    <row r="886" spans="1:34" ht="14.45" hidden="1" customHeight="1" x14ac:dyDescent="0.3">
      <c r="A886" s="6" t="s">
        <v>2032</v>
      </c>
      <c r="B886" s="7">
        <v>45014</v>
      </c>
      <c r="C886" s="6" t="s">
        <v>2031</v>
      </c>
      <c r="D886" s="6" t="s">
        <v>395</v>
      </c>
      <c r="E886" s="6" t="s">
        <v>1965</v>
      </c>
      <c r="F886" s="6" t="s">
        <v>3229</v>
      </c>
      <c r="G886" s="8">
        <v>0.55503000000000002</v>
      </c>
      <c r="H886" s="8">
        <v>10.16108</v>
      </c>
      <c r="I886" s="6" t="s">
        <v>2477</v>
      </c>
      <c r="J886" s="6" t="s">
        <v>2459</v>
      </c>
      <c r="K886" s="6" t="s">
        <v>2468</v>
      </c>
      <c r="L886" s="6" t="s">
        <v>3550</v>
      </c>
      <c r="M886" s="6"/>
      <c r="N886" s="6" t="s">
        <v>2468</v>
      </c>
      <c r="O886" s="6" t="s">
        <v>40</v>
      </c>
      <c r="P886" s="6" t="str">
        <f>VLOOKUP(Tableau1[[#This Row],[SITES NAMES]],[1]Feuil1!$1:$1048576,8,FALSE)</f>
        <v>OK</v>
      </c>
      <c r="Q886" s="6" t="str">
        <f>VLOOKUP(Tableau1[[#This Row],[SITES NAMES]],[1]Feuil1!$1:$1048576,9,FALSE)</f>
        <v>NO</v>
      </c>
      <c r="R886" s="6" t="str">
        <f>VLOOKUP(Tableau1[[#This Row],[SITES NAMES]],[1]Feuil1!$1:$1048576,10,FALSE)</f>
        <v>YES</v>
      </c>
      <c r="S886" s="6" t="s">
        <v>2461</v>
      </c>
      <c r="T886" s="6" t="s">
        <v>2462</v>
      </c>
      <c r="U886" s="6" t="s">
        <v>2463</v>
      </c>
      <c r="V886" s="6" t="s">
        <v>2472</v>
      </c>
      <c r="W886" s="6" t="s">
        <v>2473</v>
      </c>
      <c r="X886" s="8"/>
      <c r="Y886" s="6" t="s">
        <v>3240</v>
      </c>
      <c r="Z886" s="6" t="s">
        <v>3255</v>
      </c>
      <c r="AA886" s="37" t="s">
        <v>3712</v>
      </c>
      <c r="AB886" s="39" t="s">
        <v>3705</v>
      </c>
      <c r="AC886" s="37" t="s">
        <v>3713</v>
      </c>
      <c r="AD886" s="37" t="s">
        <v>3712</v>
      </c>
      <c r="AE886" s="37" t="s">
        <v>3712</v>
      </c>
      <c r="AF886" s="37" t="s">
        <v>3712</v>
      </c>
      <c r="AG886" s="40" t="s">
        <v>3714</v>
      </c>
      <c r="AH886" s="37" t="s">
        <v>3715</v>
      </c>
    </row>
    <row r="887" spans="1:34" ht="14.45" hidden="1" customHeight="1" x14ac:dyDescent="0.3">
      <c r="A887" s="6" t="s">
        <v>412</v>
      </c>
      <c r="B887" s="7">
        <v>43890</v>
      </c>
      <c r="C887" s="6" t="s">
        <v>411</v>
      </c>
      <c r="D887" s="6" t="s">
        <v>395</v>
      </c>
      <c r="E887" s="6" t="s">
        <v>396</v>
      </c>
      <c r="F887" s="6" t="s">
        <v>3229</v>
      </c>
      <c r="G887" s="8">
        <v>0.26717999999999997</v>
      </c>
      <c r="H887" s="8">
        <v>10.98462</v>
      </c>
      <c r="I887" s="6" t="s">
        <v>2482</v>
      </c>
      <c r="J887" s="6" t="s">
        <v>2459</v>
      </c>
      <c r="K887" s="6" t="s">
        <v>2468</v>
      </c>
      <c r="L887" s="6"/>
      <c r="M887" s="6"/>
      <c r="N887" s="6" t="s">
        <v>2468</v>
      </c>
      <c r="O887" s="6" t="s">
        <v>40</v>
      </c>
      <c r="P887" s="6" t="str">
        <f>VLOOKUP(Tableau1[[#This Row],[SITES NAMES]],[1]Feuil1!$1:$1048576,8,FALSE)</f>
        <v>NOK</v>
      </c>
      <c r="Q887" s="6" t="str">
        <f>VLOOKUP(Tableau1[[#This Row],[SITES NAMES]],[1]Feuil1!$1:$1048576,9,FALSE)</f>
        <v>NO</v>
      </c>
      <c r="R887" s="6" t="str">
        <f>VLOOKUP(Tableau1[[#This Row],[SITES NAMES]],[1]Feuil1!$1:$1048576,10,FALSE)</f>
        <v>NO</v>
      </c>
      <c r="S887" s="6" t="s">
        <v>2469</v>
      </c>
      <c r="T887" s="6" t="s">
        <v>2470</v>
      </c>
      <c r="U887" s="6" t="s">
        <v>2471</v>
      </c>
      <c r="V887" s="6" t="s">
        <v>2464</v>
      </c>
      <c r="W887" s="6" t="s">
        <v>2473</v>
      </c>
      <c r="X887" s="8" t="s">
        <v>2624</v>
      </c>
      <c r="Y887" s="6" t="s">
        <v>3240</v>
      </c>
      <c r="Z887" s="6" t="s">
        <v>3255</v>
      </c>
      <c r="AA887" s="37" t="s">
        <v>3704</v>
      </c>
      <c r="AB887" s="39" t="s">
        <v>3705</v>
      </c>
      <c r="AC887" s="37" t="s">
        <v>3706</v>
      </c>
      <c r="AD887" s="37" t="s">
        <v>3707</v>
      </c>
      <c r="AE887" s="37" t="s">
        <v>3708</v>
      </c>
      <c r="AF887" s="37" t="s">
        <v>3709</v>
      </c>
      <c r="AG887" s="46" t="s">
        <v>3710</v>
      </c>
      <c r="AH887" s="37" t="s">
        <v>3711</v>
      </c>
    </row>
    <row r="888" spans="1:34" ht="14.45" hidden="1" customHeight="1" x14ac:dyDescent="0.3">
      <c r="A888" s="6" t="s">
        <v>797</v>
      </c>
      <c r="B888" s="7">
        <v>43946</v>
      </c>
      <c r="C888" s="6" t="s">
        <v>796</v>
      </c>
      <c r="D888" s="6" t="s">
        <v>657</v>
      </c>
      <c r="E888" s="6" t="s">
        <v>758</v>
      </c>
      <c r="F888" s="6" t="s">
        <v>3229</v>
      </c>
      <c r="G888" s="8">
        <v>0.94399</v>
      </c>
      <c r="H888" s="8">
        <v>10.17163</v>
      </c>
      <c r="I888" s="6" t="s">
        <v>2477</v>
      </c>
      <c r="J888" s="6" t="s">
        <v>2459</v>
      </c>
      <c r="K888" s="6" t="s">
        <v>2468</v>
      </c>
      <c r="L888" s="6" t="s">
        <v>3548</v>
      </c>
      <c r="M888" s="6"/>
      <c r="N888" s="6" t="s">
        <v>2468</v>
      </c>
      <c r="O888" s="6" t="s">
        <v>40</v>
      </c>
      <c r="P888" s="6" t="str">
        <f>VLOOKUP(Tableau1[[#This Row],[SITES NAMES]],[1]Feuil1!$1:$1048576,8,FALSE)</f>
        <v>OK</v>
      </c>
      <c r="Q888" s="6" t="str">
        <f>VLOOKUP(Tableau1[[#This Row],[SITES NAMES]],[1]Feuil1!$1:$1048576,9,FALSE)</f>
        <v>NO</v>
      </c>
      <c r="R888" s="6" t="str">
        <f>VLOOKUP(Tableau1[[#This Row],[SITES NAMES]],[1]Feuil1!$1:$1048576,10,FALSE)</f>
        <v>NO</v>
      </c>
      <c r="S888" s="6" t="s">
        <v>2461</v>
      </c>
      <c r="T888" s="6" t="s">
        <v>2462</v>
      </c>
      <c r="U888" s="6" t="s">
        <v>2463</v>
      </c>
      <c r="V888" s="6" t="s">
        <v>2472</v>
      </c>
      <c r="W888" s="6" t="s">
        <v>2473</v>
      </c>
      <c r="X888" s="8" t="s">
        <v>2770</v>
      </c>
      <c r="Y888" s="6" t="s">
        <v>3239</v>
      </c>
      <c r="Z888" s="6" t="s">
        <v>3253</v>
      </c>
      <c r="AA888" s="37" t="s">
        <v>3687</v>
      </c>
      <c r="AB888" s="38" t="s">
        <v>3683</v>
      </c>
      <c r="AC888" s="37" t="s">
        <v>3688</v>
      </c>
      <c r="AD888" s="37" t="s">
        <v>3687</v>
      </c>
      <c r="AE888" s="37" t="s">
        <v>3689</v>
      </c>
      <c r="AF888" s="39" t="s">
        <v>3690</v>
      </c>
      <c r="AG888" s="40" t="s">
        <v>3685</v>
      </c>
      <c r="AH888" s="37" t="s">
        <v>3691</v>
      </c>
    </row>
    <row r="889" spans="1:34" ht="14.45" hidden="1" customHeight="1" x14ac:dyDescent="0.3">
      <c r="A889" s="6" t="s">
        <v>2034</v>
      </c>
      <c r="B889" s="7">
        <v>45029</v>
      </c>
      <c r="C889" s="6" t="s">
        <v>2033</v>
      </c>
      <c r="D889" s="6" t="s">
        <v>395</v>
      </c>
      <c r="E889" s="6" t="s">
        <v>1965</v>
      </c>
      <c r="F889" s="6" t="s">
        <v>3229</v>
      </c>
      <c r="G889" s="8">
        <v>0.48251699999999997</v>
      </c>
      <c r="H889" s="8">
        <v>9.8817000000000004</v>
      </c>
      <c r="I889" s="6" t="s">
        <v>2477</v>
      </c>
      <c r="J889" s="6" t="s">
        <v>2459</v>
      </c>
      <c r="K889" s="6" t="s">
        <v>2468</v>
      </c>
      <c r="L889" s="6" t="s">
        <v>1985</v>
      </c>
      <c r="M889" s="6"/>
      <c r="N889" s="6" t="s">
        <v>2468</v>
      </c>
      <c r="O889" s="6" t="s">
        <v>40</v>
      </c>
      <c r="P889" s="6" t="str">
        <f>VLOOKUP(Tableau1[[#This Row],[SITES NAMES]],[1]Feuil1!$1:$1048576,8,FALSE)</f>
        <v>OK</v>
      </c>
      <c r="Q889" s="6" t="str">
        <f>VLOOKUP(Tableau1[[#This Row],[SITES NAMES]],[1]Feuil1!$1:$1048576,9,FALSE)</f>
        <v>NO</v>
      </c>
      <c r="R889" s="6" t="str">
        <f>VLOOKUP(Tableau1[[#This Row],[SITES NAMES]],[1]Feuil1!$1:$1048576,10,FALSE)</f>
        <v>YES</v>
      </c>
      <c r="S889" s="6" t="s">
        <v>2461</v>
      </c>
      <c r="T889" s="6" t="s">
        <v>2462</v>
      </c>
      <c r="U889" s="6" t="s">
        <v>2463</v>
      </c>
      <c r="V889" s="6" t="s">
        <v>2472</v>
      </c>
      <c r="W889" s="6" t="s">
        <v>2473</v>
      </c>
      <c r="X889" s="8">
        <v>70997270</v>
      </c>
      <c r="Y889" s="6" t="s">
        <v>3240</v>
      </c>
      <c r="Z889" s="6" t="s">
        <v>3255</v>
      </c>
      <c r="AA889" s="37" t="s">
        <v>3712</v>
      </c>
      <c r="AB889" s="39" t="s">
        <v>3705</v>
      </c>
      <c r="AC889" s="37" t="s">
        <v>3713</v>
      </c>
      <c r="AD889" s="37" t="s">
        <v>3712</v>
      </c>
      <c r="AE889" s="37" t="s">
        <v>3712</v>
      </c>
      <c r="AF889" s="37" t="s">
        <v>3712</v>
      </c>
      <c r="AG889" s="40" t="s">
        <v>3714</v>
      </c>
      <c r="AH889" s="37" t="s">
        <v>3715</v>
      </c>
    </row>
    <row r="890" spans="1:34" ht="14.45" hidden="1" customHeight="1" x14ac:dyDescent="0.3">
      <c r="A890" s="6" t="s">
        <v>670</v>
      </c>
      <c r="B890" s="7">
        <v>43589</v>
      </c>
      <c r="C890" s="6" t="s">
        <v>669</v>
      </c>
      <c r="D890" s="6" t="s">
        <v>657</v>
      </c>
      <c r="E890" s="6" t="s">
        <v>658</v>
      </c>
      <c r="F890" s="6" t="s">
        <v>3229</v>
      </c>
      <c r="G890" s="8">
        <v>0.629328</v>
      </c>
      <c r="H890" s="8">
        <v>9.6106040000000004</v>
      </c>
      <c r="I890" s="6" t="s">
        <v>2467</v>
      </c>
      <c r="J890" s="6" t="s">
        <v>2459</v>
      </c>
      <c r="K890" s="6" t="s">
        <v>2460</v>
      </c>
      <c r="L890" s="6" t="s">
        <v>3546</v>
      </c>
      <c r="M890" s="6"/>
      <c r="N890" s="6" t="s">
        <v>3268</v>
      </c>
      <c r="O890" s="6" t="s">
        <v>40</v>
      </c>
      <c r="P890" s="6" t="str">
        <f>VLOOKUP(Tableau1[[#This Row],[SITES NAMES]],[1]Feuil1!$1:$1048576,8,FALSE)</f>
        <v>OK</v>
      </c>
      <c r="Q890" s="6" t="str">
        <f>VLOOKUP(Tableau1[[#This Row],[SITES NAMES]],[1]Feuil1!$1:$1048576,9,FALSE)</f>
        <v>NO</v>
      </c>
      <c r="R890" s="6" t="str">
        <f>VLOOKUP(Tableau1[[#This Row],[SITES NAMES]],[1]Feuil1!$1:$1048576,10,FALSE)</f>
        <v>NO</v>
      </c>
      <c r="S890" s="6" t="s">
        <v>2461</v>
      </c>
      <c r="T890" s="6" t="s">
        <v>2462</v>
      </c>
      <c r="U890" s="6" t="s">
        <v>2463</v>
      </c>
      <c r="V890" s="6" t="s">
        <v>2472</v>
      </c>
      <c r="W890" s="6" t="s">
        <v>2473</v>
      </c>
      <c r="X890" s="8" t="s">
        <v>2718</v>
      </c>
      <c r="Y890" s="6" t="s">
        <v>3239</v>
      </c>
      <c r="Z890" s="6" t="s">
        <v>3253</v>
      </c>
      <c r="AA890" s="38" t="s">
        <v>3682</v>
      </c>
      <c r="AB890" s="38" t="s">
        <v>3683</v>
      </c>
      <c r="AC890" s="38" t="s">
        <v>3684</v>
      </c>
      <c r="AD890" s="38" t="s">
        <v>3682</v>
      </c>
      <c r="AE890" s="38" t="s">
        <v>3682</v>
      </c>
      <c r="AF890" s="38" t="s">
        <v>3682</v>
      </c>
      <c r="AG890" s="40" t="s">
        <v>3685</v>
      </c>
      <c r="AH890" s="37" t="s">
        <v>3686</v>
      </c>
    </row>
    <row r="891" spans="1:34" ht="14.45" hidden="1" customHeight="1" x14ac:dyDescent="0.3">
      <c r="A891" s="6" t="s">
        <v>1131</v>
      </c>
      <c r="B891" s="7">
        <v>0</v>
      </c>
      <c r="C891" s="6" t="s">
        <v>1130</v>
      </c>
      <c r="D891" s="6" t="s">
        <v>5</v>
      </c>
      <c r="E891" s="6" t="s">
        <v>1003</v>
      </c>
      <c r="F891" s="6" t="s">
        <v>3229</v>
      </c>
      <c r="G891" s="8">
        <v>0.67710000000000004</v>
      </c>
      <c r="H891" s="8">
        <v>7.1435000000000004</v>
      </c>
      <c r="I891" s="6" t="s">
        <v>2467</v>
      </c>
      <c r="J891" s="6" t="s">
        <v>2459</v>
      </c>
      <c r="K891" s="6" t="s">
        <v>2468</v>
      </c>
      <c r="L891" s="6" t="s">
        <v>3551</v>
      </c>
      <c r="M891" s="6"/>
      <c r="N891" s="6" t="s">
        <v>2468</v>
      </c>
      <c r="O891" s="6" t="s">
        <v>7</v>
      </c>
      <c r="P891" s="6" t="str">
        <f>VLOOKUP(Tableau1[[#This Row],[SITES NAMES]],[1]Feuil1!$1:$1048576,8,FALSE)</f>
        <v>OK</v>
      </c>
      <c r="Q891" s="6" t="str">
        <f>VLOOKUP(Tableau1[[#This Row],[SITES NAMES]],[1]Feuil1!$1:$1048576,9,FALSE)</f>
        <v>NO</v>
      </c>
      <c r="R891" s="6" t="str">
        <f>VLOOKUP(Tableau1[[#This Row],[SITES NAMES]],[1]Feuil1!$1:$1048576,10,FALSE)</f>
        <v>NO</v>
      </c>
      <c r="S891" s="6" t="s">
        <v>2461</v>
      </c>
      <c r="T891" s="6" t="s">
        <v>2462</v>
      </c>
      <c r="U891" s="6" t="s">
        <v>2463</v>
      </c>
      <c r="V891" s="6" t="s">
        <v>2472</v>
      </c>
      <c r="W891" s="6" t="s">
        <v>2473</v>
      </c>
      <c r="X891" s="8" t="s">
        <v>2882</v>
      </c>
      <c r="Y891" s="6" t="s">
        <v>3241</v>
      </c>
      <c r="Z891" s="6"/>
      <c r="AA891" s="37" t="s">
        <v>3634</v>
      </c>
      <c r="AB891" s="38" t="s">
        <v>3627</v>
      </c>
      <c r="AC891" s="37" t="s">
        <v>3635</v>
      </c>
      <c r="AD891" s="37" t="s">
        <v>3636</v>
      </c>
      <c r="AE891" s="37" t="s">
        <v>3637</v>
      </c>
      <c r="AF891" s="37" t="s">
        <v>3636</v>
      </c>
      <c r="AG891" s="37" t="s">
        <v>3638</v>
      </c>
      <c r="AH891" s="37" t="s">
        <v>3639</v>
      </c>
    </row>
    <row r="892" spans="1:34" ht="14.45" hidden="1" customHeight="1" x14ac:dyDescent="0.25">
      <c r="A892" s="6" t="s">
        <v>1934</v>
      </c>
      <c r="B892" s="7">
        <v>0</v>
      </c>
      <c r="C892" s="6" t="s">
        <v>1933</v>
      </c>
      <c r="D892" s="6" t="s">
        <v>66</v>
      </c>
      <c r="E892" s="6" t="s">
        <v>3232</v>
      </c>
      <c r="F892" s="6" t="s">
        <v>3229</v>
      </c>
      <c r="G892" s="8">
        <v>1.24017</v>
      </c>
      <c r="H892" s="8">
        <v>6.13239</v>
      </c>
      <c r="I892" s="6" t="s">
        <v>2497</v>
      </c>
      <c r="J892" s="6" t="s">
        <v>2459</v>
      </c>
      <c r="K892" s="6" t="s">
        <v>2460</v>
      </c>
      <c r="L892" s="6"/>
      <c r="M892" s="6"/>
      <c r="N892" s="6" t="s">
        <v>3268</v>
      </c>
      <c r="O892" s="6" t="s">
        <v>7</v>
      </c>
      <c r="P892" s="6" t="str">
        <f>VLOOKUP(Tableau1[[#This Row],[SITES NAMES]],[1]Feuil1!$1:$1048576,8,FALSE)</f>
        <v>OK</v>
      </c>
      <c r="Q892" s="6" t="str">
        <f>VLOOKUP(Tableau1[[#This Row],[SITES NAMES]],[1]Feuil1!$1:$1048576,9,FALSE)</f>
        <v>NO</v>
      </c>
      <c r="R892" s="6" t="str">
        <f>VLOOKUP(Tableau1[[#This Row],[SITES NAMES]],[1]Feuil1!$1:$1048576,10,FALSE)</f>
        <v>NO</v>
      </c>
      <c r="S892" s="6" t="s">
        <v>2461</v>
      </c>
      <c r="T892" s="6" t="s">
        <v>2462</v>
      </c>
      <c r="U892" s="6" t="s">
        <v>2463</v>
      </c>
      <c r="V892" s="6" t="s">
        <v>2464</v>
      </c>
      <c r="W892" s="6" t="s">
        <v>2476</v>
      </c>
      <c r="X892" s="8"/>
      <c r="Y892" s="6" t="s">
        <v>3238</v>
      </c>
      <c r="Z892" s="6" t="s">
        <v>3262</v>
      </c>
      <c r="AA892" s="35" t="s">
        <v>3621</v>
      </c>
      <c r="AB892" s="35" t="s">
        <v>3608</v>
      </c>
      <c r="AC892" s="35" t="s">
        <v>3624</v>
      </c>
      <c r="AD892" s="35" t="s">
        <v>3610</v>
      </c>
      <c r="AE892" s="35" t="s">
        <v>3610</v>
      </c>
      <c r="AF892" s="35" t="s">
        <v>3611</v>
      </c>
      <c r="AG892" s="35" t="s">
        <v>3612</v>
      </c>
      <c r="AH892" s="35" t="s">
        <v>3625</v>
      </c>
    </row>
    <row r="893" spans="1:34" ht="14.45" hidden="1" customHeight="1" x14ac:dyDescent="0.3">
      <c r="A893" s="6" t="s">
        <v>765</v>
      </c>
      <c r="B893" s="7">
        <v>43884</v>
      </c>
      <c r="C893" s="6" t="s">
        <v>764</v>
      </c>
      <c r="D893" s="6" t="s">
        <v>657</v>
      </c>
      <c r="E893" s="6" t="s">
        <v>758</v>
      </c>
      <c r="F893" s="6" t="s">
        <v>3229</v>
      </c>
      <c r="G893" s="8">
        <v>0.80295000000000005</v>
      </c>
      <c r="H893" s="8">
        <v>10.18629</v>
      </c>
      <c r="I893" s="6" t="s">
        <v>2467</v>
      </c>
      <c r="J893" s="6" t="s">
        <v>2459</v>
      </c>
      <c r="K893" s="6" t="s">
        <v>2460</v>
      </c>
      <c r="L893" s="6" t="s">
        <v>3548</v>
      </c>
      <c r="M893" s="6"/>
      <c r="N893" s="6" t="s">
        <v>3268</v>
      </c>
      <c r="O893" s="6" t="s">
        <v>40</v>
      </c>
      <c r="P893" s="6" t="str">
        <f>VLOOKUP(Tableau1[[#This Row],[SITES NAMES]],[1]Feuil1!$1:$1048576,8,FALSE)</f>
        <v>OK</v>
      </c>
      <c r="Q893" s="6" t="str">
        <f>VLOOKUP(Tableau1[[#This Row],[SITES NAMES]],[1]Feuil1!$1:$1048576,9,FALSE)</f>
        <v>NO</v>
      </c>
      <c r="R893" s="6" t="str">
        <f>VLOOKUP(Tableau1[[#This Row],[SITES NAMES]],[1]Feuil1!$1:$1048576,10,FALSE)</f>
        <v>YES</v>
      </c>
      <c r="S893" s="6" t="s">
        <v>2469</v>
      </c>
      <c r="T893" s="6" t="s">
        <v>2470</v>
      </c>
      <c r="U893" s="6" t="s">
        <v>2480</v>
      </c>
      <c r="V893" s="6" t="s">
        <v>2472</v>
      </c>
      <c r="W893" s="6" t="s">
        <v>2473</v>
      </c>
      <c r="X893" s="8" t="s">
        <v>2758</v>
      </c>
      <c r="Y893" s="6" t="s">
        <v>3239</v>
      </c>
      <c r="Z893" s="6" t="s">
        <v>3253</v>
      </c>
      <c r="AA893" s="37" t="s">
        <v>3687</v>
      </c>
      <c r="AB893" s="38" t="s">
        <v>3683</v>
      </c>
      <c r="AC893" s="37" t="s">
        <v>3688</v>
      </c>
      <c r="AD893" s="37" t="s">
        <v>3687</v>
      </c>
      <c r="AE893" s="37" t="s">
        <v>3689</v>
      </c>
      <c r="AF893" s="39" t="s">
        <v>3690</v>
      </c>
      <c r="AG893" s="40" t="s">
        <v>3685</v>
      </c>
      <c r="AH893" s="37" t="s">
        <v>3691</v>
      </c>
    </row>
    <row r="894" spans="1:34" ht="15.75" hidden="1" x14ac:dyDescent="0.3">
      <c r="A894" s="6" t="s">
        <v>879</v>
      </c>
      <c r="B894" s="7" t="s">
        <v>2514</v>
      </c>
      <c r="C894" s="6" t="s">
        <v>878</v>
      </c>
      <c r="D894" s="6" t="s">
        <v>657</v>
      </c>
      <c r="E894" s="6" t="s">
        <v>3237</v>
      </c>
      <c r="F894" s="18" t="s">
        <v>3230</v>
      </c>
      <c r="G894" s="8">
        <v>1.10999</v>
      </c>
      <c r="H894" s="8">
        <v>9.7592400000000001</v>
      </c>
      <c r="I894" s="6" t="s">
        <v>2497</v>
      </c>
      <c r="J894" s="6" t="s">
        <v>2459</v>
      </c>
      <c r="K894" s="6" t="s">
        <v>2460</v>
      </c>
      <c r="L894" s="6"/>
      <c r="M894" s="6"/>
      <c r="N894" s="21" t="s">
        <v>3269</v>
      </c>
      <c r="O894" s="6" t="s">
        <v>7</v>
      </c>
      <c r="P894" s="6" t="str">
        <f>VLOOKUP(Tableau1[[#This Row],[SITES NAMES]],[1]Feuil1!$1:$1048576,8,FALSE)</f>
        <v>OK</v>
      </c>
      <c r="Q894" s="6" t="str">
        <f>VLOOKUP(Tableau1[[#This Row],[SITES NAMES]],[1]Feuil1!$1:$1048576,9,FALSE)</f>
        <v>YES</v>
      </c>
      <c r="R894" s="6" t="str">
        <f>VLOOKUP(Tableau1[[#This Row],[SITES NAMES]],[1]Feuil1!$1:$1048576,10,FALSE)</f>
        <v>YES</v>
      </c>
      <c r="S894" s="6" t="s">
        <v>2469</v>
      </c>
      <c r="T894" s="6" t="s">
        <v>2470</v>
      </c>
      <c r="U894" s="6" t="s">
        <v>2471</v>
      </c>
      <c r="V894" s="6" t="s">
        <v>2478</v>
      </c>
      <c r="W894" s="6" t="s">
        <v>2476</v>
      </c>
      <c r="X894" s="8" t="s">
        <v>2795</v>
      </c>
      <c r="Y894" s="6" t="s">
        <v>3239</v>
      </c>
      <c r="Z894" s="6" t="s">
        <v>3253</v>
      </c>
      <c r="AA894" s="37" t="s">
        <v>3692</v>
      </c>
      <c r="AB894" s="38" t="s">
        <v>3683</v>
      </c>
      <c r="AC894" s="39" t="s">
        <v>3693</v>
      </c>
      <c r="AD894" s="39" t="s">
        <v>3694</v>
      </c>
      <c r="AE894" s="37" t="s">
        <v>3695</v>
      </c>
      <c r="AF894" s="39" t="s">
        <v>3696</v>
      </c>
      <c r="AG894" s="40" t="s">
        <v>3685</v>
      </c>
      <c r="AH894" s="37" t="s">
        <v>3697</v>
      </c>
    </row>
    <row r="895" spans="1:34" ht="14.45" hidden="1" customHeight="1" x14ac:dyDescent="0.3">
      <c r="A895" s="6" t="s">
        <v>881</v>
      </c>
      <c r="B895" s="7">
        <v>43871</v>
      </c>
      <c r="C895" s="6" t="s">
        <v>880</v>
      </c>
      <c r="D895" s="6" t="s">
        <v>657</v>
      </c>
      <c r="E895" s="6" t="s">
        <v>3237</v>
      </c>
      <c r="F895" s="6" t="s">
        <v>3229</v>
      </c>
      <c r="G895" s="8">
        <v>1.11259</v>
      </c>
      <c r="H895" s="8">
        <v>9.7749600000000001</v>
      </c>
      <c r="I895" s="6" t="s">
        <v>2482</v>
      </c>
      <c r="J895" s="6" t="s">
        <v>2459</v>
      </c>
      <c r="K895" s="6" t="s">
        <v>2460</v>
      </c>
      <c r="L895" s="6"/>
      <c r="M895" s="6"/>
      <c r="N895" s="6" t="s">
        <v>3268</v>
      </c>
      <c r="O895" s="6" t="s">
        <v>7</v>
      </c>
      <c r="P895" s="6" t="str">
        <f>VLOOKUP(Tableau1[[#This Row],[SITES NAMES]],[1]Feuil1!$1:$1048576,8,FALSE)</f>
        <v>OK</v>
      </c>
      <c r="Q895" s="6" t="str">
        <f>VLOOKUP(Tableau1[[#This Row],[SITES NAMES]],[1]Feuil1!$1:$1048576,9,FALSE)</f>
        <v>NO</v>
      </c>
      <c r="R895" s="6" t="str">
        <f>VLOOKUP(Tableau1[[#This Row],[SITES NAMES]],[1]Feuil1!$1:$1048576,10,FALSE)</f>
        <v>NO</v>
      </c>
      <c r="S895" s="6" t="s">
        <v>2461</v>
      </c>
      <c r="T895" s="6" t="s">
        <v>2462</v>
      </c>
      <c r="U895" s="6" t="s">
        <v>2463</v>
      </c>
      <c r="V895" s="6" t="s">
        <v>2472</v>
      </c>
      <c r="W895" s="6" t="s">
        <v>2465</v>
      </c>
      <c r="X895" s="8" t="s">
        <v>2796</v>
      </c>
      <c r="Y895" s="6" t="s">
        <v>3239</v>
      </c>
      <c r="Z895" s="6" t="s">
        <v>3253</v>
      </c>
      <c r="AA895" s="37" t="s">
        <v>3692</v>
      </c>
      <c r="AB895" s="38" t="s">
        <v>3683</v>
      </c>
      <c r="AC895" s="39" t="s">
        <v>3693</v>
      </c>
      <c r="AD895" s="39" t="s">
        <v>3694</v>
      </c>
      <c r="AE895" s="37" t="s">
        <v>3695</v>
      </c>
      <c r="AF895" s="39" t="s">
        <v>3696</v>
      </c>
      <c r="AG895" s="40" t="s">
        <v>3685</v>
      </c>
      <c r="AH895" s="37" t="s">
        <v>3697</v>
      </c>
    </row>
    <row r="896" spans="1:34" ht="14.45" hidden="1" customHeight="1" x14ac:dyDescent="0.3">
      <c r="A896" s="6" t="s">
        <v>612</v>
      </c>
      <c r="B896" s="7">
        <v>0</v>
      </c>
      <c r="C896" s="6" t="s">
        <v>611</v>
      </c>
      <c r="D896" s="6" t="s">
        <v>132</v>
      </c>
      <c r="E896" s="6" t="s">
        <v>565</v>
      </c>
      <c r="F896" s="6" t="s">
        <v>3229</v>
      </c>
      <c r="G896" s="8">
        <v>1.1891099999999999</v>
      </c>
      <c r="H896" s="8">
        <v>7.8381299999999996</v>
      </c>
      <c r="I896" s="6" t="s">
        <v>2477</v>
      </c>
      <c r="J896" s="6" t="s">
        <v>2459</v>
      </c>
      <c r="K896" s="6" t="s">
        <v>2460</v>
      </c>
      <c r="L896" s="6"/>
      <c r="M896" s="6"/>
      <c r="N896" s="6" t="s">
        <v>3268</v>
      </c>
      <c r="O896" s="6" t="s">
        <v>40</v>
      </c>
      <c r="P896" s="6" t="str">
        <f>VLOOKUP(Tableau1[[#This Row],[SITES NAMES]],[1]Feuil1!$1:$1048576,8,FALSE)</f>
        <v>OK</v>
      </c>
      <c r="Q896" s="6" t="str">
        <f>VLOOKUP(Tableau1[[#This Row],[SITES NAMES]],[1]Feuil1!$1:$1048576,9,FALSE)</f>
        <v>NO</v>
      </c>
      <c r="R896" s="6" t="str">
        <f>VLOOKUP(Tableau1[[#This Row],[SITES NAMES]],[1]Feuil1!$1:$1048576,10,FALSE)</f>
        <v>NO</v>
      </c>
      <c r="S896" s="6" t="s">
        <v>2469</v>
      </c>
      <c r="T896" s="6" t="s">
        <v>2470</v>
      </c>
      <c r="U896" s="6" t="s">
        <v>2463</v>
      </c>
      <c r="V896" s="6" t="s">
        <v>2464</v>
      </c>
      <c r="W896" s="6" t="s">
        <v>2473</v>
      </c>
      <c r="X896" s="8" t="s">
        <v>2697</v>
      </c>
      <c r="Y896" s="6" t="s">
        <v>3238</v>
      </c>
      <c r="Z896" s="6"/>
      <c r="AA896" s="37" t="s">
        <v>3660</v>
      </c>
      <c r="AB896" s="39" t="s">
        <v>3644</v>
      </c>
      <c r="AC896" s="37" t="s">
        <v>3661</v>
      </c>
      <c r="AD896" s="39" t="s">
        <v>3646</v>
      </c>
      <c r="AE896" s="39" t="s">
        <v>3647</v>
      </c>
      <c r="AF896" s="39" t="s">
        <v>3662</v>
      </c>
      <c r="AG896" s="37" t="s">
        <v>3649</v>
      </c>
      <c r="AH896" s="37" t="s">
        <v>3663</v>
      </c>
    </row>
    <row r="897" spans="1:34" ht="14.45" hidden="1" customHeight="1" x14ac:dyDescent="0.3">
      <c r="A897" s="6" t="s">
        <v>883</v>
      </c>
      <c r="B897" s="7">
        <v>44855</v>
      </c>
      <c r="C897" s="6" t="s">
        <v>882</v>
      </c>
      <c r="D897" s="6" t="s">
        <v>657</v>
      </c>
      <c r="E897" s="6" t="s">
        <v>3237</v>
      </c>
      <c r="F897" s="6" t="s">
        <v>3229</v>
      </c>
      <c r="G897" s="8">
        <v>1.1084400000000001</v>
      </c>
      <c r="H897" s="8">
        <v>9.7659699999999994</v>
      </c>
      <c r="I897" s="6" t="s">
        <v>2475</v>
      </c>
      <c r="J897" s="6" t="s">
        <v>2459</v>
      </c>
      <c r="K897" s="6" t="s">
        <v>2460</v>
      </c>
      <c r="L897" s="6" t="s">
        <v>3552</v>
      </c>
      <c r="M897" s="6"/>
      <c r="N897" s="6" t="s">
        <v>3268</v>
      </c>
      <c r="O897" s="6" t="s">
        <v>7</v>
      </c>
      <c r="P897" s="6" t="str">
        <f>VLOOKUP(Tableau1[[#This Row],[SITES NAMES]],[1]Feuil1!$1:$1048576,8,FALSE)</f>
        <v>OK</v>
      </c>
      <c r="Q897" s="6" t="str">
        <f>VLOOKUP(Tableau1[[#This Row],[SITES NAMES]],[1]Feuil1!$1:$1048576,9,FALSE)</f>
        <v>NO</v>
      </c>
      <c r="R897" s="6" t="str">
        <f>VLOOKUP(Tableau1[[#This Row],[SITES NAMES]],[1]Feuil1!$1:$1048576,10,FALSE)</f>
        <v>YES</v>
      </c>
      <c r="S897" s="6" t="s">
        <v>2469</v>
      </c>
      <c r="T897" s="6" t="s">
        <v>2470</v>
      </c>
      <c r="U897" s="6" t="s">
        <v>2463</v>
      </c>
      <c r="V897" s="6" t="s">
        <v>2472</v>
      </c>
      <c r="W897" s="6" t="s">
        <v>2476</v>
      </c>
      <c r="X897" s="8"/>
      <c r="Y897" s="6" t="s">
        <v>3239</v>
      </c>
      <c r="Z897" s="6" t="s">
        <v>3253</v>
      </c>
      <c r="AA897" s="37" t="s">
        <v>3692</v>
      </c>
      <c r="AB897" s="38" t="s">
        <v>3683</v>
      </c>
      <c r="AC897" s="39" t="s">
        <v>3693</v>
      </c>
      <c r="AD897" s="39" t="s">
        <v>3694</v>
      </c>
      <c r="AE897" s="37" t="s">
        <v>3695</v>
      </c>
      <c r="AF897" s="39" t="s">
        <v>3696</v>
      </c>
      <c r="AG897" s="40" t="s">
        <v>3685</v>
      </c>
      <c r="AH897" s="37" t="s">
        <v>3697</v>
      </c>
    </row>
    <row r="898" spans="1:34" ht="14.45" hidden="1" customHeight="1" x14ac:dyDescent="0.3">
      <c r="A898" s="6" t="s">
        <v>444</v>
      </c>
      <c r="B898" s="7">
        <v>0</v>
      </c>
      <c r="C898" s="6" t="s">
        <v>443</v>
      </c>
      <c r="D898" s="6" t="s">
        <v>395</v>
      </c>
      <c r="E898" s="6" t="s">
        <v>396</v>
      </c>
      <c r="F898" s="6" t="s">
        <v>3229</v>
      </c>
      <c r="G898" s="8">
        <v>0.122433</v>
      </c>
      <c r="H898" s="8">
        <v>10.823734999999999</v>
      </c>
      <c r="I898" s="6" t="s">
        <v>2482</v>
      </c>
      <c r="J898" s="6" t="s">
        <v>2459</v>
      </c>
      <c r="K898" s="6" t="s">
        <v>2468</v>
      </c>
      <c r="L898" s="6" t="s">
        <v>3553</v>
      </c>
      <c r="M898" s="6"/>
      <c r="N898" s="6" t="s">
        <v>2468</v>
      </c>
      <c r="O898" s="6" t="s">
        <v>40</v>
      </c>
      <c r="P898" s="6" t="str">
        <f>VLOOKUP(Tableau1[[#This Row],[SITES NAMES]],[1]Feuil1!$1:$1048576,8,FALSE)</f>
        <v>OK</v>
      </c>
      <c r="Q898" s="6" t="str">
        <f>VLOOKUP(Tableau1[[#This Row],[SITES NAMES]],[1]Feuil1!$1:$1048576,9,FALSE)</f>
        <v>NO</v>
      </c>
      <c r="R898" s="6" t="str">
        <f>VLOOKUP(Tableau1[[#This Row],[SITES NAMES]],[1]Feuil1!$1:$1048576,10,FALSE)</f>
        <v>YES</v>
      </c>
      <c r="S898" s="6" t="s">
        <v>2461</v>
      </c>
      <c r="T898" s="6" t="s">
        <v>2462</v>
      </c>
      <c r="U898" s="6" t="s">
        <v>2463</v>
      </c>
      <c r="V898" s="6" t="s">
        <v>2464</v>
      </c>
      <c r="W898" s="6" t="s">
        <v>2473</v>
      </c>
      <c r="X898" s="8" t="s">
        <v>2640</v>
      </c>
      <c r="Y898" s="6" t="s">
        <v>3240</v>
      </c>
      <c r="Z898" s="6" t="s">
        <v>3255</v>
      </c>
      <c r="AA898" s="37" t="s">
        <v>3704</v>
      </c>
      <c r="AB898" s="39" t="s">
        <v>3705</v>
      </c>
      <c r="AC898" s="37" t="s">
        <v>3706</v>
      </c>
      <c r="AD898" s="37" t="s">
        <v>3707</v>
      </c>
      <c r="AE898" s="37" t="s">
        <v>3708</v>
      </c>
      <c r="AF898" s="37" t="s">
        <v>3709</v>
      </c>
      <c r="AG898" s="46" t="s">
        <v>3710</v>
      </c>
      <c r="AH898" s="37" t="s">
        <v>3711</v>
      </c>
    </row>
    <row r="899" spans="1:34" ht="14.45" hidden="1" customHeight="1" x14ac:dyDescent="0.3">
      <c r="A899" s="6" t="s">
        <v>368</v>
      </c>
      <c r="B899" s="7">
        <v>0</v>
      </c>
      <c r="C899" s="6" t="s">
        <v>367</v>
      </c>
      <c r="D899" s="6" t="s">
        <v>320</v>
      </c>
      <c r="E899" s="6" t="s">
        <v>321</v>
      </c>
      <c r="F899" s="6" t="s">
        <v>3229</v>
      </c>
      <c r="G899" s="8">
        <v>0.77449000000000001</v>
      </c>
      <c r="H899" s="8">
        <v>8.1286100000000001</v>
      </c>
      <c r="I899" s="6" t="s">
        <v>2477</v>
      </c>
      <c r="J899" s="6" t="s">
        <v>2459</v>
      </c>
      <c r="K899" s="6" t="s">
        <v>2468</v>
      </c>
      <c r="L899" s="6" t="s">
        <v>3361</v>
      </c>
      <c r="M899" s="6"/>
      <c r="N899" s="6" t="s">
        <v>2468</v>
      </c>
      <c r="O899" s="6" t="s">
        <v>40</v>
      </c>
      <c r="P899" s="6" t="str">
        <f>VLOOKUP(Tableau1[[#This Row],[SITES NAMES]],[1]Feuil1!$1:$1048576,8,FALSE)</f>
        <v>OK</v>
      </c>
      <c r="Q899" s="6" t="str">
        <f>VLOOKUP(Tableau1[[#This Row],[SITES NAMES]],[1]Feuil1!$1:$1048576,9,FALSE)</f>
        <v>NO</v>
      </c>
      <c r="R899" s="6" t="str">
        <f>VLOOKUP(Tableau1[[#This Row],[SITES NAMES]],[1]Feuil1!$1:$1048576,10,FALSE)</f>
        <v>NO</v>
      </c>
      <c r="S899" s="6" t="s">
        <v>2461</v>
      </c>
      <c r="T899" s="6" t="s">
        <v>2462</v>
      </c>
      <c r="U899" s="6" t="s">
        <v>2463</v>
      </c>
      <c r="V899" s="6" t="s">
        <v>2472</v>
      </c>
      <c r="W899" s="6" t="s">
        <v>2473</v>
      </c>
      <c r="X899" s="8" t="s">
        <v>2606</v>
      </c>
      <c r="Y899" s="6" t="s">
        <v>3238</v>
      </c>
      <c r="Z899" s="6" t="s">
        <v>3266</v>
      </c>
      <c r="AA899" s="37" t="s">
        <v>3664</v>
      </c>
      <c r="AB899" s="39" t="s">
        <v>3665</v>
      </c>
      <c r="AC899" s="37" t="s">
        <v>3666</v>
      </c>
      <c r="AD899" s="37" t="s">
        <v>3667</v>
      </c>
      <c r="AE899" s="37" t="s">
        <v>3668</v>
      </c>
      <c r="AF899" s="37" t="s">
        <v>3669</v>
      </c>
      <c r="AG899" s="37" t="s">
        <v>3670</v>
      </c>
      <c r="AH899" s="37" t="s">
        <v>3671</v>
      </c>
    </row>
    <row r="900" spans="1:34" ht="14.45" hidden="1" customHeight="1" x14ac:dyDescent="0.25">
      <c r="A900" s="6" t="s">
        <v>1582</v>
      </c>
      <c r="B900" s="7">
        <v>0</v>
      </c>
      <c r="C900" s="6" t="s">
        <v>1581</v>
      </c>
      <c r="D900" s="6" t="s">
        <v>66</v>
      </c>
      <c r="E900" s="6" t="s">
        <v>3236</v>
      </c>
      <c r="F900" s="6" t="s">
        <v>3229</v>
      </c>
      <c r="G900" s="8">
        <v>1.0282830000000001</v>
      </c>
      <c r="H900" s="8">
        <v>6.2729842729999996</v>
      </c>
      <c r="I900" s="6" t="s">
        <v>2486</v>
      </c>
      <c r="J900" s="6" t="s">
        <v>2459</v>
      </c>
      <c r="K900" s="6" t="s">
        <v>2460</v>
      </c>
      <c r="L900" s="6"/>
      <c r="M900" s="6"/>
      <c r="N900" s="6" t="s">
        <v>3268</v>
      </c>
      <c r="O900" s="6" t="s">
        <v>7</v>
      </c>
      <c r="P900" s="6" t="str">
        <f>VLOOKUP(Tableau1[[#This Row],[SITES NAMES]],[1]Feuil1!$1:$1048576,8,FALSE)</f>
        <v>OK</v>
      </c>
      <c r="Q900" s="6" t="str">
        <f>VLOOKUP(Tableau1[[#This Row],[SITES NAMES]],[1]Feuil1!$1:$1048576,9,FALSE)</f>
        <v>NO</v>
      </c>
      <c r="R900" s="6" t="str">
        <f>VLOOKUP(Tableau1[[#This Row],[SITES NAMES]],[1]Feuil1!$1:$1048576,10,FALSE)</f>
        <v>NO</v>
      </c>
      <c r="S900" s="6" t="s">
        <v>2461</v>
      </c>
      <c r="T900" s="6" t="s">
        <v>2462</v>
      </c>
      <c r="U900" s="6" t="s">
        <v>2463</v>
      </c>
      <c r="V900" s="6" t="s">
        <v>2472</v>
      </c>
      <c r="W900" s="6" t="s">
        <v>2465</v>
      </c>
      <c r="X900" s="8" t="s">
        <v>2976</v>
      </c>
      <c r="Y900" s="6" t="s">
        <v>3238</v>
      </c>
      <c r="Z900" s="6" t="s">
        <v>3263</v>
      </c>
      <c r="AA900" s="35" t="s">
        <v>3616</v>
      </c>
      <c r="AB900" s="35" t="s">
        <v>3608</v>
      </c>
      <c r="AC900" s="35" t="s">
        <v>3619</v>
      </c>
      <c r="AD900" s="35" t="s">
        <v>3610</v>
      </c>
      <c r="AE900" s="35" t="s">
        <v>3610</v>
      </c>
      <c r="AF900" s="35" t="s">
        <v>3611</v>
      </c>
      <c r="AG900" s="35" t="s">
        <v>3612</v>
      </c>
      <c r="AH900" s="35" t="s">
        <v>3620</v>
      </c>
    </row>
    <row r="901" spans="1:34" ht="14.45" hidden="1" customHeight="1" x14ac:dyDescent="0.25">
      <c r="A901" s="6" t="s">
        <v>1584</v>
      </c>
      <c r="B901" s="7">
        <v>45215</v>
      </c>
      <c r="C901" s="6" t="s">
        <v>1583</v>
      </c>
      <c r="D901" s="6" t="s">
        <v>66</v>
      </c>
      <c r="E901" s="6" t="s">
        <v>3236</v>
      </c>
      <c r="F901" s="6" t="s">
        <v>3229</v>
      </c>
      <c r="G901" s="8">
        <v>1.03694</v>
      </c>
      <c r="H901" s="8">
        <v>6.25556</v>
      </c>
      <c r="I901" s="6" t="s">
        <v>2479</v>
      </c>
      <c r="J901" s="6" t="s">
        <v>2459</v>
      </c>
      <c r="K901" s="6" t="s">
        <v>2468</v>
      </c>
      <c r="L901" s="6" t="s">
        <v>3554</v>
      </c>
      <c r="M901" s="6"/>
      <c r="N901" s="6" t="s">
        <v>2468</v>
      </c>
      <c r="O901" s="6" t="s">
        <v>7</v>
      </c>
      <c r="P901" s="6" t="str">
        <f>VLOOKUP(Tableau1[[#This Row],[SITES NAMES]],[1]Feuil1!$1:$1048576,8,FALSE)</f>
        <v>OK</v>
      </c>
      <c r="Q901" s="6" t="str">
        <f>VLOOKUP(Tableau1[[#This Row],[SITES NAMES]],[1]Feuil1!$1:$1048576,9,FALSE)</f>
        <v>NO</v>
      </c>
      <c r="R901" s="6" t="str">
        <f>VLOOKUP(Tableau1[[#This Row],[SITES NAMES]],[1]Feuil1!$1:$1048576,10,FALSE)</f>
        <v>NO</v>
      </c>
      <c r="S901" s="6" t="s">
        <v>2469</v>
      </c>
      <c r="T901" s="6" t="s">
        <v>2470</v>
      </c>
      <c r="U901" s="6" t="s">
        <v>2480</v>
      </c>
      <c r="V901" s="6" t="s">
        <v>2478</v>
      </c>
      <c r="W901" s="6" t="s">
        <v>2974</v>
      </c>
      <c r="X901" s="8"/>
      <c r="Y901" s="6" t="s">
        <v>3238</v>
      </c>
      <c r="Z901" s="6" t="s">
        <v>3263</v>
      </c>
      <c r="AA901" s="35" t="s">
        <v>3616</v>
      </c>
      <c r="AB901" s="35" t="s">
        <v>3608</v>
      </c>
      <c r="AC901" s="35" t="s">
        <v>3619</v>
      </c>
      <c r="AD901" s="35" t="s">
        <v>3610</v>
      </c>
      <c r="AE901" s="35" t="s">
        <v>3610</v>
      </c>
      <c r="AF901" s="35" t="s">
        <v>3611</v>
      </c>
      <c r="AG901" s="35" t="s">
        <v>3612</v>
      </c>
      <c r="AH901" s="35" t="s">
        <v>3620</v>
      </c>
    </row>
    <row r="902" spans="1:34" ht="15.75" hidden="1" x14ac:dyDescent="0.3">
      <c r="A902" s="6" t="s">
        <v>2049</v>
      </c>
      <c r="B902" s="7">
        <v>0</v>
      </c>
      <c r="C902" s="6" t="s">
        <v>2106</v>
      </c>
      <c r="D902" s="6" t="s">
        <v>132</v>
      </c>
      <c r="E902" s="6" t="s">
        <v>2049</v>
      </c>
      <c r="F902" s="6" t="s">
        <v>3229</v>
      </c>
      <c r="G902" s="8">
        <v>1.15333</v>
      </c>
      <c r="H902" s="8">
        <v>6.9411100000000001</v>
      </c>
      <c r="I902" s="6" t="s">
        <v>2479</v>
      </c>
      <c r="J902" s="6" t="s">
        <v>2459</v>
      </c>
      <c r="K902" s="6" t="s">
        <v>2460</v>
      </c>
      <c r="L902" s="6"/>
      <c r="M902" s="6"/>
      <c r="N902" s="21" t="s">
        <v>3269</v>
      </c>
      <c r="O902" s="6" t="s">
        <v>7</v>
      </c>
      <c r="P902" s="6" t="str">
        <f>VLOOKUP(Tableau1[[#This Row],[SITES NAMES]],[1]Feuil1!$1:$1048576,8,FALSE)</f>
        <v>NOK</v>
      </c>
      <c r="Q902" s="6" t="str">
        <f>VLOOKUP(Tableau1[[#This Row],[SITES NAMES]],[1]Feuil1!$1:$1048576,9,FALSE)</f>
        <v>NO</v>
      </c>
      <c r="R902" s="6" t="str">
        <f>VLOOKUP(Tableau1[[#This Row],[SITES NAMES]],[1]Feuil1!$1:$1048576,10,FALSE)</f>
        <v>YES</v>
      </c>
      <c r="S902" s="6" t="s">
        <v>2461</v>
      </c>
      <c r="T902" s="6" t="s">
        <v>2462</v>
      </c>
      <c r="U902" s="6" t="s">
        <v>2463</v>
      </c>
      <c r="V902" s="6" t="s">
        <v>2464</v>
      </c>
      <c r="W902" s="6" t="s">
        <v>2476</v>
      </c>
      <c r="X902" s="8" t="s">
        <v>3116</v>
      </c>
      <c r="Y902" s="6" t="s">
        <v>3238</v>
      </c>
      <c r="Z902" s="6" t="s">
        <v>3257</v>
      </c>
      <c r="AA902" s="45" t="s">
        <v>3656</v>
      </c>
      <c r="AB902" s="39" t="s">
        <v>3644</v>
      </c>
      <c r="AC902" s="45" t="s">
        <v>3657</v>
      </c>
      <c r="AD902" s="37" t="s">
        <v>3658</v>
      </c>
      <c r="AE902" s="37" t="s">
        <v>3647</v>
      </c>
      <c r="AF902" s="39" t="s">
        <v>3648</v>
      </c>
      <c r="AG902" s="37" t="s">
        <v>3649</v>
      </c>
      <c r="AH902" s="37" t="s">
        <v>3659</v>
      </c>
    </row>
    <row r="903" spans="1:34" ht="14.45" hidden="1" customHeight="1" x14ac:dyDescent="0.3">
      <c r="A903" s="6" t="s">
        <v>2108</v>
      </c>
      <c r="B903" s="7">
        <v>45248</v>
      </c>
      <c r="C903" s="6" t="s">
        <v>2107</v>
      </c>
      <c r="D903" s="6" t="s">
        <v>132</v>
      </c>
      <c r="E903" s="6" t="s">
        <v>2049</v>
      </c>
      <c r="F903" s="6" t="s">
        <v>3229</v>
      </c>
      <c r="G903" s="8">
        <v>1.168283</v>
      </c>
      <c r="H903" s="8">
        <v>6.9504840000000003</v>
      </c>
      <c r="I903" s="6" t="s">
        <v>2475</v>
      </c>
      <c r="J903" s="6" t="s">
        <v>2459</v>
      </c>
      <c r="K903" s="6" t="s">
        <v>2468</v>
      </c>
      <c r="L903" s="6" t="s">
        <v>3555</v>
      </c>
      <c r="M903" s="6"/>
      <c r="N903" s="6" t="s">
        <v>2468</v>
      </c>
      <c r="O903" s="6" t="s">
        <v>7</v>
      </c>
      <c r="P903" s="6" t="str">
        <f>VLOOKUP(Tableau1[[#This Row],[SITES NAMES]],[1]Feuil1!$1:$1048576,8,FALSE)</f>
        <v>OK</v>
      </c>
      <c r="Q903" s="6" t="str">
        <f>VLOOKUP(Tableau1[[#This Row],[SITES NAMES]],[1]Feuil1!$1:$1048576,9,FALSE)</f>
        <v>NO</v>
      </c>
      <c r="R903" s="6" t="str">
        <f>VLOOKUP(Tableau1[[#This Row],[SITES NAMES]],[1]Feuil1!$1:$1048576,10,FALSE)</f>
        <v>NO</v>
      </c>
      <c r="S903" s="6" t="s">
        <v>2461</v>
      </c>
      <c r="T903" s="6" t="s">
        <v>2462</v>
      </c>
      <c r="U903" s="6" t="s">
        <v>2463</v>
      </c>
      <c r="V903" s="6" t="s">
        <v>2472</v>
      </c>
      <c r="W903" s="6" t="s">
        <v>2531</v>
      </c>
      <c r="X903" s="8"/>
      <c r="Y903" s="6" t="s">
        <v>3238</v>
      </c>
      <c r="Z903" s="6" t="s">
        <v>3257</v>
      </c>
      <c r="AA903" s="45" t="s">
        <v>3656</v>
      </c>
      <c r="AB903" s="39" t="s">
        <v>3644</v>
      </c>
      <c r="AC903" s="45" t="s">
        <v>3657</v>
      </c>
      <c r="AD903" s="37" t="s">
        <v>3658</v>
      </c>
      <c r="AE903" s="37" t="s">
        <v>3647</v>
      </c>
      <c r="AF903" s="39" t="s">
        <v>3648</v>
      </c>
      <c r="AG903" s="37" t="s">
        <v>3649</v>
      </c>
      <c r="AH903" s="37" t="s">
        <v>3659</v>
      </c>
    </row>
    <row r="904" spans="1:34" ht="14.45" hidden="1" customHeight="1" x14ac:dyDescent="0.3">
      <c r="A904" s="6" t="s">
        <v>2067</v>
      </c>
      <c r="B904" s="7">
        <v>0</v>
      </c>
      <c r="C904" s="6" t="s">
        <v>2066</v>
      </c>
      <c r="D904" s="6" t="s">
        <v>132</v>
      </c>
      <c r="E904" s="6" t="s">
        <v>2049</v>
      </c>
      <c r="F904" s="6" t="s">
        <v>3229</v>
      </c>
      <c r="G904" s="8">
        <v>1.181152</v>
      </c>
      <c r="H904" s="8">
        <v>6.9187580000000004</v>
      </c>
      <c r="I904" s="6" t="s">
        <v>2488</v>
      </c>
      <c r="J904" s="6" t="s">
        <v>2459</v>
      </c>
      <c r="K904" s="6" t="s">
        <v>2460</v>
      </c>
      <c r="L904" s="6"/>
      <c r="M904" s="6"/>
      <c r="N904" s="6" t="s">
        <v>3268</v>
      </c>
      <c r="O904" s="6" t="s">
        <v>18</v>
      </c>
      <c r="P904" s="6" t="str">
        <f>VLOOKUP(Tableau1[[#This Row],[SITES NAMES]],[1]Feuil1!$1:$1048576,8,FALSE)</f>
        <v>NOK</v>
      </c>
      <c r="Q904" s="6" t="str">
        <f>VLOOKUP(Tableau1[[#This Row],[SITES NAMES]],[1]Feuil1!$1:$1048576,9,FALSE)</f>
        <v>NO</v>
      </c>
      <c r="R904" s="6" t="str">
        <f>VLOOKUP(Tableau1[[#This Row],[SITES NAMES]],[1]Feuil1!$1:$1048576,10,FALSE)</f>
        <v>NO</v>
      </c>
      <c r="S904" s="6" t="s">
        <v>2461</v>
      </c>
      <c r="T904" s="6" t="s">
        <v>2462</v>
      </c>
      <c r="U904" s="6" t="s">
        <v>2463</v>
      </c>
      <c r="V904" s="6" t="s">
        <v>2472</v>
      </c>
      <c r="W904" s="6" t="s">
        <v>2476</v>
      </c>
      <c r="X904" s="8" t="s">
        <v>3103</v>
      </c>
      <c r="Y904" s="6" t="s">
        <v>3238</v>
      </c>
      <c r="Z904" s="6" t="s">
        <v>3257</v>
      </c>
      <c r="AA904" s="45" t="s">
        <v>3656</v>
      </c>
      <c r="AB904" s="39" t="s">
        <v>3644</v>
      </c>
      <c r="AC904" s="45" t="s">
        <v>3657</v>
      </c>
      <c r="AD904" s="37" t="s">
        <v>3658</v>
      </c>
      <c r="AE904" s="37" t="s">
        <v>3647</v>
      </c>
      <c r="AF904" s="39" t="s">
        <v>3648</v>
      </c>
      <c r="AG904" s="37" t="s">
        <v>3649</v>
      </c>
      <c r="AH904" s="37" t="s">
        <v>3659</v>
      </c>
    </row>
    <row r="905" spans="1:34" ht="14.45" hidden="1" customHeight="1" x14ac:dyDescent="0.3">
      <c r="A905" s="6" t="s">
        <v>2110</v>
      </c>
      <c r="B905" s="7">
        <v>44852</v>
      </c>
      <c r="C905" s="6" t="s">
        <v>2109</v>
      </c>
      <c r="D905" s="6" t="s">
        <v>132</v>
      </c>
      <c r="E905" s="6" t="s">
        <v>2049</v>
      </c>
      <c r="F905" s="6" t="s">
        <v>3229</v>
      </c>
      <c r="G905" s="8">
        <v>1.1684750340000001</v>
      </c>
      <c r="H905" s="8">
        <v>6.9588527500000001</v>
      </c>
      <c r="I905" s="6" t="s">
        <v>2479</v>
      </c>
      <c r="J905" s="6" t="s">
        <v>2459</v>
      </c>
      <c r="K905" s="6" t="s">
        <v>2460</v>
      </c>
      <c r="L905" s="6" t="s">
        <v>2114</v>
      </c>
      <c r="M905" s="6"/>
      <c r="N905" s="6" t="s">
        <v>3268</v>
      </c>
      <c r="O905" s="6" t="s">
        <v>7</v>
      </c>
      <c r="P905" s="6" t="str">
        <f>VLOOKUP(Tableau1[[#This Row],[SITES NAMES]],[1]Feuil1!$1:$1048576,8,FALSE)</f>
        <v>OK</v>
      </c>
      <c r="Q905" s="6" t="str">
        <f>VLOOKUP(Tableau1[[#This Row],[SITES NAMES]],[1]Feuil1!$1:$1048576,9,FALSE)</f>
        <v>NO</v>
      </c>
      <c r="R905" s="6" t="str">
        <f>VLOOKUP(Tableau1[[#This Row],[SITES NAMES]],[1]Feuil1!$1:$1048576,10,FALSE)</f>
        <v>YES</v>
      </c>
      <c r="S905" s="6" t="s">
        <v>2461</v>
      </c>
      <c r="T905" s="6" t="s">
        <v>2462</v>
      </c>
      <c r="U905" s="6" t="s">
        <v>2463</v>
      </c>
      <c r="V905" s="6" t="s">
        <v>2472</v>
      </c>
      <c r="W905" s="6" t="s">
        <v>2476</v>
      </c>
      <c r="X905" s="8" t="s">
        <v>3117</v>
      </c>
      <c r="Y905" s="6" t="s">
        <v>3238</v>
      </c>
      <c r="Z905" s="6" t="s">
        <v>3257</v>
      </c>
      <c r="AA905" s="45" t="s">
        <v>3656</v>
      </c>
      <c r="AB905" s="39" t="s">
        <v>3644</v>
      </c>
      <c r="AC905" s="45" t="s">
        <v>3657</v>
      </c>
      <c r="AD905" s="37" t="s">
        <v>3658</v>
      </c>
      <c r="AE905" s="37" t="s">
        <v>3647</v>
      </c>
      <c r="AF905" s="39" t="s">
        <v>3648</v>
      </c>
      <c r="AG905" s="37" t="s">
        <v>3649</v>
      </c>
      <c r="AH905" s="37" t="s">
        <v>3659</v>
      </c>
    </row>
    <row r="906" spans="1:34" ht="14.45" hidden="1" customHeight="1" x14ac:dyDescent="0.3">
      <c r="A906" s="6" t="s">
        <v>2112</v>
      </c>
      <c r="B906" s="7">
        <v>0</v>
      </c>
      <c r="C906" s="6" t="s">
        <v>2111</v>
      </c>
      <c r="D906" s="6" t="s">
        <v>132</v>
      </c>
      <c r="E906" s="6" t="s">
        <v>2049</v>
      </c>
      <c r="F906" s="18" t="s">
        <v>3230</v>
      </c>
      <c r="G906" s="8">
        <v>1.1745000000000001</v>
      </c>
      <c r="H906" s="8">
        <v>6.9441899999999999</v>
      </c>
      <c r="I906" s="6" t="s">
        <v>2497</v>
      </c>
      <c r="J906" s="6" t="s">
        <v>2459</v>
      </c>
      <c r="K906" s="6" t="s">
        <v>2460</v>
      </c>
      <c r="L906" s="6"/>
      <c r="M906" s="6"/>
      <c r="N906" s="6" t="s">
        <v>3268</v>
      </c>
      <c r="O906" s="6" t="s">
        <v>291</v>
      </c>
      <c r="P906" s="6" t="str">
        <f>VLOOKUP(Tableau1[[#This Row],[SITES NAMES]],[1]Feuil1!$1:$1048576,8,FALSE)</f>
        <v>OK</v>
      </c>
      <c r="Q906" s="6" t="str">
        <f>VLOOKUP(Tableau1[[#This Row],[SITES NAMES]],[1]Feuil1!$1:$1048576,9,FALSE)</f>
        <v>NO</v>
      </c>
      <c r="R906" s="6" t="str">
        <f>VLOOKUP(Tableau1[[#This Row],[SITES NAMES]],[1]Feuil1!$1:$1048576,10,FALSE)</f>
        <v>NO</v>
      </c>
      <c r="S906" s="6" t="s">
        <v>2469</v>
      </c>
      <c r="T906" s="6" t="s">
        <v>2470</v>
      </c>
      <c r="U906" s="6" t="s">
        <v>2480</v>
      </c>
      <c r="V906" s="6" t="s">
        <v>2498</v>
      </c>
      <c r="W906" s="6" t="s">
        <v>2476</v>
      </c>
      <c r="X906" s="8" t="s">
        <v>3118</v>
      </c>
      <c r="Y906" s="6" t="s">
        <v>3238</v>
      </c>
      <c r="Z906" s="6" t="s">
        <v>3257</v>
      </c>
      <c r="AA906" s="45" t="s">
        <v>3656</v>
      </c>
      <c r="AB906" s="39" t="s">
        <v>3644</v>
      </c>
      <c r="AC906" s="45" t="s">
        <v>3657</v>
      </c>
      <c r="AD906" s="37" t="s">
        <v>3658</v>
      </c>
      <c r="AE906" s="37" t="s">
        <v>3647</v>
      </c>
      <c r="AF906" s="39" t="s">
        <v>3648</v>
      </c>
      <c r="AG906" s="37" t="s">
        <v>3649</v>
      </c>
      <c r="AH906" s="37" t="s">
        <v>3659</v>
      </c>
    </row>
    <row r="907" spans="1:34" ht="14.45" hidden="1" customHeight="1" x14ac:dyDescent="0.3">
      <c r="A907" s="6" t="s">
        <v>2114</v>
      </c>
      <c r="B907" s="7">
        <v>43564</v>
      </c>
      <c r="C907" s="6" t="s">
        <v>2113</v>
      </c>
      <c r="D907" s="6" t="s">
        <v>132</v>
      </c>
      <c r="E907" s="6" t="s">
        <v>2049</v>
      </c>
      <c r="F907" s="6" t="s">
        <v>3229</v>
      </c>
      <c r="G907" s="8">
        <v>1.1736599999999999</v>
      </c>
      <c r="H907" s="8">
        <v>6.9697699999999996</v>
      </c>
      <c r="I907" s="6" t="s">
        <v>2497</v>
      </c>
      <c r="J907" s="6" t="s">
        <v>2459</v>
      </c>
      <c r="K907" s="6" t="s">
        <v>2460</v>
      </c>
      <c r="L907" s="6"/>
      <c r="M907" s="6"/>
      <c r="N907" s="6" t="s">
        <v>3268</v>
      </c>
      <c r="O907" s="6" t="s">
        <v>7</v>
      </c>
      <c r="P907" s="6" t="str">
        <f>VLOOKUP(Tableau1[[#This Row],[SITES NAMES]],[1]Feuil1!$1:$1048576,8,FALSE)</f>
        <v>OK</v>
      </c>
      <c r="Q907" s="6" t="str">
        <f>VLOOKUP(Tableau1[[#This Row],[SITES NAMES]],[1]Feuil1!$1:$1048576,9,FALSE)</f>
        <v>YES</v>
      </c>
      <c r="R907" s="6" t="str">
        <f>VLOOKUP(Tableau1[[#This Row],[SITES NAMES]],[1]Feuil1!$1:$1048576,10,FALSE)</f>
        <v>NO</v>
      </c>
      <c r="S907" s="6" t="s">
        <v>2469</v>
      </c>
      <c r="T907" s="6" t="s">
        <v>2470</v>
      </c>
      <c r="U907" s="6" t="s">
        <v>2480</v>
      </c>
      <c r="V907" s="6" t="s">
        <v>2464</v>
      </c>
      <c r="W907" s="6" t="s">
        <v>2476</v>
      </c>
      <c r="X907" s="8" t="s">
        <v>3119</v>
      </c>
      <c r="Y907" s="6" t="s">
        <v>3238</v>
      </c>
      <c r="Z907" s="6" t="s">
        <v>3257</v>
      </c>
      <c r="AA907" s="45" t="s">
        <v>3656</v>
      </c>
      <c r="AB907" s="39" t="s">
        <v>3644</v>
      </c>
      <c r="AC907" s="45" t="s">
        <v>3657</v>
      </c>
      <c r="AD907" s="37" t="s">
        <v>3658</v>
      </c>
      <c r="AE907" s="37" t="s">
        <v>3647</v>
      </c>
      <c r="AF907" s="39" t="s">
        <v>3648</v>
      </c>
      <c r="AG907" s="37" t="s">
        <v>3649</v>
      </c>
      <c r="AH907" s="37" t="s">
        <v>3659</v>
      </c>
    </row>
    <row r="908" spans="1:34" ht="14.45" hidden="1" customHeight="1" x14ac:dyDescent="0.3">
      <c r="A908" s="6" t="s">
        <v>2116</v>
      </c>
      <c r="B908" s="7">
        <v>0</v>
      </c>
      <c r="C908" s="6" t="s">
        <v>2115</v>
      </c>
      <c r="D908" s="6" t="s">
        <v>132</v>
      </c>
      <c r="E908" s="6" t="s">
        <v>2049</v>
      </c>
      <c r="F908" s="6" t="s">
        <v>3229</v>
      </c>
      <c r="G908" s="8">
        <v>1.162869444</v>
      </c>
      <c r="H908" s="8">
        <v>6.9453333329999998</v>
      </c>
      <c r="I908" s="6" t="s">
        <v>2497</v>
      </c>
      <c r="J908" s="6" t="s">
        <v>2459</v>
      </c>
      <c r="K908" s="6" t="s">
        <v>2460</v>
      </c>
      <c r="L908" s="6"/>
      <c r="M908" s="6"/>
      <c r="N908" s="6" t="s">
        <v>3268</v>
      </c>
      <c r="O908" s="6" t="s">
        <v>7</v>
      </c>
      <c r="P908" s="6" t="str">
        <f>VLOOKUP(Tableau1[[#This Row],[SITES NAMES]],[1]Feuil1!$1:$1048576,8,FALSE)</f>
        <v>OK</v>
      </c>
      <c r="Q908" s="6" t="str">
        <f>VLOOKUP(Tableau1[[#This Row],[SITES NAMES]],[1]Feuil1!$1:$1048576,9,FALSE)</f>
        <v>NO</v>
      </c>
      <c r="R908" s="6" t="str">
        <f>VLOOKUP(Tableau1[[#This Row],[SITES NAMES]],[1]Feuil1!$1:$1048576,10,FALSE)</f>
        <v>NO</v>
      </c>
      <c r="S908" s="6" t="s">
        <v>2461</v>
      </c>
      <c r="T908" s="6" t="s">
        <v>2462</v>
      </c>
      <c r="U908" s="6" t="s">
        <v>2463</v>
      </c>
      <c r="V908" s="6" t="s">
        <v>2464</v>
      </c>
      <c r="W908" s="6" t="s">
        <v>2476</v>
      </c>
      <c r="X908" s="8"/>
      <c r="Y908" s="6" t="s">
        <v>3238</v>
      </c>
      <c r="Z908" s="6" t="s">
        <v>3257</v>
      </c>
      <c r="AA908" s="45" t="s">
        <v>3656</v>
      </c>
      <c r="AB908" s="39" t="s">
        <v>3644</v>
      </c>
      <c r="AC908" s="45" t="s">
        <v>3657</v>
      </c>
      <c r="AD908" s="37" t="s">
        <v>3658</v>
      </c>
      <c r="AE908" s="37" t="s">
        <v>3647</v>
      </c>
      <c r="AF908" s="39" t="s">
        <v>3648</v>
      </c>
      <c r="AG908" s="37" t="s">
        <v>3649</v>
      </c>
      <c r="AH908" s="37" t="s">
        <v>3659</v>
      </c>
    </row>
    <row r="909" spans="1:34" ht="14.45" hidden="1" customHeight="1" x14ac:dyDescent="0.3">
      <c r="A909" s="6" t="s">
        <v>2118</v>
      </c>
      <c r="B909" s="7">
        <v>43879</v>
      </c>
      <c r="C909" s="6" t="s">
        <v>2117</v>
      </c>
      <c r="D909" s="6" t="s">
        <v>132</v>
      </c>
      <c r="E909" s="6" t="s">
        <v>2049</v>
      </c>
      <c r="F909" s="6" t="s">
        <v>3229</v>
      </c>
      <c r="G909" s="8">
        <v>1.1874210000000001</v>
      </c>
      <c r="H909" s="8">
        <v>6.9449670000000001</v>
      </c>
      <c r="I909" s="6" t="s">
        <v>2482</v>
      </c>
      <c r="J909" s="6" t="s">
        <v>2459</v>
      </c>
      <c r="K909" s="6" t="s">
        <v>2460</v>
      </c>
      <c r="L909" s="6"/>
      <c r="M909" s="6"/>
      <c r="N909" s="6" t="s">
        <v>3268</v>
      </c>
      <c r="O909" s="6" t="s">
        <v>7</v>
      </c>
      <c r="P909" s="6" t="str">
        <f>VLOOKUP(Tableau1[[#This Row],[SITES NAMES]],[1]Feuil1!$1:$1048576,8,FALSE)</f>
        <v>OK</v>
      </c>
      <c r="Q909" s="6" t="str">
        <f>VLOOKUP(Tableau1[[#This Row],[SITES NAMES]],[1]Feuil1!$1:$1048576,9,FALSE)</f>
        <v>NO</v>
      </c>
      <c r="R909" s="6" t="str">
        <f>VLOOKUP(Tableau1[[#This Row],[SITES NAMES]],[1]Feuil1!$1:$1048576,10,FALSE)</f>
        <v>YES</v>
      </c>
      <c r="S909" s="6" t="s">
        <v>2461</v>
      </c>
      <c r="T909" s="6" t="s">
        <v>2462</v>
      </c>
      <c r="U909" s="6" t="s">
        <v>2463</v>
      </c>
      <c r="V909" s="6" t="s">
        <v>2472</v>
      </c>
      <c r="W909" s="6" t="s">
        <v>2476</v>
      </c>
      <c r="X909" s="8" t="s">
        <v>3120</v>
      </c>
      <c r="Y909" s="6" t="s">
        <v>3238</v>
      </c>
      <c r="Z909" s="6" t="s">
        <v>3257</v>
      </c>
      <c r="AA909" s="45" t="s">
        <v>3656</v>
      </c>
      <c r="AB909" s="39" t="s">
        <v>3644</v>
      </c>
      <c r="AC909" s="45" t="s">
        <v>3657</v>
      </c>
      <c r="AD909" s="37" t="s">
        <v>3658</v>
      </c>
      <c r="AE909" s="37" t="s">
        <v>3647</v>
      </c>
      <c r="AF909" s="39" t="s">
        <v>3648</v>
      </c>
      <c r="AG909" s="37" t="s">
        <v>3649</v>
      </c>
      <c r="AH909" s="37" t="s">
        <v>3659</v>
      </c>
    </row>
    <row r="910" spans="1:34" ht="14.45" hidden="1" customHeight="1" x14ac:dyDescent="0.3">
      <c r="A910" s="6" t="s">
        <v>2290</v>
      </c>
      <c r="B910" s="7">
        <v>0</v>
      </c>
      <c r="C910" s="6" t="s">
        <v>2289</v>
      </c>
      <c r="D910" s="6" t="s">
        <v>320</v>
      </c>
      <c r="E910" s="6" t="s">
        <v>2274</v>
      </c>
      <c r="F910" s="6" t="s">
        <v>3229</v>
      </c>
      <c r="G910" s="8">
        <v>1.58477</v>
      </c>
      <c r="H910" s="8">
        <v>9.0086499999999994</v>
      </c>
      <c r="I910" s="6" t="s">
        <v>2477</v>
      </c>
      <c r="J910" s="6" t="s">
        <v>2459</v>
      </c>
      <c r="K910" s="6" t="s">
        <v>2468</v>
      </c>
      <c r="L910" s="6" t="s">
        <v>3508</v>
      </c>
      <c r="M910" s="6"/>
      <c r="N910" s="6" t="s">
        <v>2468</v>
      </c>
      <c r="O910" s="6" t="s">
        <v>40</v>
      </c>
      <c r="P910" s="6" t="str">
        <f>VLOOKUP(Tableau1[[#This Row],[SITES NAMES]],[1]Feuil1!$1:$1048576,8,FALSE)</f>
        <v>OK</v>
      </c>
      <c r="Q910" s="6" t="str">
        <f>VLOOKUP(Tableau1[[#This Row],[SITES NAMES]],[1]Feuil1!$1:$1048576,9,FALSE)</f>
        <v>NO</v>
      </c>
      <c r="R910" s="6" t="str">
        <f>VLOOKUP(Tableau1[[#This Row],[SITES NAMES]],[1]Feuil1!$1:$1048576,10,FALSE)</f>
        <v>YES</v>
      </c>
      <c r="S910" s="6" t="s">
        <v>2630</v>
      </c>
      <c r="T910" s="6" t="s">
        <v>2631</v>
      </c>
      <c r="U910" s="6" t="s">
        <v>2632</v>
      </c>
      <c r="V910" s="6" t="s">
        <v>2472</v>
      </c>
      <c r="W910" s="6" t="s">
        <v>2473</v>
      </c>
      <c r="X910" s="8" t="s">
        <v>3184</v>
      </c>
      <c r="Y910" s="6" t="s">
        <v>3238</v>
      </c>
      <c r="Z910" s="6" t="s">
        <v>3254</v>
      </c>
      <c r="AA910" s="37" t="s">
        <v>3678</v>
      </c>
      <c r="AB910" s="39" t="s">
        <v>3665</v>
      </c>
      <c r="AC910" s="37" t="s">
        <v>3679</v>
      </c>
      <c r="AD910" s="37" t="s">
        <v>3678</v>
      </c>
      <c r="AE910" s="37" t="s">
        <v>3680</v>
      </c>
      <c r="AF910" s="39" t="s">
        <v>3676</v>
      </c>
      <c r="AG910" s="37" t="s">
        <v>3670</v>
      </c>
      <c r="AH910" s="37" t="s">
        <v>3681</v>
      </c>
    </row>
    <row r="911" spans="1:34" ht="14.45" hidden="1" customHeight="1" x14ac:dyDescent="0.25">
      <c r="A911" s="6" t="s">
        <v>1187</v>
      </c>
      <c r="B911" s="7">
        <v>0</v>
      </c>
      <c r="C911" s="6" t="s">
        <v>1186</v>
      </c>
      <c r="D911" s="6" t="s">
        <v>66</v>
      </c>
      <c r="E911" s="6" t="s">
        <v>1924</v>
      </c>
      <c r="F911" s="18" t="s">
        <v>3230</v>
      </c>
      <c r="G911" s="8">
        <v>1.2335750000000001</v>
      </c>
      <c r="H911" s="8">
        <v>6.1572878500000003</v>
      </c>
      <c r="I911" s="6" t="s">
        <v>2497</v>
      </c>
      <c r="J911" s="6" t="s">
        <v>2459</v>
      </c>
      <c r="K911" s="6" t="s">
        <v>2460</v>
      </c>
      <c r="L911" s="6"/>
      <c r="M911" s="6"/>
      <c r="N911" s="6" t="s">
        <v>3268</v>
      </c>
      <c r="O911" s="6" t="s">
        <v>7</v>
      </c>
      <c r="P911" s="6" t="str">
        <f>VLOOKUP(Tableau1[[#This Row],[SITES NAMES]],[1]Feuil1!$1:$1048576,8,FALSE)</f>
        <v>OK</v>
      </c>
      <c r="Q911" s="6" t="str">
        <f>VLOOKUP(Tableau1[[#This Row],[SITES NAMES]],[1]Feuil1!$1:$1048576,9,FALSE)</f>
        <v>NO</v>
      </c>
      <c r="R911" s="6" t="str">
        <f>VLOOKUP(Tableau1[[#This Row],[SITES NAMES]],[1]Feuil1!$1:$1048576,10,FALSE)</f>
        <v>NO</v>
      </c>
      <c r="S911" s="6" t="s">
        <v>2461</v>
      </c>
      <c r="T911" s="6" t="s">
        <v>2462</v>
      </c>
      <c r="U911" s="6" t="s">
        <v>2463</v>
      </c>
      <c r="V911" s="6" t="s">
        <v>2478</v>
      </c>
      <c r="W911" s="6" t="s">
        <v>2476</v>
      </c>
      <c r="X911" s="8" t="s">
        <v>2900</v>
      </c>
      <c r="Y911" s="6" t="s">
        <v>3238</v>
      </c>
      <c r="Z911" s="6" t="s">
        <v>3261</v>
      </c>
      <c r="AA911" s="35" t="s">
        <v>3607</v>
      </c>
      <c r="AB911" s="35" t="s">
        <v>3608</v>
      </c>
      <c r="AC911" s="35" t="s">
        <v>3609</v>
      </c>
      <c r="AD911" s="35" t="s">
        <v>3610</v>
      </c>
      <c r="AE911" s="35" t="s">
        <v>3610</v>
      </c>
      <c r="AF911" s="35" t="s">
        <v>3611</v>
      </c>
      <c r="AG911" s="35" t="s">
        <v>3612</v>
      </c>
      <c r="AH911" s="35" t="s">
        <v>3613</v>
      </c>
    </row>
    <row r="912" spans="1:34" ht="14.45" hidden="1" customHeight="1" x14ac:dyDescent="0.25">
      <c r="A912" s="6" t="s">
        <v>1290</v>
      </c>
      <c r="B912" s="7">
        <v>0</v>
      </c>
      <c r="C912" s="6" t="s">
        <v>1289</v>
      </c>
      <c r="D912" s="6" t="s">
        <v>66</v>
      </c>
      <c r="E912" s="6" t="s">
        <v>1924</v>
      </c>
      <c r="F912" s="6" t="s">
        <v>3229</v>
      </c>
      <c r="G912" s="8">
        <v>1.2328888899999999</v>
      </c>
      <c r="H912" s="8">
        <v>6.1670895699999999</v>
      </c>
      <c r="I912" s="6" t="s">
        <v>2497</v>
      </c>
      <c r="J912" s="6" t="s">
        <v>2459</v>
      </c>
      <c r="K912" s="6" t="s">
        <v>2460</v>
      </c>
      <c r="L912" s="6"/>
      <c r="M912" s="6"/>
      <c r="N912" s="6" t="s">
        <v>3268</v>
      </c>
      <c r="O912" s="6" t="s">
        <v>7</v>
      </c>
      <c r="P912" s="6" t="str">
        <f>VLOOKUP(Tableau1[[#This Row],[SITES NAMES]],[1]Feuil1!$1:$1048576,8,FALSE)</f>
        <v>OK</v>
      </c>
      <c r="Q912" s="6" t="str">
        <f>VLOOKUP(Tableau1[[#This Row],[SITES NAMES]],[1]Feuil1!$1:$1048576,9,FALSE)</f>
        <v>NO</v>
      </c>
      <c r="R912" s="6" t="str">
        <f>VLOOKUP(Tableau1[[#This Row],[SITES NAMES]],[1]Feuil1!$1:$1048576,10,FALSE)</f>
        <v>NO</v>
      </c>
      <c r="S912" s="6" t="s">
        <v>2461</v>
      </c>
      <c r="T912" s="6" t="s">
        <v>2462</v>
      </c>
      <c r="U912" s="6" t="s">
        <v>2463</v>
      </c>
      <c r="V912" s="6" t="s">
        <v>2478</v>
      </c>
      <c r="W912" s="6" t="s">
        <v>2476</v>
      </c>
      <c r="X912" s="8" t="s">
        <v>2920</v>
      </c>
      <c r="Y912" s="6" t="s">
        <v>3238</v>
      </c>
      <c r="Z912" s="6" t="s">
        <v>3261</v>
      </c>
      <c r="AA912" s="35" t="s">
        <v>3607</v>
      </c>
      <c r="AB912" s="35" t="s">
        <v>3608</v>
      </c>
      <c r="AC912" s="35" t="s">
        <v>3609</v>
      </c>
      <c r="AD912" s="35" t="s">
        <v>3610</v>
      </c>
      <c r="AE912" s="35" t="s">
        <v>3610</v>
      </c>
      <c r="AF912" s="35" t="s">
        <v>3611</v>
      </c>
      <c r="AG912" s="35" t="s">
        <v>3612</v>
      </c>
      <c r="AH912" s="35" t="s">
        <v>3613</v>
      </c>
    </row>
    <row r="913" spans="1:34" ht="14.45" hidden="1" customHeight="1" x14ac:dyDescent="0.25">
      <c r="A913" s="6" t="s">
        <v>1936</v>
      </c>
      <c r="B913" s="7">
        <v>0</v>
      </c>
      <c r="C913" s="6" t="s">
        <v>1935</v>
      </c>
      <c r="D913" s="6" t="s">
        <v>66</v>
      </c>
      <c r="E913" s="6" t="s">
        <v>3232</v>
      </c>
      <c r="F913" s="6" t="s">
        <v>3229</v>
      </c>
      <c r="G913" s="8">
        <v>1.200151</v>
      </c>
      <c r="H913" s="8">
        <v>6.1218680440000002</v>
      </c>
      <c r="I913" s="6" t="s">
        <v>2497</v>
      </c>
      <c r="J913" s="6" t="s">
        <v>2459</v>
      </c>
      <c r="K913" s="6" t="s">
        <v>2460</v>
      </c>
      <c r="L913" s="6"/>
      <c r="M913" s="6"/>
      <c r="N913" s="6" t="s">
        <v>3268</v>
      </c>
      <c r="O913" s="6" t="s">
        <v>7</v>
      </c>
      <c r="P913" s="6" t="str">
        <f>VLOOKUP(Tableau1[[#This Row],[SITES NAMES]],[1]Feuil1!$1:$1048576,8,FALSE)</f>
        <v>OK</v>
      </c>
      <c r="Q913" s="6" t="str">
        <f>VLOOKUP(Tableau1[[#This Row],[SITES NAMES]],[1]Feuil1!$1:$1048576,9,FALSE)</f>
        <v>NO</v>
      </c>
      <c r="R913" s="6" t="str">
        <f>VLOOKUP(Tableau1[[#This Row],[SITES NAMES]],[1]Feuil1!$1:$1048576,10,FALSE)</f>
        <v>NO</v>
      </c>
      <c r="S913" s="6" t="s">
        <v>2461</v>
      </c>
      <c r="T913" s="6" t="s">
        <v>2462</v>
      </c>
      <c r="U913" s="6" t="s">
        <v>2463</v>
      </c>
      <c r="V913" s="6" t="s">
        <v>2464</v>
      </c>
      <c r="W913" s="6" t="s">
        <v>2476</v>
      </c>
      <c r="X913" s="8" t="s">
        <v>3055</v>
      </c>
      <c r="Y913" s="6" t="s">
        <v>3238</v>
      </c>
      <c r="Z913" s="6" t="s">
        <v>3262</v>
      </c>
      <c r="AA913" s="35" t="s">
        <v>3621</v>
      </c>
      <c r="AB913" s="35" t="s">
        <v>3608</v>
      </c>
      <c r="AC913" s="35" t="s">
        <v>3624</v>
      </c>
      <c r="AD913" s="35" t="s">
        <v>3610</v>
      </c>
      <c r="AE913" s="35" t="s">
        <v>3610</v>
      </c>
      <c r="AF913" s="35" t="s">
        <v>3611</v>
      </c>
      <c r="AG913" s="35" t="s">
        <v>3612</v>
      </c>
      <c r="AH913" s="35" t="s">
        <v>3625</v>
      </c>
    </row>
    <row r="914" spans="1:34" ht="14.45" hidden="1" customHeight="1" x14ac:dyDescent="0.25">
      <c r="A914" s="6" t="s">
        <v>1938</v>
      </c>
      <c r="B914" s="7">
        <v>0</v>
      </c>
      <c r="C914" s="6" t="s">
        <v>1937</v>
      </c>
      <c r="D914" s="6" t="s">
        <v>66</v>
      </c>
      <c r="E914" s="6" t="s">
        <v>3232</v>
      </c>
      <c r="F914" s="6" t="s">
        <v>3229</v>
      </c>
      <c r="G914" s="8">
        <v>1.2026388889999999</v>
      </c>
      <c r="H914" s="8">
        <v>6.131002359</v>
      </c>
      <c r="I914" s="6" t="s">
        <v>2497</v>
      </c>
      <c r="J914" s="6" t="s">
        <v>2459</v>
      </c>
      <c r="K914" s="6" t="s">
        <v>2460</v>
      </c>
      <c r="L914" s="6"/>
      <c r="M914" s="6"/>
      <c r="N914" s="6" t="s">
        <v>3268</v>
      </c>
      <c r="O914" s="6" t="s">
        <v>7</v>
      </c>
      <c r="P914" s="6" t="str">
        <f>VLOOKUP(Tableau1[[#This Row],[SITES NAMES]],[1]Feuil1!$1:$1048576,8,FALSE)</f>
        <v>OK</v>
      </c>
      <c r="Q914" s="6" t="str">
        <f>VLOOKUP(Tableau1[[#This Row],[SITES NAMES]],[1]Feuil1!$1:$1048576,9,FALSE)</f>
        <v>NO</v>
      </c>
      <c r="R914" s="6" t="str">
        <f>VLOOKUP(Tableau1[[#This Row],[SITES NAMES]],[1]Feuil1!$1:$1048576,10,FALSE)</f>
        <v>NO</v>
      </c>
      <c r="S914" s="6" t="s">
        <v>2461</v>
      </c>
      <c r="T914" s="6" t="s">
        <v>2462</v>
      </c>
      <c r="U914" s="6" t="s">
        <v>2463</v>
      </c>
      <c r="V914" s="6" t="s">
        <v>2464</v>
      </c>
      <c r="W914" s="6" t="s">
        <v>2476</v>
      </c>
      <c r="X914" s="8" t="s">
        <v>3056</v>
      </c>
      <c r="Y914" s="6" t="s">
        <v>3238</v>
      </c>
      <c r="Z914" s="6" t="s">
        <v>3262</v>
      </c>
      <c r="AA914" s="35" t="s">
        <v>3621</v>
      </c>
      <c r="AB914" s="35" t="s">
        <v>3608</v>
      </c>
      <c r="AC914" s="35" t="s">
        <v>3624</v>
      </c>
      <c r="AD914" s="35" t="s">
        <v>3610</v>
      </c>
      <c r="AE914" s="35" t="s">
        <v>3610</v>
      </c>
      <c r="AF914" s="35" t="s">
        <v>3611</v>
      </c>
      <c r="AG914" s="35" t="s">
        <v>3612</v>
      </c>
      <c r="AH914" s="35" t="s">
        <v>3625</v>
      </c>
    </row>
    <row r="915" spans="1:34" ht="14.45" hidden="1" customHeight="1" x14ac:dyDescent="0.3">
      <c r="A915" s="6" t="s">
        <v>1133</v>
      </c>
      <c r="B915" s="7">
        <v>0</v>
      </c>
      <c r="C915" s="6" t="s">
        <v>1132</v>
      </c>
      <c r="D915" s="6" t="s">
        <v>5</v>
      </c>
      <c r="E915" s="6" t="s">
        <v>1003</v>
      </c>
      <c r="F915" s="6" t="s">
        <v>3229</v>
      </c>
      <c r="G915" s="8">
        <v>0.98456200000000005</v>
      </c>
      <c r="H915" s="8">
        <v>7.322209</v>
      </c>
      <c r="I915" s="6" t="s">
        <v>2477</v>
      </c>
      <c r="J915" s="6" t="s">
        <v>2459</v>
      </c>
      <c r="K915" s="6" t="s">
        <v>2468</v>
      </c>
      <c r="L915" s="6" t="s">
        <v>3556</v>
      </c>
      <c r="M915" s="6"/>
      <c r="N915" s="6" t="s">
        <v>2468</v>
      </c>
      <c r="O915" s="6" t="s">
        <v>40</v>
      </c>
      <c r="P915" s="6" t="str">
        <f>VLOOKUP(Tableau1[[#This Row],[SITES NAMES]],[1]Feuil1!$1:$1048576,8,FALSE)</f>
        <v>OK</v>
      </c>
      <c r="Q915" s="6" t="str">
        <f>VLOOKUP(Tableau1[[#This Row],[SITES NAMES]],[1]Feuil1!$1:$1048576,9,FALSE)</f>
        <v>NO</v>
      </c>
      <c r="R915" s="6" t="str">
        <f>VLOOKUP(Tableau1[[#This Row],[SITES NAMES]],[1]Feuil1!$1:$1048576,10,FALSE)</f>
        <v>NO</v>
      </c>
      <c r="S915" s="6" t="s">
        <v>2461</v>
      </c>
      <c r="T915" s="6" t="s">
        <v>2462</v>
      </c>
      <c r="U915" s="6" t="s">
        <v>2463</v>
      </c>
      <c r="V915" s="6" t="s">
        <v>2472</v>
      </c>
      <c r="W915" s="6" t="s">
        <v>2473</v>
      </c>
      <c r="X915" s="8" t="s">
        <v>2883</v>
      </c>
      <c r="Y915" s="6" t="s">
        <v>3241</v>
      </c>
      <c r="Z915" s="6"/>
      <c r="AA915" s="37" t="s">
        <v>3634</v>
      </c>
      <c r="AB915" s="38" t="s">
        <v>3627</v>
      </c>
      <c r="AC915" s="37" t="s">
        <v>3635</v>
      </c>
      <c r="AD915" s="37" t="s">
        <v>3636</v>
      </c>
      <c r="AE915" s="37" t="s">
        <v>3637</v>
      </c>
      <c r="AF915" s="37" t="s">
        <v>3636</v>
      </c>
      <c r="AG915" s="37" t="s">
        <v>3638</v>
      </c>
      <c r="AH915" s="37" t="s">
        <v>3639</v>
      </c>
    </row>
    <row r="916" spans="1:34" ht="14.45" hidden="1" customHeight="1" x14ac:dyDescent="0.3">
      <c r="A916" s="6" t="s">
        <v>101</v>
      </c>
      <c r="B916" s="7">
        <v>44560</v>
      </c>
      <c r="C916" s="6" t="s">
        <v>100</v>
      </c>
      <c r="D916" s="6" t="s">
        <v>5</v>
      </c>
      <c r="E916" s="6" t="s">
        <v>6</v>
      </c>
      <c r="F916" s="6" t="s">
        <v>3229</v>
      </c>
      <c r="G916" s="8">
        <v>1.4537669900000001</v>
      </c>
      <c r="H916" s="8">
        <v>6.4498829999999998</v>
      </c>
      <c r="I916" s="6" t="s">
        <v>2477</v>
      </c>
      <c r="J916" s="6" t="s">
        <v>2459</v>
      </c>
      <c r="K916" s="6" t="s">
        <v>2468</v>
      </c>
      <c r="L916" s="6" t="s">
        <v>3395</v>
      </c>
      <c r="M916" s="6"/>
      <c r="N916" s="6" t="s">
        <v>2468</v>
      </c>
      <c r="O916" s="6" t="s">
        <v>7</v>
      </c>
      <c r="P916" s="6" t="str">
        <f>VLOOKUP(Tableau1[[#This Row],[SITES NAMES]],[1]Feuil1!$1:$1048576,8,FALSE)</f>
        <v>NOK</v>
      </c>
      <c r="Q916" s="6" t="str">
        <f>VLOOKUP(Tableau1[[#This Row],[SITES NAMES]],[1]Feuil1!$1:$1048576,9,FALSE)</f>
        <v>NO</v>
      </c>
      <c r="R916" s="6" t="str">
        <f>VLOOKUP(Tableau1[[#This Row],[SITES NAMES]],[1]Feuil1!$1:$1048576,10,FALSE)</f>
        <v>YES</v>
      </c>
      <c r="S916" s="6" t="s">
        <v>2461</v>
      </c>
      <c r="T916" s="6" t="s">
        <v>2462</v>
      </c>
      <c r="U916" s="6" t="s">
        <v>2463</v>
      </c>
      <c r="V916" s="6" t="s">
        <v>2472</v>
      </c>
      <c r="W916" s="6" t="s">
        <v>2473</v>
      </c>
      <c r="X916" s="8" t="s">
        <v>2511</v>
      </c>
      <c r="Y916" s="6" t="s">
        <v>3241</v>
      </c>
      <c r="Z916" t="e">
        <f>VLOOKUP(Tableau1[[#This Row],[SITES NAMES]],#REF!,3,FALSE)</f>
        <v>#REF!</v>
      </c>
      <c r="AA916" s="37" t="s">
        <v>3626</v>
      </c>
      <c r="AB916" s="38" t="s">
        <v>3627</v>
      </c>
      <c r="AC916" s="37" t="s">
        <v>3633</v>
      </c>
      <c r="AD916" s="37" t="s">
        <v>3628</v>
      </c>
      <c r="AE916" s="37" t="s">
        <v>3629</v>
      </c>
      <c r="AF916" s="39" t="s">
        <v>3630</v>
      </c>
      <c r="AG916" s="37" t="s">
        <v>3631</v>
      </c>
      <c r="AH916" s="37" t="s">
        <v>3632</v>
      </c>
    </row>
    <row r="917" spans="1:34" ht="14.45" hidden="1" customHeight="1" x14ac:dyDescent="0.3">
      <c r="A917" s="6" t="s">
        <v>1135</v>
      </c>
      <c r="B917" s="7">
        <v>45282</v>
      </c>
      <c r="C917" s="6" t="s">
        <v>1134</v>
      </c>
      <c r="D917" s="6" t="s">
        <v>5</v>
      </c>
      <c r="E917" s="6" t="s">
        <v>1003</v>
      </c>
      <c r="F917" s="6" t="s">
        <v>3229</v>
      </c>
      <c r="G917" s="8">
        <v>0.58018000000000003</v>
      </c>
      <c r="H917" s="8">
        <v>6.7744499999999999</v>
      </c>
      <c r="I917" s="6" t="s">
        <v>2477</v>
      </c>
      <c r="J917" s="6" t="s">
        <v>2459</v>
      </c>
      <c r="K917" s="6" t="s">
        <v>2468</v>
      </c>
      <c r="L917" s="6" t="s">
        <v>3557</v>
      </c>
      <c r="M917" s="6"/>
      <c r="N917" s="6" t="s">
        <v>2468</v>
      </c>
      <c r="O917" s="6" t="s">
        <v>7</v>
      </c>
      <c r="P917" s="6" t="str">
        <f>VLOOKUP(Tableau1[[#This Row],[SITES NAMES]],[1]Feuil1!$1:$1048576,8,FALSE)</f>
        <v>OK</v>
      </c>
      <c r="Q917" s="6" t="str">
        <f>VLOOKUP(Tableau1[[#This Row],[SITES NAMES]],[1]Feuil1!$1:$1048576,9,FALSE)</f>
        <v>NO</v>
      </c>
      <c r="R917" s="6" t="str">
        <f>VLOOKUP(Tableau1[[#This Row],[SITES NAMES]],[1]Feuil1!$1:$1048576,10,FALSE)</f>
        <v>NO</v>
      </c>
      <c r="S917" s="6" t="s">
        <v>2461</v>
      </c>
      <c r="T917" s="6" t="s">
        <v>2462</v>
      </c>
      <c r="U917" s="6" t="s">
        <v>2463</v>
      </c>
      <c r="V917" s="6" t="s">
        <v>2472</v>
      </c>
      <c r="W917" s="6" t="s">
        <v>2654</v>
      </c>
      <c r="X917" s="8">
        <v>70997367</v>
      </c>
      <c r="Y917" s="6" t="s">
        <v>3241</v>
      </c>
      <c r="Z917" s="6"/>
      <c r="AA917" s="37" t="s">
        <v>3634</v>
      </c>
      <c r="AB917" s="38" t="s">
        <v>3627</v>
      </c>
      <c r="AC917" s="37" t="s">
        <v>3635</v>
      </c>
      <c r="AD917" s="37" t="s">
        <v>3636</v>
      </c>
      <c r="AE917" s="37" t="s">
        <v>3637</v>
      </c>
      <c r="AF917" s="37" t="s">
        <v>3636</v>
      </c>
      <c r="AG917" s="37" t="s">
        <v>3638</v>
      </c>
      <c r="AH917" s="37" t="s">
        <v>3639</v>
      </c>
    </row>
    <row r="918" spans="1:34" ht="14.45" hidden="1" customHeight="1" x14ac:dyDescent="0.3">
      <c r="A918" s="6" t="s">
        <v>614</v>
      </c>
      <c r="B918" s="7">
        <v>0</v>
      </c>
      <c r="C918" s="6" t="s">
        <v>613</v>
      </c>
      <c r="D918" s="6" t="s">
        <v>132</v>
      </c>
      <c r="E918" s="6" t="s">
        <v>565</v>
      </c>
      <c r="F918" s="6" t="s">
        <v>3229</v>
      </c>
      <c r="G918" s="8">
        <v>1.423</v>
      </c>
      <c r="H918" s="8">
        <v>8.0456199999999995</v>
      </c>
      <c r="I918" s="14" t="s">
        <v>2477</v>
      </c>
      <c r="J918" s="6" t="s">
        <v>2459</v>
      </c>
      <c r="K918" s="6" t="s">
        <v>2468</v>
      </c>
      <c r="L918" s="6" t="s">
        <v>3483</v>
      </c>
      <c r="M918" s="6"/>
      <c r="N918" s="6" t="s">
        <v>2468</v>
      </c>
      <c r="O918" s="6" t="s">
        <v>40</v>
      </c>
      <c r="P918" s="6" t="str">
        <f>VLOOKUP(Tableau1[[#This Row],[SITES NAMES]],[1]Feuil1!$1:$1048576,8,FALSE)</f>
        <v>NOK</v>
      </c>
      <c r="Q918" s="6" t="str">
        <f>VLOOKUP(Tableau1[[#This Row],[SITES NAMES]],[1]Feuil1!$1:$1048576,9,FALSE)</f>
        <v>NO</v>
      </c>
      <c r="R918" s="6" t="str">
        <f>VLOOKUP(Tableau1[[#This Row],[SITES NAMES]],[1]Feuil1!$1:$1048576,10,FALSE)</f>
        <v>NO</v>
      </c>
      <c r="S918" s="6" t="s">
        <v>2461</v>
      </c>
      <c r="T918" s="6" t="s">
        <v>2462</v>
      </c>
      <c r="U918" s="6" t="s">
        <v>2463</v>
      </c>
      <c r="V918" s="6" t="s">
        <v>2472</v>
      </c>
      <c r="W918" s="6" t="s">
        <v>2473</v>
      </c>
      <c r="X918" s="8" t="s">
        <v>2698</v>
      </c>
      <c r="Y918" s="6" t="s">
        <v>3238</v>
      </c>
      <c r="Z918" s="6"/>
      <c r="AA918" s="37" t="s">
        <v>3660</v>
      </c>
      <c r="AB918" s="39" t="s">
        <v>3644</v>
      </c>
      <c r="AC918" s="37" t="s">
        <v>3661</v>
      </c>
      <c r="AD918" s="39" t="s">
        <v>3646</v>
      </c>
      <c r="AE918" s="39" t="s">
        <v>3647</v>
      </c>
      <c r="AF918" s="39" t="s">
        <v>3662</v>
      </c>
      <c r="AG918" s="37" t="s">
        <v>3649</v>
      </c>
      <c r="AH918" s="37" t="s">
        <v>3663</v>
      </c>
    </row>
    <row r="919" spans="1:34" ht="14.45" hidden="1" customHeight="1" x14ac:dyDescent="0.3">
      <c r="A919" s="6" t="s">
        <v>1137</v>
      </c>
      <c r="B919" s="7" t="s">
        <v>2884</v>
      </c>
      <c r="C919" s="6" t="s">
        <v>1136</v>
      </c>
      <c r="D919" s="6" t="s">
        <v>5</v>
      </c>
      <c r="E919" s="6" t="s">
        <v>1003</v>
      </c>
      <c r="F919" s="6" t="s">
        <v>3229</v>
      </c>
      <c r="G919" s="8">
        <v>0.80519399999999997</v>
      </c>
      <c r="H919" s="8">
        <v>7.3694860000000002</v>
      </c>
      <c r="I919" s="14" t="s">
        <v>2477</v>
      </c>
      <c r="J919" s="6" t="s">
        <v>2459</v>
      </c>
      <c r="K919" s="6" t="s">
        <v>2468</v>
      </c>
      <c r="L919" s="6" t="s">
        <v>3558</v>
      </c>
      <c r="M919" s="6"/>
      <c r="N919" s="6" t="s">
        <v>2468</v>
      </c>
      <c r="O919" s="6" t="s">
        <v>40</v>
      </c>
      <c r="P919" s="6" t="str">
        <f>VLOOKUP(Tableau1[[#This Row],[SITES NAMES]],[1]Feuil1!$1:$1048576,8,FALSE)</f>
        <v>OK</v>
      </c>
      <c r="Q919" s="6" t="str">
        <f>VLOOKUP(Tableau1[[#This Row],[SITES NAMES]],[1]Feuil1!$1:$1048576,9,FALSE)</f>
        <v>NO</v>
      </c>
      <c r="R919" s="6" t="str">
        <f>VLOOKUP(Tableau1[[#This Row],[SITES NAMES]],[1]Feuil1!$1:$1048576,10,FALSE)</f>
        <v>YES</v>
      </c>
      <c r="S919" s="6" t="s">
        <v>2469</v>
      </c>
      <c r="T919" s="6" t="s">
        <v>2470</v>
      </c>
      <c r="U919" s="6" t="s">
        <v>2480</v>
      </c>
      <c r="V919" s="6" t="s">
        <v>2472</v>
      </c>
      <c r="W919" s="6" t="s">
        <v>2473</v>
      </c>
      <c r="X919" s="8" t="s">
        <v>2885</v>
      </c>
      <c r="Y919" s="6" t="s">
        <v>3241</v>
      </c>
      <c r="Z919" s="6"/>
      <c r="AA919" s="37" t="s">
        <v>3634</v>
      </c>
      <c r="AB919" s="38" t="s">
        <v>3627</v>
      </c>
      <c r="AC919" s="37" t="s">
        <v>3635</v>
      </c>
      <c r="AD919" s="37" t="s">
        <v>3636</v>
      </c>
      <c r="AE919" s="37" t="s">
        <v>3637</v>
      </c>
      <c r="AF919" s="37" t="s">
        <v>3636</v>
      </c>
      <c r="AG919" s="37" t="s">
        <v>3638</v>
      </c>
      <c r="AH919" s="37" t="s">
        <v>3639</v>
      </c>
    </row>
    <row r="920" spans="1:34" ht="14.45" hidden="1" customHeight="1" x14ac:dyDescent="0.3">
      <c r="A920" s="6" t="s">
        <v>462</v>
      </c>
      <c r="B920" s="7">
        <v>43868</v>
      </c>
      <c r="C920" s="6" t="s">
        <v>461</v>
      </c>
      <c r="D920" s="6" t="s">
        <v>395</v>
      </c>
      <c r="E920" s="6" t="s">
        <v>396</v>
      </c>
      <c r="F920" s="6" t="s">
        <v>3229</v>
      </c>
      <c r="G920" s="8">
        <v>0.47344000000000003</v>
      </c>
      <c r="H920" s="8">
        <v>10.74375</v>
      </c>
      <c r="I920" s="6" t="s">
        <v>2477</v>
      </c>
      <c r="J920" s="6" t="s">
        <v>2459</v>
      </c>
      <c r="K920" s="6" t="s">
        <v>2468</v>
      </c>
      <c r="L920" s="6" t="s">
        <v>3389</v>
      </c>
      <c r="M920" s="6"/>
      <c r="N920" s="6" t="s">
        <v>2468</v>
      </c>
      <c r="O920" s="6" t="s">
        <v>7</v>
      </c>
      <c r="P920" s="6" t="str">
        <f>VLOOKUP(Tableau1[[#This Row],[SITES NAMES]],[1]Feuil1!$1:$1048576,8,FALSE)</f>
        <v>OK</v>
      </c>
      <c r="Q920" s="6" t="str">
        <f>VLOOKUP(Tableau1[[#This Row],[SITES NAMES]],[1]Feuil1!$1:$1048576,9,FALSE)</f>
        <v>NO</v>
      </c>
      <c r="R920" s="6" t="str">
        <f>VLOOKUP(Tableau1[[#This Row],[SITES NAMES]],[1]Feuil1!$1:$1048576,10,FALSE)</f>
        <v>YES</v>
      </c>
      <c r="S920" s="6" t="s">
        <v>2469</v>
      </c>
      <c r="T920" s="6" t="s">
        <v>2470</v>
      </c>
      <c r="U920" s="6" t="s">
        <v>2480</v>
      </c>
      <c r="V920" s="6" t="s">
        <v>2472</v>
      </c>
      <c r="W920" s="6" t="s">
        <v>2473</v>
      </c>
      <c r="X920" s="8" t="s">
        <v>2649</v>
      </c>
      <c r="Y920" s="6" t="s">
        <v>3240</v>
      </c>
      <c r="Z920" s="6" t="s">
        <v>3255</v>
      </c>
      <c r="AA920" s="37" t="s">
        <v>3704</v>
      </c>
      <c r="AB920" s="39" t="s">
        <v>3705</v>
      </c>
      <c r="AC920" s="37" t="s">
        <v>3706</v>
      </c>
      <c r="AD920" s="37" t="s">
        <v>3707</v>
      </c>
      <c r="AE920" s="37" t="s">
        <v>3708</v>
      </c>
      <c r="AF920" s="37" t="s">
        <v>3709</v>
      </c>
      <c r="AG920" s="46" t="s">
        <v>3710</v>
      </c>
      <c r="AH920" s="37" t="s">
        <v>3711</v>
      </c>
    </row>
    <row r="921" spans="1:34" ht="14.45" hidden="1" customHeight="1" x14ac:dyDescent="0.3">
      <c r="A921" s="6" t="s">
        <v>236</v>
      </c>
      <c r="B921" s="7">
        <v>43881</v>
      </c>
      <c r="C921" s="6" t="s">
        <v>235</v>
      </c>
      <c r="D921" s="6" t="s">
        <v>132</v>
      </c>
      <c r="E921" s="6" t="s">
        <v>133</v>
      </c>
      <c r="F921" s="6" t="s">
        <v>3229</v>
      </c>
      <c r="G921" s="8">
        <v>1.487269</v>
      </c>
      <c r="H921" s="8">
        <v>7.4664570000000001</v>
      </c>
      <c r="I921" s="6" t="s">
        <v>2477</v>
      </c>
      <c r="J921" s="6" t="s">
        <v>2459</v>
      </c>
      <c r="K921" s="6" t="s">
        <v>2468</v>
      </c>
      <c r="L921" s="6" t="s">
        <v>137</v>
      </c>
      <c r="M921" s="6"/>
      <c r="N921" s="6" t="s">
        <v>2468</v>
      </c>
      <c r="O921" s="6" t="s">
        <v>40</v>
      </c>
      <c r="P921" s="6" t="str">
        <f>VLOOKUP(Tableau1[[#This Row],[SITES NAMES]],[1]Feuil1!$1:$1048576,8,FALSE)</f>
        <v>OK</v>
      </c>
      <c r="Q921" s="6" t="str">
        <f>VLOOKUP(Tableau1[[#This Row],[SITES NAMES]],[1]Feuil1!$1:$1048576,9,FALSE)</f>
        <v>NO</v>
      </c>
      <c r="R921" s="6" t="str">
        <f>VLOOKUP(Tableau1[[#This Row],[SITES NAMES]],[1]Feuil1!$1:$1048576,10,FALSE)</f>
        <v>NO</v>
      </c>
      <c r="S921" s="6" t="s">
        <v>2469</v>
      </c>
      <c r="T921" s="6" t="s">
        <v>2470</v>
      </c>
      <c r="U921" s="6" t="s">
        <v>2480</v>
      </c>
      <c r="V921" s="6" t="s">
        <v>2472</v>
      </c>
      <c r="W921" s="6" t="s">
        <v>2473</v>
      </c>
      <c r="X921" s="8" t="s">
        <v>2560</v>
      </c>
      <c r="Y921" s="6" t="s">
        <v>3238</v>
      </c>
      <c r="Z921" s="6" t="s">
        <v>3258</v>
      </c>
      <c r="AA921" s="37" t="s">
        <v>3643</v>
      </c>
      <c r="AB921" s="39" t="s">
        <v>3644</v>
      </c>
      <c r="AC921" s="37" t="s">
        <v>3645</v>
      </c>
      <c r="AD921" s="39" t="s">
        <v>3646</v>
      </c>
      <c r="AE921" s="39" t="s">
        <v>3647</v>
      </c>
      <c r="AF921" s="39" t="s">
        <v>3648</v>
      </c>
      <c r="AG921" s="37" t="s">
        <v>3649</v>
      </c>
      <c r="AH921" s="37" t="s">
        <v>3650</v>
      </c>
    </row>
    <row r="922" spans="1:34" ht="14.45" hidden="1" customHeight="1" x14ac:dyDescent="0.3">
      <c r="A922" s="6" t="s">
        <v>616</v>
      </c>
      <c r="B922" s="7">
        <v>44860</v>
      </c>
      <c r="C922" s="6" t="s">
        <v>615</v>
      </c>
      <c r="D922" s="6" t="s">
        <v>132</v>
      </c>
      <c r="E922" s="6" t="s">
        <v>565</v>
      </c>
      <c r="F922" s="6" t="s">
        <v>3229</v>
      </c>
      <c r="G922" s="8">
        <v>1.3585400000000001</v>
      </c>
      <c r="H922" s="8">
        <v>7.9240399999999998</v>
      </c>
      <c r="I922" s="6" t="s">
        <v>2477</v>
      </c>
      <c r="J922" s="6" t="s">
        <v>2459</v>
      </c>
      <c r="K922" s="6" t="s">
        <v>2468</v>
      </c>
      <c r="L922" s="6" t="s">
        <v>3559</v>
      </c>
      <c r="M922" s="6"/>
      <c r="N922" s="6" t="s">
        <v>2468</v>
      </c>
      <c r="O922" s="6" t="s">
        <v>37</v>
      </c>
      <c r="P922" s="6" t="str">
        <f>VLOOKUP(Tableau1[[#This Row],[SITES NAMES]],[1]Feuil1!$1:$1048576,8,FALSE)</f>
        <v>OK</v>
      </c>
      <c r="Q922" s="6" t="str">
        <f>VLOOKUP(Tableau1[[#This Row],[SITES NAMES]],[1]Feuil1!$1:$1048576,9,FALSE)</f>
        <v>NO</v>
      </c>
      <c r="R922" s="6" t="str">
        <f>VLOOKUP(Tableau1[[#This Row],[SITES NAMES]],[1]Feuil1!$1:$1048576,10,FALSE)</f>
        <v>YES</v>
      </c>
      <c r="S922" s="6" t="s">
        <v>2469</v>
      </c>
      <c r="T922" s="6" t="s">
        <v>2470</v>
      </c>
      <c r="U922" s="6" t="s">
        <v>2480</v>
      </c>
      <c r="V922" s="6" t="s">
        <v>2472</v>
      </c>
      <c r="W922" s="6" t="s">
        <v>2473</v>
      </c>
      <c r="X922" s="8"/>
      <c r="Y922" s="6" t="s">
        <v>3238</v>
      </c>
      <c r="Z922" s="6"/>
      <c r="AA922" s="37" t="s">
        <v>3660</v>
      </c>
      <c r="AB922" s="39" t="s">
        <v>3644</v>
      </c>
      <c r="AC922" s="37" t="s">
        <v>3661</v>
      </c>
      <c r="AD922" s="39" t="s">
        <v>3646</v>
      </c>
      <c r="AE922" s="39" t="s">
        <v>3647</v>
      </c>
      <c r="AF922" s="39" t="s">
        <v>3662</v>
      </c>
      <c r="AG922" s="37" t="s">
        <v>3649</v>
      </c>
      <c r="AH922" s="37" t="s">
        <v>3663</v>
      </c>
    </row>
    <row r="923" spans="1:34" ht="14.45" hidden="1" customHeight="1" x14ac:dyDescent="0.3">
      <c r="A923" s="6" t="s">
        <v>618</v>
      </c>
      <c r="B923" s="7">
        <v>0</v>
      </c>
      <c r="C923" s="6" t="s">
        <v>617</v>
      </c>
      <c r="D923" s="6" t="s">
        <v>132</v>
      </c>
      <c r="E923" s="6" t="s">
        <v>565</v>
      </c>
      <c r="F923" s="6" t="s">
        <v>3229</v>
      </c>
      <c r="G923" s="8">
        <v>1.42825</v>
      </c>
      <c r="H923" s="8">
        <v>7.7305400000000004</v>
      </c>
      <c r="I923" s="6" t="s">
        <v>2486</v>
      </c>
      <c r="J923" s="6" t="s">
        <v>2459</v>
      </c>
      <c r="K923" s="6" t="s">
        <v>2460</v>
      </c>
      <c r="L923" s="6"/>
      <c r="M923" s="6"/>
      <c r="N923" s="6" t="s">
        <v>3268</v>
      </c>
      <c r="O923" s="6" t="s">
        <v>40</v>
      </c>
      <c r="P923" s="6" t="str">
        <f>VLOOKUP(Tableau1[[#This Row],[SITES NAMES]],[1]Feuil1!$1:$1048576,8,FALSE)</f>
        <v>OK</v>
      </c>
      <c r="Q923" s="6" t="str">
        <f>VLOOKUP(Tableau1[[#This Row],[SITES NAMES]],[1]Feuil1!$1:$1048576,9,FALSE)</f>
        <v>NO</v>
      </c>
      <c r="R923" s="6" t="str">
        <f>VLOOKUP(Tableau1[[#This Row],[SITES NAMES]],[1]Feuil1!$1:$1048576,10,FALSE)</f>
        <v>NO</v>
      </c>
      <c r="S923" s="6" t="s">
        <v>2469</v>
      </c>
      <c r="T923" s="6" t="s">
        <v>2470</v>
      </c>
      <c r="U923" s="6" t="s">
        <v>2480</v>
      </c>
      <c r="V923" s="6" t="s">
        <v>2472</v>
      </c>
      <c r="W923" s="6" t="s">
        <v>2473</v>
      </c>
      <c r="X923" s="8" t="s">
        <v>2699</v>
      </c>
      <c r="Y923" s="6" t="s">
        <v>3238</v>
      </c>
      <c r="Z923" s="6"/>
      <c r="AA923" s="37" t="s">
        <v>3660</v>
      </c>
      <c r="AB923" s="39" t="s">
        <v>3644</v>
      </c>
      <c r="AC923" s="37" t="s">
        <v>3661</v>
      </c>
      <c r="AD923" s="39" t="s">
        <v>3646</v>
      </c>
      <c r="AE923" s="39" t="s">
        <v>3647</v>
      </c>
      <c r="AF923" s="39" t="s">
        <v>3662</v>
      </c>
      <c r="AG923" s="37" t="s">
        <v>3649</v>
      </c>
      <c r="AH923" s="37" t="s">
        <v>3663</v>
      </c>
    </row>
    <row r="924" spans="1:34" ht="14.45" hidden="1" customHeight="1" x14ac:dyDescent="0.3">
      <c r="A924" s="6" t="s">
        <v>271</v>
      </c>
      <c r="B924" s="7">
        <v>0</v>
      </c>
      <c r="C924" s="6" t="s">
        <v>270</v>
      </c>
      <c r="D924" s="6" t="s">
        <v>132</v>
      </c>
      <c r="E924" s="6" t="s">
        <v>251</v>
      </c>
      <c r="F924" s="6" t="s">
        <v>3229</v>
      </c>
      <c r="G924" s="8">
        <v>0.85251999999999994</v>
      </c>
      <c r="H924" s="8">
        <v>7.5708200000000003</v>
      </c>
      <c r="I924" s="6" t="s">
        <v>2477</v>
      </c>
      <c r="J924" s="6" t="s">
        <v>2459</v>
      </c>
      <c r="K924" s="6" t="s">
        <v>2460</v>
      </c>
      <c r="L924" s="6"/>
      <c r="M924" s="6"/>
      <c r="N924" s="6" t="s">
        <v>3268</v>
      </c>
      <c r="O924" s="6" t="s">
        <v>40</v>
      </c>
      <c r="P924" s="6" t="str">
        <f>VLOOKUP(Tableau1[[#This Row],[SITES NAMES]],[1]Feuil1!$1:$1048576,8,FALSE)</f>
        <v>NOK</v>
      </c>
      <c r="Q924" s="6" t="str">
        <f>VLOOKUP(Tableau1[[#This Row],[SITES NAMES]],[1]Feuil1!$1:$1048576,9,FALSE)</f>
        <v>NO</v>
      </c>
      <c r="R924" s="6" t="str">
        <f>VLOOKUP(Tableau1[[#This Row],[SITES NAMES]],[1]Feuil1!$1:$1048576,10,FALSE)</f>
        <v>YES</v>
      </c>
      <c r="S924" s="6" t="s">
        <v>2469</v>
      </c>
      <c r="T924" s="6" t="s">
        <v>2470</v>
      </c>
      <c r="U924" s="6" t="s">
        <v>2480</v>
      </c>
      <c r="V924" s="6" t="s">
        <v>2472</v>
      </c>
      <c r="W924" s="6" t="s">
        <v>2473</v>
      </c>
      <c r="X924" s="8" t="s">
        <v>2575</v>
      </c>
      <c r="Y924" s="6" t="s">
        <v>3238</v>
      </c>
      <c r="Z924" s="6" t="s">
        <v>3256</v>
      </c>
      <c r="AA924" s="37" t="s">
        <v>3651</v>
      </c>
      <c r="AB924" s="39" t="s">
        <v>3644</v>
      </c>
      <c r="AC924" s="45" t="s">
        <v>3652</v>
      </c>
      <c r="AD924" s="39" t="s">
        <v>3646</v>
      </c>
      <c r="AE924" s="37" t="s">
        <v>3653</v>
      </c>
      <c r="AF924" s="37" t="s">
        <v>3654</v>
      </c>
      <c r="AG924" s="37" t="s">
        <v>3649</v>
      </c>
      <c r="AH924" s="37" t="s">
        <v>3655</v>
      </c>
    </row>
    <row r="925" spans="1:34" ht="14.45" hidden="1" customHeight="1" x14ac:dyDescent="0.3">
      <c r="A925" s="6" t="s">
        <v>313</v>
      </c>
      <c r="B925" s="7">
        <v>44788</v>
      </c>
      <c r="C925" s="6" t="s">
        <v>312</v>
      </c>
      <c r="D925" s="6" t="s">
        <v>132</v>
      </c>
      <c r="E925" s="6" t="s">
        <v>251</v>
      </c>
      <c r="F925" s="6" t="s">
        <v>3229</v>
      </c>
      <c r="G925" s="8">
        <v>1.01948299</v>
      </c>
      <c r="H925" s="8">
        <v>7.6113829900000001</v>
      </c>
      <c r="I925" s="6" t="s">
        <v>2477</v>
      </c>
      <c r="J925" s="6" t="s">
        <v>2459</v>
      </c>
      <c r="K925" s="6" t="s">
        <v>2468</v>
      </c>
      <c r="L925" s="6"/>
      <c r="M925" s="6"/>
      <c r="N925" s="6" t="s">
        <v>2468</v>
      </c>
      <c r="O925" s="6" t="s">
        <v>40</v>
      </c>
      <c r="P925" s="6" t="str">
        <f>VLOOKUP(Tableau1[[#This Row],[SITES NAMES]],[1]Feuil1!$1:$1048576,8,FALSE)</f>
        <v>OK</v>
      </c>
      <c r="Q925" s="6" t="str">
        <f>VLOOKUP(Tableau1[[#This Row],[SITES NAMES]],[1]Feuil1!$1:$1048576,9,FALSE)</f>
        <v>NO</v>
      </c>
      <c r="R925" s="6" t="str">
        <f>VLOOKUP(Tableau1[[#This Row],[SITES NAMES]],[1]Feuil1!$1:$1048576,10,FALSE)</f>
        <v>NO</v>
      </c>
      <c r="S925" s="6" t="s">
        <v>2469</v>
      </c>
      <c r="T925" s="6" t="s">
        <v>2470</v>
      </c>
      <c r="U925" s="6" t="s">
        <v>2480</v>
      </c>
      <c r="V925" s="6" t="s">
        <v>2472</v>
      </c>
      <c r="W925" s="6" t="s">
        <v>2473</v>
      </c>
      <c r="X925" s="8" t="s">
        <v>2588</v>
      </c>
      <c r="Y925" s="6" t="s">
        <v>3238</v>
      </c>
      <c r="Z925" s="6" t="s">
        <v>3256</v>
      </c>
      <c r="AA925" s="37" t="s">
        <v>3651</v>
      </c>
      <c r="AB925" s="39" t="s">
        <v>3644</v>
      </c>
      <c r="AC925" s="45" t="s">
        <v>3652</v>
      </c>
      <c r="AD925" s="39" t="s">
        <v>3646</v>
      </c>
      <c r="AE925" s="37" t="s">
        <v>3653</v>
      </c>
      <c r="AF925" s="37" t="s">
        <v>3654</v>
      </c>
      <c r="AG925" s="37" t="s">
        <v>3649</v>
      </c>
      <c r="AH925" s="37" t="s">
        <v>3655</v>
      </c>
    </row>
    <row r="926" spans="1:34" ht="14.45" hidden="1" customHeight="1" x14ac:dyDescent="0.25">
      <c r="A926" s="6" t="s">
        <v>1940</v>
      </c>
      <c r="B926" s="7">
        <v>0</v>
      </c>
      <c r="C926" s="6" t="s">
        <v>1939</v>
      </c>
      <c r="D926" s="6" t="s">
        <v>66</v>
      </c>
      <c r="E926" s="6" t="s">
        <v>3232</v>
      </c>
      <c r="F926" s="6" t="s">
        <v>3229</v>
      </c>
      <c r="G926" s="8">
        <v>1.2107349999999999</v>
      </c>
      <c r="H926" s="8">
        <v>6.119872</v>
      </c>
      <c r="I926" s="6" t="s">
        <v>2497</v>
      </c>
      <c r="J926" s="6" t="s">
        <v>2459</v>
      </c>
      <c r="K926" s="6" t="s">
        <v>2460</v>
      </c>
      <c r="L926" s="6"/>
      <c r="M926" s="6"/>
      <c r="N926" s="6" t="s">
        <v>3268</v>
      </c>
      <c r="O926" s="6" t="s">
        <v>1206</v>
      </c>
      <c r="P926" s="6"/>
      <c r="Q926" s="6" t="str">
        <f>VLOOKUP(Tableau1[[#This Row],[SITES NAMES]],[1]Feuil1!$1:$1048576,9,FALSE)</f>
        <v>YES</v>
      </c>
      <c r="R926" s="6" t="str">
        <f>VLOOKUP(Tableau1[[#This Row],[SITES NAMES]],[1]Feuil1!$1:$1048576,10,FALSE)</f>
        <v>YES</v>
      </c>
      <c r="S926" s="6" t="s">
        <v>2461</v>
      </c>
      <c r="T926" s="6" t="s">
        <v>2470</v>
      </c>
      <c r="U926" s="6" t="s">
        <v>2463</v>
      </c>
      <c r="V926" s="6" t="s">
        <v>2498</v>
      </c>
      <c r="W926" s="6" t="s">
        <v>2476</v>
      </c>
      <c r="X926" s="8" t="s">
        <v>3057</v>
      </c>
      <c r="Y926" s="6" t="s">
        <v>3238</v>
      </c>
      <c r="Z926" s="6" t="s">
        <v>3262</v>
      </c>
      <c r="AA926" s="35" t="s">
        <v>3621</v>
      </c>
      <c r="AB926" s="35" t="s">
        <v>3608</v>
      </c>
      <c r="AC926" s="35" t="s">
        <v>3624</v>
      </c>
      <c r="AD926" s="35" t="s">
        <v>3610</v>
      </c>
      <c r="AE926" s="35" t="s">
        <v>3610</v>
      </c>
      <c r="AF926" s="35" t="s">
        <v>3611</v>
      </c>
      <c r="AG926" s="35" t="s">
        <v>3612</v>
      </c>
      <c r="AH926" s="35" t="s">
        <v>3625</v>
      </c>
    </row>
    <row r="927" spans="1:34" ht="14.45" hidden="1" customHeight="1" x14ac:dyDescent="0.3">
      <c r="A927" s="6" t="s">
        <v>571</v>
      </c>
      <c r="B927" s="7">
        <v>43899</v>
      </c>
      <c r="C927" s="6" t="s">
        <v>570</v>
      </c>
      <c r="D927" s="6" t="s">
        <v>132</v>
      </c>
      <c r="E927" s="6" t="s">
        <v>565</v>
      </c>
      <c r="F927" s="6" t="s">
        <v>3229</v>
      </c>
      <c r="G927" s="8">
        <v>1.481228</v>
      </c>
      <c r="H927" s="8">
        <v>8.0733829999999998</v>
      </c>
      <c r="I927" s="6" t="s">
        <v>2482</v>
      </c>
      <c r="J927" s="6" t="s">
        <v>2459</v>
      </c>
      <c r="K927" s="6" t="s">
        <v>2468</v>
      </c>
      <c r="L927" s="6" t="s">
        <v>614</v>
      </c>
      <c r="M927" s="6"/>
      <c r="N927" s="6" t="s">
        <v>2468</v>
      </c>
      <c r="O927" s="6" t="s">
        <v>37</v>
      </c>
      <c r="P927" s="6" t="str">
        <f>VLOOKUP(Tableau1[[#This Row],[SITES NAMES]],[1]Feuil1!$1:$1048576,8,FALSE)</f>
        <v>OK</v>
      </c>
      <c r="Q927" s="6" t="str">
        <f>VLOOKUP(Tableau1[[#This Row],[SITES NAMES]],[1]Feuil1!$1:$1048576,9,FALSE)</f>
        <v>YES</v>
      </c>
      <c r="R927" s="6" t="str">
        <f>VLOOKUP(Tableau1[[#This Row],[SITES NAMES]],[1]Feuil1!$1:$1048576,10,FALSE)</f>
        <v>NO</v>
      </c>
      <c r="S927" s="6" t="s">
        <v>2469</v>
      </c>
      <c r="T927" s="6" t="s">
        <v>2470</v>
      </c>
      <c r="U927" s="6" t="s">
        <v>2471</v>
      </c>
      <c r="V927" s="6" t="s">
        <v>2472</v>
      </c>
      <c r="W927" s="6" t="s">
        <v>2473</v>
      </c>
      <c r="X927" s="8" t="s">
        <v>2682</v>
      </c>
      <c r="Y927" s="6" t="s">
        <v>3238</v>
      </c>
      <c r="Z927" s="6"/>
      <c r="AA927" s="37" t="s">
        <v>3660</v>
      </c>
      <c r="AB927" s="39" t="s">
        <v>3644</v>
      </c>
      <c r="AC927" s="37" t="s">
        <v>3661</v>
      </c>
      <c r="AD927" s="39" t="s">
        <v>3646</v>
      </c>
      <c r="AE927" s="39" t="s">
        <v>3647</v>
      </c>
      <c r="AF927" s="39" t="s">
        <v>3662</v>
      </c>
      <c r="AG927" s="37" t="s">
        <v>3649</v>
      </c>
      <c r="AH927" s="37" t="s">
        <v>3663</v>
      </c>
    </row>
    <row r="928" spans="1:34" ht="14.45" hidden="1" customHeight="1" x14ac:dyDescent="0.3">
      <c r="A928" s="6" t="s">
        <v>1139</v>
      </c>
      <c r="B928" s="7">
        <v>43925</v>
      </c>
      <c r="C928" s="6" t="s">
        <v>1138</v>
      </c>
      <c r="D928" s="6" t="s">
        <v>5</v>
      </c>
      <c r="E928" s="6" t="s">
        <v>1003</v>
      </c>
      <c r="F928" s="6" t="s">
        <v>3229</v>
      </c>
      <c r="G928" s="8">
        <v>0.78869</v>
      </c>
      <c r="H928" s="8">
        <v>7.3277099999999997</v>
      </c>
      <c r="I928" s="6" t="s">
        <v>2477</v>
      </c>
      <c r="J928" s="6" t="s">
        <v>2459</v>
      </c>
      <c r="K928" s="6" t="s">
        <v>2468</v>
      </c>
      <c r="L928" s="6" t="s">
        <v>3560</v>
      </c>
      <c r="M928" s="6"/>
      <c r="N928" s="6" t="s">
        <v>2468</v>
      </c>
      <c r="O928" s="6" t="s">
        <v>40</v>
      </c>
      <c r="P928" s="6" t="str">
        <f>VLOOKUP(Tableau1[[#This Row],[SITES NAMES]],[1]Feuil1!$1:$1048576,8,FALSE)</f>
        <v>OK</v>
      </c>
      <c r="Q928" s="6" t="str">
        <f>VLOOKUP(Tableau1[[#This Row],[SITES NAMES]],[1]Feuil1!$1:$1048576,9,FALSE)</f>
        <v>NO</v>
      </c>
      <c r="R928" s="6" t="str">
        <f>VLOOKUP(Tableau1[[#This Row],[SITES NAMES]],[1]Feuil1!$1:$1048576,10,FALSE)</f>
        <v>NO</v>
      </c>
      <c r="S928" s="6" t="s">
        <v>2630</v>
      </c>
      <c r="T928" s="6" t="s">
        <v>2631</v>
      </c>
      <c r="U928" s="6" t="s">
        <v>2632</v>
      </c>
      <c r="V928" s="6" t="s">
        <v>2472</v>
      </c>
      <c r="W928" s="6" t="s">
        <v>2473</v>
      </c>
      <c r="X928" s="8" t="s">
        <v>2886</v>
      </c>
      <c r="Y928" s="6" t="s">
        <v>3241</v>
      </c>
      <c r="Z928" s="6"/>
      <c r="AA928" s="37" t="s">
        <v>3634</v>
      </c>
      <c r="AB928" s="38" t="s">
        <v>3627</v>
      </c>
      <c r="AC928" s="37" t="s">
        <v>3635</v>
      </c>
      <c r="AD928" s="37" t="s">
        <v>3636</v>
      </c>
      <c r="AE928" s="37" t="s">
        <v>3637</v>
      </c>
      <c r="AF928" s="37" t="s">
        <v>3636</v>
      </c>
      <c r="AG928" s="37" t="s">
        <v>3638</v>
      </c>
      <c r="AH928" s="37" t="s">
        <v>3639</v>
      </c>
    </row>
    <row r="929" spans="1:34" ht="14.45" hidden="1" customHeight="1" x14ac:dyDescent="0.3">
      <c r="A929" s="6" t="s">
        <v>761</v>
      </c>
      <c r="B929" s="7">
        <v>0</v>
      </c>
      <c r="C929" s="6" t="s">
        <v>760</v>
      </c>
      <c r="D929" s="6" t="s">
        <v>657</v>
      </c>
      <c r="E929" s="6" t="s">
        <v>758</v>
      </c>
      <c r="F929" s="6" t="s">
        <v>3229</v>
      </c>
      <c r="G929" s="8">
        <v>0.721028</v>
      </c>
      <c r="H929" s="8">
        <v>10.076611</v>
      </c>
      <c r="I929" s="6" t="s">
        <v>2477</v>
      </c>
      <c r="J929" s="6" t="s">
        <v>2459</v>
      </c>
      <c r="K929" s="6" t="s">
        <v>2468</v>
      </c>
      <c r="L929" s="6" t="s">
        <v>3548</v>
      </c>
      <c r="M929" s="6"/>
      <c r="N929" s="6" t="s">
        <v>2468</v>
      </c>
      <c r="O929" s="6" t="s">
        <v>40</v>
      </c>
      <c r="P929" s="6" t="str">
        <f>VLOOKUP(Tableau1[[#This Row],[SITES NAMES]],[1]Feuil1!$1:$1048576,8,FALSE)</f>
        <v>OK</v>
      </c>
      <c r="Q929" s="6" t="str">
        <f>VLOOKUP(Tableau1[[#This Row],[SITES NAMES]],[1]Feuil1!$1:$1048576,9,FALSE)</f>
        <v>NO</v>
      </c>
      <c r="R929" s="6" t="str">
        <f>VLOOKUP(Tableau1[[#This Row],[SITES NAMES]],[1]Feuil1!$1:$1048576,10,FALSE)</f>
        <v>NO</v>
      </c>
      <c r="S929" s="6" t="s">
        <v>2461</v>
      </c>
      <c r="T929" s="6" t="s">
        <v>2462</v>
      </c>
      <c r="U929" s="6" t="s">
        <v>2463</v>
      </c>
      <c r="V929" s="6" t="s">
        <v>2472</v>
      </c>
      <c r="W929" s="6" t="s">
        <v>2473</v>
      </c>
      <c r="X929" s="8" t="s">
        <v>2756</v>
      </c>
      <c r="Y929" s="6" t="s">
        <v>3239</v>
      </c>
      <c r="Z929" s="6" t="s">
        <v>3253</v>
      </c>
      <c r="AA929" s="37" t="s">
        <v>3687</v>
      </c>
      <c r="AB929" s="38" t="s">
        <v>3683</v>
      </c>
      <c r="AC929" s="37" t="s">
        <v>3688</v>
      </c>
      <c r="AD929" s="37" t="s">
        <v>3687</v>
      </c>
      <c r="AE929" s="37" t="s">
        <v>3689</v>
      </c>
      <c r="AF929" s="39" t="s">
        <v>3690</v>
      </c>
      <c r="AG929" s="40" t="s">
        <v>3685</v>
      </c>
      <c r="AH929" s="37" t="s">
        <v>3691</v>
      </c>
    </row>
    <row r="930" spans="1:34" ht="14.45" hidden="1" customHeight="1" x14ac:dyDescent="0.3">
      <c r="A930" s="6" t="s">
        <v>238</v>
      </c>
      <c r="B930" s="7">
        <v>0</v>
      </c>
      <c r="C930" s="6" t="s">
        <v>237</v>
      </c>
      <c r="D930" s="6" t="s">
        <v>132</v>
      </c>
      <c r="E930" s="6" t="s">
        <v>133</v>
      </c>
      <c r="F930" s="6" t="s">
        <v>3229</v>
      </c>
      <c r="G930" s="8">
        <v>0.99748999999999999</v>
      </c>
      <c r="H930" s="8">
        <v>7.6571100000000003</v>
      </c>
      <c r="I930" s="6" t="s">
        <v>2477</v>
      </c>
      <c r="J930" s="6" t="s">
        <v>2459</v>
      </c>
      <c r="K930" s="6" t="s">
        <v>2468</v>
      </c>
      <c r="L930" s="6" t="s">
        <v>3561</v>
      </c>
      <c r="M930" s="6"/>
      <c r="N930" s="6" t="s">
        <v>2468</v>
      </c>
      <c r="O930" s="6" t="s">
        <v>40</v>
      </c>
      <c r="P930" s="6" t="str">
        <f>VLOOKUP(Tableau1[[#This Row],[SITES NAMES]],[1]Feuil1!$1:$1048576,8,FALSE)</f>
        <v>OK</v>
      </c>
      <c r="Q930" s="6" t="str">
        <f>VLOOKUP(Tableau1[[#This Row],[SITES NAMES]],[1]Feuil1!$1:$1048576,9,FALSE)</f>
        <v>NO</v>
      </c>
      <c r="R930" s="6" t="str">
        <f>VLOOKUP(Tableau1[[#This Row],[SITES NAMES]],[1]Feuil1!$1:$1048576,10,FALSE)</f>
        <v>YES</v>
      </c>
      <c r="S930" s="6" t="s">
        <v>2461</v>
      </c>
      <c r="T930" s="6" t="s">
        <v>2462</v>
      </c>
      <c r="U930" s="6" t="s">
        <v>2463</v>
      </c>
      <c r="V930" s="6" t="s">
        <v>2472</v>
      </c>
      <c r="W930" s="6" t="s">
        <v>2473</v>
      </c>
      <c r="X930" s="8" t="s">
        <v>2561</v>
      </c>
      <c r="Y930" s="6" t="s">
        <v>3238</v>
      </c>
      <c r="Z930" s="6" t="s">
        <v>3258</v>
      </c>
      <c r="AA930" s="37" t="s">
        <v>3643</v>
      </c>
      <c r="AB930" s="39" t="s">
        <v>3644</v>
      </c>
      <c r="AC930" s="37" t="s">
        <v>3645</v>
      </c>
      <c r="AD930" s="39" t="s">
        <v>3646</v>
      </c>
      <c r="AE930" s="39" t="s">
        <v>3647</v>
      </c>
      <c r="AF930" s="39" t="s">
        <v>3648</v>
      </c>
      <c r="AG930" s="37" t="s">
        <v>3649</v>
      </c>
      <c r="AH930" s="37" t="s">
        <v>3650</v>
      </c>
    </row>
    <row r="931" spans="1:34" ht="14.45" hidden="1" customHeight="1" x14ac:dyDescent="0.25">
      <c r="A931" s="6" t="s">
        <v>1292</v>
      </c>
      <c r="B931" s="7">
        <v>44279</v>
      </c>
      <c r="C931" s="6" t="s">
        <v>1291</v>
      </c>
      <c r="D931" s="6" t="s">
        <v>66</v>
      </c>
      <c r="E931" s="6" t="s">
        <v>1924</v>
      </c>
      <c r="F931" s="6" t="s">
        <v>3229</v>
      </c>
      <c r="G931" s="8">
        <v>1.2192499999999999</v>
      </c>
      <c r="H931" s="8">
        <v>6.1805000000000003</v>
      </c>
      <c r="I931" s="6" t="s">
        <v>2479</v>
      </c>
      <c r="J931" s="6" t="s">
        <v>2459</v>
      </c>
      <c r="K931" s="6" t="s">
        <v>2460</v>
      </c>
      <c r="L931" s="6"/>
      <c r="M931" s="6"/>
      <c r="N931" s="6" t="s">
        <v>3268</v>
      </c>
      <c r="O931" s="6" t="s">
        <v>1206</v>
      </c>
      <c r="P931" s="6"/>
      <c r="Q931" s="6" t="str">
        <f>VLOOKUP(Tableau1[[#This Row],[SITES NAMES]],[1]Feuil1!$1:$1048576,9,FALSE)</f>
        <v>NO</v>
      </c>
      <c r="R931" s="6"/>
      <c r="S931" s="6" t="s">
        <v>2469</v>
      </c>
      <c r="T931" s="6" t="s">
        <v>2470</v>
      </c>
      <c r="U931" s="6" t="s">
        <v>2471</v>
      </c>
      <c r="V931" s="6" t="s">
        <v>2498</v>
      </c>
      <c r="W931" s="6" t="s">
        <v>2476</v>
      </c>
      <c r="X931" s="8"/>
      <c r="Y931" s="6" t="s">
        <v>3238</v>
      </c>
      <c r="Z931" s="6" t="s">
        <v>3261</v>
      </c>
      <c r="AA931" s="35" t="s">
        <v>3607</v>
      </c>
      <c r="AB931" s="35" t="s">
        <v>3608</v>
      </c>
      <c r="AC931" s="35" t="s">
        <v>3609</v>
      </c>
      <c r="AD931" s="35" t="s">
        <v>3610</v>
      </c>
      <c r="AE931" s="35" t="s">
        <v>3610</v>
      </c>
      <c r="AF931" s="35" t="s">
        <v>3611</v>
      </c>
      <c r="AG931" s="35" t="s">
        <v>3612</v>
      </c>
      <c r="AH931" s="35" t="s">
        <v>3613</v>
      </c>
    </row>
    <row r="932" spans="1:34" ht="14.45" hidden="1" customHeight="1" x14ac:dyDescent="0.3">
      <c r="A932" s="6" t="s">
        <v>281</v>
      </c>
      <c r="B932" s="7">
        <v>46022</v>
      </c>
      <c r="C932" s="6" t="s">
        <v>280</v>
      </c>
      <c r="D932" s="6" t="s">
        <v>132</v>
      </c>
      <c r="E932" s="6" t="s">
        <v>251</v>
      </c>
      <c r="F932" s="6" t="s">
        <v>3229</v>
      </c>
      <c r="G932" s="8">
        <v>0.91122000000000003</v>
      </c>
      <c r="H932" s="8">
        <v>7.6378500000000003</v>
      </c>
      <c r="I932" s="16" t="s">
        <v>2477</v>
      </c>
      <c r="J932" s="6" t="s">
        <v>2459</v>
      </c>
      <c r="K932" s="6" t="s">
        <v>2468</v>
      </c>
      <c r="L932" s="6"/>
      <c r="M932" s="6"/>
      <c r="N932" s="6" t="s">
        <v>2468</v>
      </c>
      <c r="O932" s="6" t="s">
        <v>40</v>
      </c>
      <c r="P932" s="6"/>
      <c r="Q932" s="6"/>
      <c r="R932" s="6"/>
      <c r="S932" s="6"/>
      <c r="T932" s="6"/>
      <c r="U932" s="6"/>
      <c r="V932" s="6"/>
      <c r="W932" s="6"/>
      <c r="X932" s="8">
        <v>70997261</v>
      </c>
      <c r="Y932" s="6" t="s">
        <v>3238</v>
      </c>
      <c r="Z932" s="6" t="s">
        <v>3256</v>
      </c>
      <c r="AA932" s="37" t="s">
        <v>3651</v>
      </c>
      <c r="AB932" s="39" t="s">
        <v>3644</v>
      </c>
      <c r="AC932" s="45" t="s">
        <v>3652</v>
      </c>
      <c r="AD932" s="39" t="s">
        <v>3646</v>
      </c>
      <c r="AE932" s="37" t="s">
        <v>3653</v>
      </c>
      <c r="AF932" s="37" t="s">
        <v>3654</v>
      </c>
      <c r="AG932" s="37" t="s">
        <v>3649</v>
      </c>
      <c r="AH932" s="37" t="s">
        <v>3655</v>
      </c>
    </row>
    <row r="933" spans="1:34" ht="14.45" hidden="1" customHeight="1" x14ac:dyDescent="0.3">
      <c r="A933" s="6" t="s">
        <v>240</v>
      </c>
      <c r="B933" s="7">
        <v>0</v>
      </c>
      <c r="C933" s="6" t="s">
        <v>239</v>
      </c>
      <c r="D933" s="6" t="s">
        <v>132</v>
      </c>
      <c r="E933" s="6" t="s">
        <v>133</v>
      </c>
      <c r="F933" s="6" t="s">
        <v>3229</v>
      </c>
      <c r="G933" s="8">
        <v>0.98796200000000001</v>
      </c>
      <c r="H933" s="8">
        <v>7.5474300000000003</v>
      </c>
      <c r="I933" s="6" t="s">
        <v>2479</v>
      </c>
      <c r="J933" s="6" t="s">
        <v>2459</v>
      </c>
      <c r="K933" s="6" t="s">
        <v>2460</v>
      </c>
      <c r="L933" s="6"/>
      <c r="M933" s="6"/>
      <c r="N933" s="6" t="s">
        <v>3268</v>
      </c>
      <c r="O933" s="6" t="s">
        <v>40</v>
      </c>
      <c r="P933" s="6" t="str">
        <f>VLOOKUP(Tableau1[[#This Row],[SITES NAMES]],[1]Feuil1!$1:$1048576,8,FALSE)</f>
        <v>OK</v>
      </c>
      <c r="Q933" s="6" t="str">
        <f>VLOOKUP(Tableau1[[#This Row],[SITES NAMES]],[1]Feuil1!$1:$1048576,9,FALSE)</f>
        <v>NO</v>
      </c>
      <c r="R933" s="6" t="str">
        <f>VLOOKUP(Tableau1[[#This Row],[SITES NAMES]],[1]Feuil1!$1:$1048576,10,FALSE)</f>
        <v>NO</v>
      </c>
      <c r="S933" s="6" t="s">
        <v>2469</v>
      </c>
      <c r="T933" s="6" t="s">
        <v>2470</v>
      </c>
      <c r="U933" s="6" t="s">
        <v>2471</v>
      </c>
      <c r="V933" s="6" t="s">
        <v>2472</v>
      </c>
      <c r="W933" s="6" t="s">
        <v>2473</v>
      </c>
      <c r="X933" s="8" t="s">
        <v>2562</v>
      </c>
      <c r="Y933" s="6" t="s">
        <v>3238</v>
      </c>
      <c r="Z933" s="6" t="s">
        <v>3258</v>
      </c>
      <c r="AA933" s="37" t="s">
        <v>3643</v>
      </c>
      <c r="AB933" s="39" t="s">
        <v>3644</v>
      </c>
      <c r="AC933" s="37" t="s">
        <v>3645</v>
      </c>
      <c r="AD933" s="39" t="s">
        <v>3646</v>
      </c>
      <c r="AE933" s="39" t="s">
        <v>3647</v>
      </c>
      <c r="AF933" s="39" t="s">
        <v>3648</v>
      </c>
      <c r="AG933" s="37" t="s">
        <v>3649</v>
      </c>
      <c r="AH933" s="37" t="s">
        <v>3650</v>
      </c>
    </row>
    <row r="934" spans="1:34" ht="14.45" hidden="1" customHeight="1" x14ac:dyDescent="0.3">
      <c r="A934" s="6" t="s">
        <v>242</v>
      </c>
      <c r="B934" s="7">
        <v>0</v>
      </c>
      <c r="C934" s="6" t="s">
        <v>241</v>
      </c>
      <c r="D934" s="6" t="s">
        <v>132</v>
      </c>
      <c r="E934" s="6" t="s">
        <v>133</v>
      </c>
      <c r="F934" s="6" t="s">
        <v>3229</v>
      </c>
      <c r="G934" s="8">
        <v>1.5699749999999999</v>
      </c>
      <c r="H934" s="8">
        <v>7.3604570000000002</v>
      </c>
      <c r="I934" s="6" t="s">
        <v>2477</v>
      </c>
      <c r="J934" s="6" t="s">
        <v>2459</v>
      </c>
      <c r="K934" s="6" t="s">
        <v>2460</v>
      </c>
      <c r="L934" s="6" t="s">
        <v>3562</v>
      </c>
      <c r="M934" s="6"/>
      <c r="N934" s="6" t="s">
        <v>3268</v>
      </c>
      <c r="O934" s="6" t="s">
        <v>18</v>
      </c>
      <c r="P934" s="6" t="str">
        <f>VLOOKUP(Tableau1[[#This Row],[SITES NAMES]],[1]Feuil1!$1:$1048576,8,FALSE)</f>
        <v>OK</v>
      </c>
      <c r="Q934" s="6" t="str">
        <f>VLOOKUP(Tableau1[[#This Row],[SITES NAMES]],[1]Feuil1!$1:$1048576,9,FALSE)</f>
        <v>NO</v>
      </c>
      <c r="R934" s="6" t="str">
        <f>VLOOKUP(Tableau1[[#This Row],[SITES NAMES]],[1]Feuil1!$1:$1048576,10,FALSE)</f>
        <v>NO</v>
      </c>
      <c r="S934" s="6" t="s">
        <v>2461</v>
      </c>
      <c r="T934" s="6" t="s">
        <v>2462</v>
      </c>
      <c r="U934" s="6" t="s">
        <v>2463</v>
      </c>
      <c r="V934" s="6" t="s">
        <v>2472</v>
      </c>
      <c r="W934" s="6" t="s">
        <v>2473</v>
      </c>
      <c r="X934" s="8" t="s">
        <v>2563</v>
      </c>
      <c r="Y934" s="6" t="s">
        <v>3238</v>
      </c>
      <c r="Z934" s="6" t="s">
        <v>3258</v>
      </c>
      <c r="AA934" s="37" t="s">
        <v>3643</v>
      </c>
      <c r="AB934" s="39" t="s">
        <v>3644</v>
      </c>
      <c r="AC934" s="37" t="s">
        <v>3645</v>
      </c>
      <c r="AD934" s="39" t="s">
        <v>3646</v>
      </c>
      <c r="AE934" s="39" t="s">
        <v>3647</v>
      </c>
      <c r="AF934" s="39" t="s">
        <v>3648</v>
      </c>
      <c r="AG934" s="37" t="s">
        <v>3649</v>
      </c>
      <c r="AH934" s="37" t="s">
        <v>3650</v>
      </c>
    </row>
    <row r="935" spans="1:34" ht="14.45" hidden="1" customHeight="1" x14ac:dyDescent="0.3">
      <c r="A935" s="6" t="s">
        <v>741</v>
      </c>
      <c r="B935" s="7">
        <v>0</v>
      </c>
      <c r="C935" s="6" t="s">
        <v>740</v>
      </c>
      <c r="D935" s="6" t="s">
        <v>657</v>
      </c>
      <c r="E935" s="6" t="s">
        <v>658</v>
      </c>
      <c r="F935" s="6" t="s">
        <v>3229</v>
      </c>
      <c r="G935" s="8">
        <v>0.76636700000000002</v>
      </c>
      <c r="H935" s="8">
        <v>9.5239329999999995</v>
      </c>
      <c r="I935" s="6" t="s">
        <v>2477</v>
      </c>
      <c r="J935" s="6" t="s">
        <v>2459</v>
      </c>
      <c r="K935" s="6" t="s">
        <v>2468</v>
      </c>
      <c r="L935" s="6"/>
      <c r="M935" s="6"/>
      <c r="N935" s="6" t="s">
        <v>2468</v>
      </c>
      <c r="O935" s="6" t="s">
        <v>40</v>
      </c>
      <c r="P935" s="6" t="str">
        <f>VLOOKUP(Tableau1[[#This Row],[SITES NAMES]],[1]Feuil1!$1:$1048576,8,FALSE)</f>
        <v>OK</v>
      </c>
      <c r="Q935" s="6" t="str">
        <f>VLOOKUP(Tableau1[[#This Row],[SITES NAMES]],[1]Feuil1!$1:$1048576,9,FALSE)</f>
        <v>NO</v>
      </c>
      <c r="R935" s="6" t="str">
        <f>VLOOKUP(Tableau1[[#This Row],[SITES NAMES]],[1]Feuil1!$1:$1048576,10,FALSE)</f>
        <v>YES</v>
      </c>
      <c r="S935" s="6" t="s">
        <v>2461</v>
      </c>
      <c r="T935" s="6" t="s">
        <v>2462</v>
      </c>
      <c r="U935" s="6" t="s">
        <v>2463</v>
      </c>
      <c r="V935" s="6" t="s">
        <v>2472</v>
      </c>
      <c r="W935" s="6" t="s">
        <v>2465</v>
      </c>
      <c r="X935" s="8" t="s">
        <v>2746</v>
      </c>
      <c r="Y935" s="6" t="s">
        <v>3239</v>
      </c>
      <c r="Z935" s="6" t="s">
        <v>3253</v>
      </c>
      <c r="AA935" s="38" t="s">
        <v>3682</v>
      </c>
      <c r="AB935" s="38" t="s">
        <v>3683</v>
      </c>
      <c r="AC935" s="38" t="s">
        <v>3684</v>
      </c>
      <c r="AD935" s="38" t="s">
        <v>3682</v>
      </c>
      <c r="AE935" s="38" t="s">
        <v>3682</v>
      </c>
      <c r="AF935" s="38" t="s">
        <v>3682</v>
      </c>
      <c r="AG935" s="40" t="s">
        <v>3685</v>
      </c>
      <c r="AH935" s="37" t="s">
        <v>3686</v>
      </c>
    </row>
    <row r="936" spans="1:34" ht="14.45" hidden="1" customHeight="1" x14ac:dyDescent="0.3">
      <c r="A936" s="6" t="s">
        <v>370</v>
      </c>
      <c r="B936" s="7">
        <v>0</v>
      </c>
      <c r="C936" s="6" t="s">
        <v>369</v>
      </c>
      <c r="D936" s="6" t="s">
        <v>320</v>
      </c>
      <c r="E936" s="6" t="s">
        <v>321</v>
      </c>
      <c r="F936" s="6" t="s">
        <v>3229</v>
      </c>
      <c r="G936" s="8">
        <v>0.97528999999999999</v>
      </c>
      <c r="H936" s="8">
        <v>8.1789000000000005</v>
      </c>
      <c r="I936" s="6" t="s">
        <v>2497</v>
      </c>
      <c r="J936" s="6" t="s">
        <v>2459</v>
      </c>
      <c r="K936" s="6" t="s">
        <v>2460</v>
      </c>
      <c r="L936" s="6"/>
      <c r="M936" s="6"/>
      <c r="N936" s="6" t="s">
        <v>3268</v>
      </c>
      <c r="O936" s="6" t="s">
        <v>18</v>
      </c>
      <c r="P936" s="6" t="str">
        <f>VLOOKUP(Tableau1[[#This Row],[SITES NAMES]],[1]Feuil1!$1:$1048576,8,FALSE)</f>
        <v>NOK</v>
      </c>
      <c r="Q936" s="6" t="str">
        <f>VLOOKUP(Tableau1[[#This Row],[SITES NAMES]],[1]Feuil1!$1:$1048576,9,FALSE)</f>
        <v>NO</v>
      </c>
      <c r="R936" s="6" t="str">
        <f>VLOOKUP(Tableau1[[#This Row],[SITES NAMES]],[1]Feuil1!$1:$1048576,10,FALSE)</f>
        <v>NO</v>
      </c>
      <c r="S936" s="6" t="s">
        <v>2469</v>
      </c>
      <c r="T936" s="6" t="s">
        <v>2470</v>
      </c>
      <c r="U936" s="6" t="s">
        <v>2463</v>
      </c>
      <c r="V936" s="6" t="s">
        <v>2478</v>
      </c>
      <c r="W936" s="6" t="s">
        <v>2465</v>
      </c>
      <c r="X936" s="8" t="s">
        <v>2607</v>
      </c>
      <c r="Y936" s="6" t="s">
        <v>3238</v>
      </c>
      <c r="Z936" s="6" t="s">
        <v>3266</v>
      </c>
      <c r="AA936" s="37" t="s">
        <v>3664</v>
      </c>
      <c r="AB936" s="39" t="s">
        <v>3665</v>
      </c>
      <c r="AC936" s="37" t="s">
        <v>3666</v>
      </c>
      <c r="AD936" s="37" t="s">
        <v>3667</v>
      </c>
      <c r="AE936" s="37" t="s">
        <v>3668</v>
      </c>
      <c r="AF936" s="37" t="s">
        <v>3669</v>
      </c>
      <c r="AG936" s="37" t="s">
        <v>3670</v>
      </c>
      <c r="AH936" s="37" t="s">
        <v>3671</v>
      </c>
    </row>
    <row r="937" spans="1:34" ht="14.45" hidden="1" customHeight="1" x14ac:dyDescent="0.3">
      <c r="A937" s="6" t="s">
        <v>372</v>
      </c>
      <c r="B937" s="7">
        <v>0</v>
      </c>
      <c r="C937" s="6" t="s">
        <v>371</v>
      </c>
      <c r="D937" s="6" t="s">
        <v>320</v>
      </c>
      <c r="E937" s="6" t="s">
        <v>321</v>
      </c>
      <c r="F937" s="6" t="s">
        <v>3229</v>
      </c>
      <c r="G937" s="8">
        <v>0.85045000000000004</v>
      </c>
      <c r="H937" s="8">
        <v>8.2157999999999998</v>
      </c>
      <c r="I937" s="6" t="s">
        <v>2477</v>
      </c>
      <c r="J937" s="6" t="s">
        <v>2459</v>
      </c>
      <c r="K937" s="6" t="s">
        <v>2460</v>
      </c>
      <c r="L937" s="6"/>
      <c r="M937" s="6"/>
      <c r="N937" s="6" t="s">
        <v>3268</v>
      </c>
      <c r="O937" s="6" t="s">
        <v>37</v>
      </c>
      <c r="P937" s="6" t="str">
        <f>VLOOKUP(Tableau1[[#This Row],[SITES NAMES]],[1]Feuil1!$1:$1048576,8,FALSE)</f>
        <v>OK</v>
      </c>
      <c r="Q937" s="6" t="str">
        <f>VLOOKUP(Tableau1[[#This Row],[SITES NAMES]],[1]Feuil1!$1:$1048576,9,FALSE)</f>
        <v>YES</v>
      </c>
      <c r="R937" s="6" t="str">
        <f>VLOOKUP(Tableau1[[#This Row],[SITES NAMES]],[1]Feuil1!$1:$1048576,10,FALSE)</f>
        <v>YES</v>
      </c>
      <c r="S937" s="6" t="s">
        <v>2469</v>
      </c>
      <c r="T937" s="6" t="s">
        <v>2470</v>
      </c>
      <c r="U937" s="6" t="s">
        <v>2480</v>
      </c>
      <c r="V937" s="6" t="s">
        <v>2472</v>
      </c>
      <c r="W937" s="6" t="s">
        <v>2473</v>
      </c>
      <c r="X937" s="8" t="s">
        <v>2608</v>
      </c>
      <c r="Y937" s="6" t="s">
        <v>3238</v>
      </c>
      <c r="Z937" s="6" t="s">
        <v>3266</v>
      </c>
      <c r="AA937" s="37" t="s">
        <v>3664</v>
      </c>
      <c r="AB937" s="39" t="s">
        <v>3665</v>
      </c>
      <c r="AC937" s="37" t="s">
        <v>3666</v>
      </c>
      <c r="AD937" s="37" t="s">
        <v>3667</v>
      </c>
      <c r="AE937" s="37" t="s">
        <v>3668</v>
      </c>
      <c r="AF937" s="37" t="s">
        <v>3669</v>
      </c>
      <c r="AG937" s="37" t="s">
        <v>3670</v>
      </c>
      <c r="AH937" s="37" t="s">
        <v>3671</v>
      </c>
    </row>
    <row r="938" spans="1:34" ht="14.45" hidden="1" customHeight="1" x14ac:dyDescent="0.3">
      <c r="A938" s="6" t="s">
        <v>374</v>
      </c>
      <c r="B938" s="7">
        <v>43880</v>
      </c>
      <c r="C938" s="6" t="s">
        <v>373</v>
      </c>
      <c r="D938" s="6" t="s">
        <v>320</v>
      </c>
      <c r="E938" s="6" t="s">
        <v>321</v>
      </c>
      <c r="F938" s="6" t="s">
        <v>3229</v>
      </c>
      <c r="G938" s="8">
        <v>0.88529999999999998</v>
      </c>
      <c r="H938" s="8">
        <v>8.2118400000000005</v>
      </c>
      <c r="I938" s="6" t="s">
        <v>2477</v>
      </c>
      <c r="J938" s="6" t="s">
        <v>2459</v>
      </c>
      <c r="K938" s="6" t="s">
        <v>2460</v>
      </c>
      <c r="L938" s="6"/>
      <c r="M938" s="6"/>
      <c r="N938" s="6" t="s">
        <v>3268</v>
      </c>
      <c r="O938" s="6" t="s">
        <v>7</v>
      </c>
      <c r="P938" s="6" t="str">
        <f>VLOOKUP(Tableau1[[#This Row],[SITES NAMES]],[1]Feuil1!$1:$1048576,8,FALSE)</f>
        <v>NOK</v>
      </c>
      <c r="Q938" s="6" t="str">
        <f>VLOOKUP(Tableau1[[#This Row],[SITES NAMES]],[1]Feuil1!$1:$1048576,9,FALSE)</f>
        <v>NO</v>
      </c>
      <c r="R938" s="6" t="str">
        <f>VLOOKUP(Tableau1[[#This Row],[SITES NAMES]],[1]Feuil1!$1:$1048576,10,FALSE)</f>
        <v>NO</v>
      </c>
      <c r="S938" s="6" t="s">
        <v>2469</v>
      </c>
      <c r="T938" s="6" t="s">
        <v>2470</v>
      </c>
      <c r="U938" s="6" t="s">
        <v>2480</v>
      </c>
      <c r="V938" s="6" t="s">
        <v>2472</v>
      </c>
      <c r="W938" s="6" t="s">
        <v>2473</v>
      </c>
      <c r="X938" s="8" t="s">
        <v>2609</v>
      </c>
      <c r="Y938" s="6" t="s">
        <v>3238</v>
      </c>
      <c r="Z938" s="6" t="s">
        <v>3266</v>
      </c>
      <c r="AA938" s="37" t="s">
        <v>3664</v>
      </c>
      <c r="AB938" s="39" t="s">
        <v>3665</v>
      </c>
      <c r="AC938" s="37" t="s">
        <v>3666</v>
      </c>
      <c r="AD938" s="37" t="s">
        <v>3667</v>
      </c>
      <c r="AE938" s="37" t="s">
        <v>3668</v>
      </c>
      <c r="AF938" s="37" t="s">
        <v>3669</v>
      </c>
      <c r="AG938" s="37" t="s">
        <v>3670</v>
      </c>
      <c r="AH938" s="37" t="s">
        <v>3671</v>
      </c>
    </row>
    <row r="939" spans="1:34" ht="14.45" hidden="1" customHeight="1" x14ac:dyDescent="0.3">
      <c r="A939" s="6" t="s">
        <v>885</v>
      </c>
      <c r="B939" s="7">
        <v>0</v>
      </c>
      <c r="C939" s="6" t="s">
        <v>884</v>
      </c>
      <c r="D939" s="6" t="s">
        <v>657</v>
      </c>
      <c r="E939" s="6" t="s">
        <v>3237</v>
      </c>
      <c r="F939" s="6" t="s">
        <v>3229</v>
      </c>
      <c r="G939" s="8">
        <v>1.3259000000000001</v>
      </c>
      <c r="H939" s="8">
        <v>9.7465511080000002</v>
      </c>
      <c r="I939" s="6" t="s">
        <v>2497</v>
      </c>
      <c r="J939" s="6" t="s">
        <v>2459</v>
      </c>
      <c r="K939" s="6" t="s">
        <v>2468</v>
      </c>
      <c r="L939" s="6" t="s">
        <v>3432</v>
      </c>
      <c r="M939" s="6"/>
      <c r="N939" s="6" t="s">
        <v>2468</v>
      </c>
      <c r="O939" s="6" t="s">
        <v>7</v>
      </c>
      <c r="P939" s="6" t="str">
        <f>VLOOKUP(Tableau1[[#This Row],[SITES NAMES]],[1]Feuil1!$1:$1048576,8,FALSE)</f>
        <v>OK</v>
      </c>
      <c r="Q939" s="6" t="str">
        <f>VLOOKUP(Tableau1[[#This Row],[SITES NAMES]],[1]Feuil1!$1:$1048576,9,FALSE)</f>
        <v>NO</v>
      </c>
      <c r="R939" s="6" t="str">
        <f>VLOOKUP(Tableau1[[#This Row],[SITES NAMES]],[1]Feuil1!$1:$1048576,10,FALSE)</f>
        <v>NO</v>
      </c>
      <c r="S939" s="6" t="s">
        <v>2469</v>
      </c>
      <c r="T939" s="6" t="s">
        <v>2470</v>
      </c>
      <c r="U939" s="6" t="s">
        <v>2471</v>
      </c>
      <c r="V939" s="6" t="s">
        <v>2464</v>
      </c>
      <c r="W939" s="6" t="s">
        <v>2465</v>
      </c>
      <c r="X939" s="8" t="s">
        <v>2797</v>
      </c>
      <c r="Y939" s="6" t="s">
        <v>3239</v>
      </c>
      <c r="Z939" s="6" t="s">
        <v>3253</v>
      </c>
      <c r="AA939" s="37" t="s">
        <v>3692</v>
      </c>
      <c r="AB939" s="38" t="s">
        <v>3683</v>
      </c>
      <c r="AC939" s="39" t="s">
        <v>3693</v>
      </c>
      <c r="AD939" s="39" t="s">
        <v>3694</v>
      </c>
      <c r="AE939" s="37" t="s">
        <v>3695</v>
      </c>
      <c r="AF939" s="39" t="s">
        <v>3696</v>
      </c>
      <c r="AG939" s="40" t="s">
        <v>3685</v>
      </c>
      <c r="AH939" s="37" t="s">
        <v>3697</v>
      </c>
    </row>
    <row r="940" spans="1:34" ht="14.45" hidden="1" customHeight="1" x14ac:dyDescent="0.3">
      <c r="A940" s="6" t="s">
        <v>887</v>
      </c>
      <c r="B940" s="7">
        <v>43871</v>
      </c>
      <c r="C940" s="6" t="s">
        <v>886</v>
      </c>
      <c r="D940" s="6" t="s">
        <v>657</v>
      </c>
      <c r="E940" s="6" t="s">
        <v>3237</v>
      </c>
      <c r="F940" s="6" t="s">
        <v>3229</v>
      </c>
      <c r="G940" s="8">
        <v>1.32853</v>
      </c>
      <c r="H940" s="8">
        <v>9.7614199999999993</v>
      </c>
      <c r="I940" s="6" t="s">
        <v>2486</v>
      </c>
      <c r="J940" s="6" t="s">
        <v>2459</v>
      </c>
      <c r="K940" s="6" t="s">
        <v>2468</v>
      </c>
      <c r="L940" s="6" t="s">
        <v>885</v>
      </c>
      <c r="M940" s="6"/>
      <c r="N940" s="6" t="s">
        <v>2468</v>
      </c>
      <c r="O940" s="6" t="s">
        <v>7</v>
      </c>
      <c r="P940" s="6" t="str">
        <f>VLOOKUP(Tableau1[[#This Row],[SITES NAMES]],[1]Feuil1!$1:$1048576,8,FALSE)</f>
        <v>NOK</v>
      </c>
      <c r="Q940" s="6" t="str">
        <f>VLOOKUP(Tableau1[[#This Row],[SITES NAMES]],[1]Feuil1!$1:$1048576,9,FALSE)</f>
        <v>NO</v>
      </c>
      <c r="R940" s="6" t="str">
        <f>VLOOKUP(Tableau1[[#This Row],[SITES NAMES]],[1]Feuil1!$1:$1048576,10,FALSE)</f>
        <v>NO</v>
      </c>
      <c r="S940" s="6" t="s">
        <v>2461</v>
      </c>
      <c r="T940" s="6" t="s">
        <v>2462</v>
      </c>
      <c r="U940" s="6" t="s">
        <v>2463</v>
      </c>
      <c r="V940" s="6" t="s">
        <v>2472</v>
      </c>
      <c r="W940" s="6" t="s">
        <v>2473</v>
      </c>
      <c r="X940" s="8" t="s">
        <v>2798</v>
      </c>
      <c r="Y940" s="6" t="s">
        <v>3239</v>
      </c>
      <c r="Z940" s="6" t="s">
        <v>3253</v>
      </c>
      <c r="AA940" s="37" t="s">
        <v>3692</v>
      </c>
      <c r="AB940" s="38" t="s">
        <v>3683</v>
      </c>
      <c r="AC940" s="39" t="s">
        <v>3693</v>
      </c>
      <c r="AD940" s="39" t="s">
        <v>3694</v>
      </c>
      <c r="AE940" s="37" t="s">
        <v>3695</v>
      </c>
      <c r="AF940" s="39" t="s">
        <v>3696</v>
      </c>
      <c r="AG940" s="40" t="s">
        <v>3685</v>
      </c>
      <c r="AH940" s="37" t="s">
        <v>3697</v>
      </c>
    </row>
    <row r="941" spans="1:34" ht="14.45" hidden="1" customHeight="1" x14ac:dyDescent="0.25">
      <c r="A941" s="6" t="s">
        <v>1420</v>
      </c>
      <c r="B941" s="7">
        <v>0</v>
      </c>
      <c r="C941" s="6" t="s">
        <v>1419</v>
      </c>
      <c r="D941" s="6" t="s">
        <v>66</v>
      </c>
      <c r="E941" s="6" t="s">
        <v>3231</v>
      </c>
      <c r="F941" s="6" t="s">
        <v>3229</v>
      </c>
      <c r="G941" s="8">
        <v>1.276921</v>
      </c>
      <c r="H941" s="8">
        <v>6.1408480000000001</v>
      </c>
      <c r="I941" s="6" t="s">
        <v>2497</v>
      </c>
      <c r="J941" s="6" t="s">
        <v>2459</v>
      </c>
      <c r="K941" s="6" t="s">
        <v>2460</v>
      </c>
      <c r="L941" s="6"/>
      <c r="M941" s="6"/>
      <c r="N941" s="6" t="s">
        <v>3268</v>
      </c>
      <c r="O941" s="6" t="s">
        <v>7</v>
      </c>
      <c r="P941" s="6" t="str">
        <f>VLOOKUP(Tableau1[[#This Row],[SITES NAMES]],[1]Feuil1!$1:$1048576,8,FALSE)</f>
        <v>OK</v>
      </c>
      <c r="Q941" s="6" t="str">
        <f>VLOOKUP(Tableau1[[#This Row],[SITES NAMES]],[1]Feuil1!$1:$1048576,9,FALSE)</f>
        <v>NO</v>
      </c>
      <c r="R941" s="6" t="str">
        <f>VLOOKUP(Tableau1[[#This Row],[SITES NAMES]],[1]Feuil1!$1:$1048576,10,FALSE)</f>
        <v>NO</v>
      </c>
      <c r="S941" s="6" t="s">
        <v>2461</v>
      </c>
      <c r="T941" s="6" t="s">
        <v>2462</v>
      </c>
      <c r="U941" s="6" t="s">
        <v>2463</v>
      </c>
      <c r="V941" s="6" t="s">
        <v>2498</v>
      </c>
      <c r="W941" s="6" t="s">
        <v>2476</v>
      </c>
      <c r="X941" s="8" t="s">
        <v>2946</v>
      </c>
      <c r="Y941" s="6" t="s">
        <v>3238</v>
      </c>
      <c r="Z941" s="6"/>
      <c r="AA941" s="35" t="s">
        <v>3621</v>
      </c>
      <c r="AB941" s="35" t="s">
        <v>3608</v>
      </c>
      <c r="AC941" s="35" t="s">
        <v>3622</v>
      </c>
      <c r="AD941" s="35" t="s">
        <v>3610</v>
      </c>
      <c r="AE941" s="35" t="s">
        <v>3610</v>
      </c>
      <c r="AF941" s="35" t="s">
        <v>3611</v>
      </c>
      <c r="AG941" s="35" t="s">
        <v>3612</v>
      </c>
      <c r="AH941" s="35" t="s">
        <v>3623</v>
      </c>
    </row>
    <row r="942" spans="1:34" ht="14.45" hidden="1" customHeight="1" x14ac:dyDescent="0.25">
      <c r="A942" s="6" t="s">
        <v>1942</v>
      </c>
      <c r="B942" s="7">
        <v>0</v>
      </c>
      <c r="C942" s="6" t="s">
        <v>1941</v>
      </c>
      <c r="D942" s="6" t="s">
        <v>66</v>
      </c>
      <c r="E942" s="6" t="s">
        <v>3232</v>
      </c>
      <c r="F942" s="6" t="s">
        <v>3229</v>
      </c>
      <c r="G942" s="8">
        <v>1.21811</v>
      </c>
      <c r="H942" s="8">
        <v>6.1300800000000004</v>
      </c>
      <c r="I942" s="6" t="s">
        <v>2475</v>
      </c>
      <c r="J942" s="6" t="s">
        <v>2459</v>
      </c>
      <c r="K942" s="6" t="s">
        <v>2460</v>
      </c>
      <c r="L942" s="6"/>
      <c r="M942" s="6"/>
      <c r="N942" s="6" t="s">
        <v>3268</v>
      </c>
      <c r="O942" s="6" t="s">
        <v>7</v>
      </c>
      <c r="P942" s="6" t="str">
        <f>VLOOKUP(Tableau1[[#This Row],[SITES NAMES]],[1]Feuil1!$1:$1048576,8,FALSE)</f>
        <v>OK</v>
      </c>
      <c r="Q942" s="6" t="str">
        <f>VLOOKUP(Tableau1[[#This Row],[SITES NAMES]],[1]Feuil1!$1:$1048576,9,FALSE)</f>
        <v>NO</v>
      </c>
      <c r="R942" s="6" t="str">
        <f>VLOOKUP(Tableau1[[#This Row],[SITES NAMES]],[1]Feuil1!$1:$1048576,10,FALSE)</f>
        <v>NO</v>
      </c>
      <c r="S942" s="6" t="s">
        <v>2461</v>
      </c>
      <c r="T942" s="6" t="s">
        <v>2470</v>
      </c>
      <c r="U942" s="6" t="s">
        <v>2463</v>
      </c>
      <c r="V942" s="6" t="s">
        <v>2498</v>
      </c>
      <c r="W942" s="6" t="s">
        <v>2476</v>
      </c>
      <c r="X942" s="8" t="s">
        <v>3058</v>
      </c>
      <c r="Y942" s="6" t="s">
        <v>3238</v>
      </c>
      <c r="Z942" s="6" t="s">
        <v>3262</v>
      </c>
      <c r="AA942" s="35" t="s">
        <v>3621</v>
      </c>
      <c r="AB942" s="35" t="s">
        <v>3608</v>
      </c>
      <c r="AC942" s="35" t="s">
        <v>3624</v>
      </c>
      <c r="AD942" s="35" t="s">
        <v>3610</v>
      </c>
      <c r="AE942" s="35" t="s">
        <v>3610</v>
      </c>
      <c r="AF942" s="35" t="s">
        <v>3611</v>
      </c>
      <c r="AG942" s="35" t="s">
        <v>3612</v>
      </c>
      <c r="AH942" s="35" t="s">
        <v>3625</v>
      </c>
    </row>
    <row r="943" spans="1:34" ht="14.45" hidden="1" customHeight="1" x14ac:dyDescent="0.3">
      <c r="A943" s="6" t="s">
        <v>620</v>
      </c>
      <c r="B943" s="7">
        <v>0</v>
      </c>
      <c r="C943" s="6" t="s">
        <v>619</v>
      </c>
      <c r="D943" s="6" t="s">
        <v>132</v>
      </c>
      <c r="E943" s="6" t="s">
        <v>565</v>
      </c>
      <c r="F943" s="6" t="s">
        <v>3229</v>
      </c>
      <c r="G943" s="8">
        <v>1.0893999999999999</v>
      </c>
      <c r="H943" s="8">
        <v>7.8380700000000001</v>
      </c>
      <c r="I943" s="6" t="s">
        <v>2477</v>
      </c>
      <c r="J943" s="6" t="s">
        <v>2459</v>
      </c>
      <c r="K943" s="6" t="s">
        <v>2468</v>
      </c>
      <c r="L943" s="6" t="s">
        <v>3563</v>
      </c>
      <c r="M943" s="6"/>
      <c r="N943" s="6" t="s">
        <v>2468</v>
      </c>
      <c r="O943" s="6" t="s">
        <v>40</v>
      </c>
      <c r="P943" s="6" t="str">
        <f>VLOOKUP(Tableau1[[#This Row],[SITES NAMES]],[1]Feuil1!$1:$1048576,8,FALSE)</f>
        <v>OK</v>
      </c>
      <c r="Q943" s="6" t="str">
        <f>VLOOKUP(Tableau1[[#This Row],[SITES NAMES]],[1]Feuil1!$1:$1048576,9,FALSE)</f>
        <v>NO</v>
      </c>
      <c r="R943" s="6" t="str">
        <f>VLOOKUP(Tableau1[[#This Row],[SITES NAMES]],[1]Feuil1!$1:$1048576,10,FALSE)</f>
        <v>NO</v>
      </c>
      <c r="S943" s="6" t="s">
        <v>2469</v>
      </c>
      <c r="T943" s="6" t="s">
        <v>2470</v>
      </c>
      <c r="U943" s="6" t="s">
        <v>2480</v>
      </c>
      <c r="V943" s="6" t="s">
        <v>2472</v>
      </c>
      <c r="W943" s="6" t="s">
        <v>2473</v>
      </c>
      <c r="X943" s="8" t="s">
        <v>2700</v>
      </c>
      <c r="Y943" s="6" t="s">
        <v>3238</v>
      </c>
      <c r="Z943" s="6"/>
      <c r="AA943" s="37" t="s">
        <v>3660</v>
      </c>
      <c r="AB943" s="39" t="s">
        <v>3644</v>
      </c>
      <c r="AC943" s="37" t="s">
        <v>3661</v>
      </c>
      <c r="AD943" s="39" t="s">
        <v>3646</v>
      </c>
      <c r="AE943" s="39" t="s">
        <v>3647</v>
      </c>
      <c r="AF943" s="39" t="s">
        <v>3662</v>
      </c>
      <c r="AG943" s="37" t="s">
        <v>3649</v>
      </c>
      <c r="AH943" s="37" t="s">
        <v>3663</v>
      </c>
    </row>
    <row r="944" spans="1:34" ht="14.45" hidden="1" customHeight="1" x14ac:dyDescent="0.3">
      <c r="A944" s="6" t="s">
        <v>548</v>
      </c>
      <c r="B944" s="7">
        <v>0</v>
      </c>
      <c r="C944" s="6" t="s">
        <v>547</v>
      </c>
      <c r="D944" s="6" t="s">
        <v>395</v>
      </c>
      <c r="E944" s="6" t="s">
        <v>396</v>
      </c>
      <c r="F944" s="6" t="s">
        <v>3229</v>
      </c>
      <c r="G944" s="8">
        <v>0.276113</v>
      </c>
      <c r="H944" s="8">
        <v>10.74724</v>
      </c>
      <c r="I944" s="6" t="s">
        <v>2486</v>
      </c>
      <c r="J944" s="6" t="s">
        <v>2459</v>
      </c>
      <c r="K944" s="6" t="s">
        <v>2460</v>
      </c>
      <c r="L944" s="6" t="s">
        <v>3564</v>
      </c>
      <c r="M944" s="6"/>
      <c r="N944" s="6" t="s">
        <v>3268</v>
      </c>
      <c r="O944" s="6" t="s">
        <v>40</v>
      </c>
      <c r="P944" s="6" t="str">
        <f>VLOOKUP(Tableau1[[#This Row],[SITES NAMES]],[1]Feuil1!$1:$1048576,8,FALSE)</f>
        <v>OK</v>
      </c>
      <c r="Q944" s="6" t="str">
        <f>VLOOKUP(Tableau1[[#This Row],[SITES NAMES]],[1]Feuil1!$1:$1048576,9,FALSE)</f>
        <v>NO</v>
      </c>
      <c r="R944" s="6" t="str">
        <f>VLOOKUP(Tableau1[[#This Row],[SITES NAMES]],[1]Feuil1!$1:$1048576,10,FALSE)</f>
        <v>NO</v>
      </c>
      <c r="S944" s="6" t="s">
        <v>2469</v>
      </c>
      <c r="T944" s="6" t="s">
        <v>2470</v>
      </c>
      <c r="U944" s="6" t="s">
        <v>2480</v>
      </c>
      <c r="V944" s="6" t="s">
        <v>2464</v>
      </c>
      <c r="W944" s="6" t="s">
        <v>2473</v>
      </c>
      <c r="X944" s="8" t="s">
        <v>2673</v>
      </c>
      <c r="Y944" s="6" t="s">
        <v>3240</v>
      </c>
      <c r="Z944" s="6" t="s">
        <v>3255</v>
      </c>
      <c r="AA944" s="37" t="s">
        <v>3704</v>
      </c>
      <c r="AB944" s="39" t="s">
        <v>3705</v>
      </c>
      <c r="AC944" s="37" t="s">
        <v>3706</v>
      </c>
      <c r="AD944" s="37" t="s">
        <v>3707</v>
      </c>
      <c r="AE944" s="37" t="s">
        <v>3708</v>
      </c>
      <c r="AF944" s="37" t="s">
        <v>3709</v>
      </c>
      <c r="AG944" s="46" t="s">
        <v>3710</v>
      </c>
      <c r="AH944" s="37" t="s">
        <v>3711</v>
      </c>
    </row>
    <row r="945" spans="1:34" ht="14.45" hidden="1" customHeight="1" x14ac:dyDescent="0.3">
      <c r="A945" s="6" t="s">
        <v>799</v>
      </c>
      <c r="B945" s="7">
        <v>43790</v>
      </c>
      <c r="C945" s="6" t="s">
        <v>798</v>
      </c>
      <c r="D945" s="6" t="s">
        <v>657</v>
      </c>
      <c r="E945" s="6" t="s">
        <v>758</v>
      </c>
      <c r="F945" s="6" t="s">
        <v>3229</v>
      </c>
      <c r="G945" s="8">
        <v>0.80562</v>
      </c>
      <c r="H945" s="8">
        <v>10.01764</v>
      </c>
      <c r="I945" s="6" t="s">
        <v>2477</v>
      </c>
      <c r="J945" s="6" t="s">
        <v>2459</v>
      </c>
      <c r="K945" s="6" t="s">
        <v>2468</v>
      </c>
      <c r="L945" s="6" t="s">
        <v>3548</v>
      </c>
      <c r="M945" s="6"/>
      <c r="N945" s="6" t="s">
        <v>2468</v>
      </c>
      <c r="O945" s="6" t="s">
        <v>40</v>
      </c>
      <c r="P945" s="6" t="str">
        <f>VLOOKUP(Tableau1[[#This Row],[SITES NAMES]],[1]Feuil1!$1:$1048576,8,FALSE)</f>
        <v>OK</v>
      </c>
      <c r="Q945" s="6" t="str">
        <f>VLOOKUP(Tableau1[[#This Row],[SITES NAMES]],[1]Feuil1!$1:$1048576,9,FALSE)</f>
        <v>NO</v>
      </c>
      <c r="R945" s="6" t="str">
        <f>VLOOKUP(Tableau1[[#This Row],[SITES NAMES]],[1]Feuil1!$1:$1048576,10,FALSE)</f>
        <v>NO</v>
      </c>
      <c r="S945" s="6" t="s">
        <v>2469</v>
      </c>
      <c r="T945" s="6" t="s">
        <v>2470</v>
      </c>
      <c r="U945" s="6" t="s">
        <v>2480</v>
      </c>
      <c r="V945" s="6" t="s">
        <v>2472</v>
      </c>
      <c r="W945" s="6" t="s">
        <v>2473</v>
      </c>
      <c r="X945" s="8" t="s">
        <v>2771</v>
      </c>
      <c r="Y945" s="6" t="s">
        <v>3239</v>
      </c>
      <c r="Z945" s="6" t="s">
        <v>3253</v>
      </c>
      <c r="AA945" s="37" t="s">
        <v>3687</v>
      </c>
      <c r="AB945" s="38" t="s">
        <v>3683</v>
      </c>
      <c r="AC945" s="37" t="s">
        <v>3688</v>
      </c>
      <c r="AD945" s="37" t="s">
        <v>3687</v>
      </c>
      <c r="AE945" s="37" t="s">
        <v>3689</v>
      </c>
      <c r="AF945" s="39" t="s">
        <v>3690</v>
      </c>
      <c r="AG945" s="40" t="s">
        <v>3685</v>
      </c>
      <c r="AH945" s="37" t="s">
        <v>3691</v>
      </c>
    </row>
    <row r="946" spans="1:34" ht="14.45" hidden="1" customHeight="1" x14ac:dyDescent="0.3">
      <c r="A946" s="6" t="s">
        <v>424</v>
      </c>
      <c r="B946" s="7">
        <v>43628</v>
      </c>
      <c r="C946" s="6" t="s">
        <v>423</v>
      </c>
      <c r="D946" s="6" t="s">
        <v>395</v>
      </c>
      <c r="E946" s="6" t="s">
        <v>396</v>
      </c>
      <c r="F946" s="6" t="s">
        <v>3229</v>
      </c>
      <c r="G946" s="8">
        <v>0.740344</v>
      </c>
      <c r="H946" s="8">
        <v>10.704164</v>
      </c>
      <c r="I946" s="6" t="s">
        <v>2477</v>
      </c>
      <c r="J946" s="6" t="s">
        <v>2459</v>
      </c>
      <c r="K946" s="6" t="s">
        <v>2468</v>
      </c>
      <c r="L946" s="6" t="s">
        <v>3378</v>
      </c>
      <c r="M946" s="6"/>
      <c r="N946" s="6" t="s">
        <v>2468</v>
      </c>
      <c r="O946" s="6" t="s">
        <v>40</v>
      </c>
      <c r="P946" s="6" t="str">
        <f>VLOOKUP(Tableau1[[#This Row],[SITES NAMES]],[1]Feuil1!$1:$1048576,8,FALSE)</f>
        <v>NOK</v>
      </c>
      <c r="Q946" s="6" t="str">
        <f>VLOOKUP(Tableau1[[#This Row],[SITES NAMES]],[1]Feuil1!$1:$1048576,9,FALSE)</f>
        <v>NO</v>
      </c>
      <c r="R946" s="6" t="str">
        <f>VLOOKUP(Tableau1[[#This Row],[SITES NAMES]],[1]Feuil1!$1:$1048576,10,FALSE)</f>
        <v>NO</v>
      </c>
      <c r="S946" s="6" t="s">
        <v>2630</v>
      </c>
      <c r="T946" s="6" t="s">
        <v>2631</v>
      </c>
      <c r="U946" s="6" t="s">
        <v>2632</v>
      </c>
      <c r="V946" s="6" t="s">
        <v>2472</v>
      </c>
      <c r="W946" s="6" t="s">
        <v>2473</v>
      </c>
      <c r="X946" s="8" t="s">
        <v>2633</v>
      </c>
      <c r="Y946" s="6" t="s">
        <v>3240</v>
      </c>
      <c r="Z946" s="6" t="s">
        <v>3255</v>
      </c>
      <c r="AA946" s="37" t="s">
        <v>3704</v>
      </c>
      <c r="AB946" s="39" t="s">
        <v>3705</v>
      </c>
      <c r="AC946" s="37" t="s">
        <v>3706</v>
      </c>
      <c r="AD946" s="37" t="s">
        <v>3707</v>
      </c>
      <c r="AE946" s="37" t="s">
        <v>3708</v>
      </c>
      <c r="AF946" s="37" t="s">
        <v>3709</v>
      </c>
      <c r="AG946" s="46" t="s">
        <v>3710</v>
      </c>
      <c r="AH946" s="37" t="s">
        <v>3711</v>
      </c>
    </row>
    <row r="947" spans="1:34" ht="14.45" hidden="1" customHeight="1" x14ac:dyDescent="0.3">
      <c r="A947" s="6" t="s">
        <v>464</v>
      </c>
      <c r="B947" s="7">
        <v>0</v>
      </c>
      <c r="C947" s="6" t="s">
        <v>463</v>
      </c>
      <c r="D947" s="6" t="s">
        <v>395</v>
      </c>
      <c r="E947" s="6" t="s">
        <v>396</v>
      </c>
      <c r="F947" s="6" t="s">
        <v>3229</v>
      </c>
      <c r="G947" s="8">
        <v>0.42377799999999999</v>
      </c>
      <c r="H947" s="8">
        <v>11.001778</v>
      </c>
      <c r="I947" s="6" t="s">
        <v>2477</v>
      </c>
      <c r="J947" s="6" t="s">
        <v>2459</v>
      </c>
      <c r="K947" s="6" t="s">
        <v>2468</v>
      </c>
      <c r="L947" s="6" t="s">
        <v>3565</v>
      </c>
      <c r="M947" s="6"/>
      <c r="N947" s="6" t="s">
        <v>2468</v>
      </c>
      <c r="O947" s="6" t="s">
        <v>18</v>
      </c>
      <c r="P947" s="6" t="str">
        <f>VLOOKUP(Tableau1[[#This Row],[SITES NAMES]],[1]Feuil1!$1:$1048576,8,FALSE)</f>
        <v>NOK</v>
      </c>
      <c r="Q947" s="6" t="str">
        <f>VLOOKUP(Tableau1[[#This Row],[SITES NAMES]],[1]Feuil1!$1:$1048576,9,FALSE)</f>
        <v>NO</v>
      </c>
      <c r="R947" s="6" t="str">
        <f>VLOOKUP(Tableau1[[#This Row],[SITES NAMES]],[1]Feuil1!$1:$1048576,10,FALSE)</f>
        <v>YES</v>
      </c>
      <c r="S947" s="6" t="s">
        <v>2461</v>
      </c>
      <c r="T947" s="6" t="s">
        <v>2470</v>
      </c>
      <c r="U947" s="6" t="s">
        <v>2471</v>
      </c>
      <c r="V947" s="6" t="s">
        <v>2464</v>
      </c>
      <c r="W947" s="6" t="s">
        <v>2473</v>
      </c>
      <c r="X947" s="8" t="s">
        <v>2650</v>
      </c>
      <c r="Y947" s="6" t="s">
        <v>3240</v>
      </c>
      <c r="Z947" s="6" t="s">
        <v>3255</v>
      </c>
      <c r="AA947" s="37" t="s">
        <v>3704</v>
      </c>
      <c r="AB947" s="39" t="s">
        <v>3705</v>
      </c>
      <c r="AC947" s="37" t="s">
        <v>3706</v>
      </c>
      <c r="AD947" s="37" t="s">
        <v>3707</v>
      </c>
      <c r="AE947" s="37" t="s">
        <v>3708</v>
      </c>
      <c r="AF947" s="37" t="s">
        <v>3709</v>
      </c>
      <c r="AG947" s="46" t="s">
        <v>3710</v>
      </c>
      <c r="AH947" s="37" t="s">
        <v>3711</v>
      </c>
    </row>
    <row r="948" spans="1:34" ht="14.45" hidden="1" customHeight="1" x14ac:dyDescent="0.3">
      <c r="A948" s="6" t="s">
        <v>1141</v>
      </c>
      <c r="B948" s="7">
        <v>0</v>
      </c>
      <c r="C948" s="6" t="s">
        <v>1140</v>
      </c>
      <c r="D948" s="6" t="s">
        <v>5</v>
      </c>
      <c r="E948" s="6" t="s">
        <v>1003</v>
      </c>
      <c r="F948" s="6" t="s">
        <v>3229</v>
      </c>
      <c r="G948" s="8">
        <v>0.86091700000000004</v>
      </c>
      <c r="H948" s="8">
        <v>7.34253</v>
      </c>
      <c r="I948" s="6" t="s">
        <v>2477</v>
      </c>
      <c r="J948" s="6" t="s">
        <v>2459</v>
      </c>
      <c r="K948" s="6" t="s">
        <v>2460</v>
      </c>
      <c r="L948" s="6"/>
      <c r="M948" s="6"/>
      <c r="N948" s="6" t="s">
        <v>3268</v>
      </c>
      <c r="O948" s="6" t="s">
        <v>7</v>
      </c>
      <c r="P948" s="6" t="str">
        <f>VLOOKUP(Tableau1[[#This Row],[SITES NAMES]],[1]Feuil1!$1:$1048576,8,FALSE)</f>
        <v>OK</v>
      </c>
      <c r="Q948" s="6" t="str">
        <f>VLOOKUP(Tableau1[[#This Row],[SITES NAMES]],[1]Feuil1!$1:$1048576,9,FALSE)</f>
        <v>NO</v>
      </c>
      <c r="R948" s="6" t="str">
        <f>VLOOKUP(Tableau1[[#This Row],[SITES NAMES]],[1]Feuil1!$1:$1048576,10,FALSE)</f>
        <v>NO</v>
      </c>
      <c r="S948" s="6" t="s">
        <v>2469</v>
      </c>
      <c r="T948" s="6" t="s">
        <v>2470</v>
      </c>
      <c r="U948" s="6" t="s">
        <v>2480</v>
      </c>
      <c r="V948" s="6" t="s">
        <v>2472</v>
      </c>
      <c r="W948" s="6" t="s">
        <v>2473</v>
      </c>
      <c r="X948" s="8" t="s">
        <v>2887</v>
      </c>
      <c r="Y948" s="6" t="s">
        <v>3241</v>
      </c>
      <c r="Z948" s="6"/>
      <c r="AA948" s="37" t="s">
        <v>3634</v>
      </c>
      <c r="AB948" s="38" t="s">
        <v>3627</v>
      </c>
      <c r="AC948" s="37" t="s">
        <v>3635</v>
      </c>
      <c r="AD948" s="37" t="s">
        <v>3636</v>
      </c>
      <c r="AE948" s="37" t="s">
        <v>3637</v>
      </c>
      <c r="AF948" s="37" t="s">
        <v>3636</v>
      </c>
      <c r="AG948" s="37" t="s">
        <v>3638</v>
      </c>
      <c r="AH948" s="37" t="s">
        <v>3639</v>
      </c>
    </row>
    <row r="949" spans="1:34" ht="14.45" hidden="1" customHeight="1" x14ac:dyDescent="0.3">
      <c r="A949" s="6" t="s">
        <v>2036</v>
      </c>
      <c r="B949" s="7">
        <v>43869</v>
      </c>
      <c r="C949" s="6" t="s">
        <v>2035</v>
      </c>
      <c r="D949" s="6" t="s">
        <v>395</v>
      </c>
      <c r="E949" s="6" t="s">
        <v>1965</v>
      </c>
      <c r="F949" s="6" t="s">
        <v>3229</v>
      </c>
      <c r="G949" s="8">
        <v>0.47298899999999999</v>
      </c>
      <c r="H949" s="8">
        <v>10.451063</v>
      </c>
      <c r="I949" s="6" t="s">
        <v>2477</v>
      </c>
      <c r="J949" s="6" t="s">
        <v>2459</v>
      </c>
      <c r="K949" s="6" t="s">
        <v>2468</v>
      </c>
      <c r="L949" s="6" t="s">
        <v>3566</v>
      </c>
      <c r="M949" s="6"/>
      <c r="N949" s="6" t="s">
        <v>2468</v>
      </c>
      <c r="O949" s="6" t="s">
        <v>18</v>
      </c>
      <c r="P949" s="6" t="str">
        <f>VLOOKUP(Tableau1[[#This Row],[SITES NAMES]],[1]Feuil1!$1:$1048576,8,FALSE)</f>
        <v>OK</v>
      </c>
      <c r="Q949" s="6" t="str">
        <f>VLOOKUP(Tableau1[[#This Row],[SITES NAMES]],[1]Feuil1!$1:$1048576,9,FALSE)</f>
        <v>NO</v>
      </c>
      <c r="R949" s="6" t="str">
        <f>VLOOKUP(Tableau1[[#This Row],[SITES NAMES]],[1]Feuil1!$1:$1048576,10,FALSE)</f>
        <v>NO</v>
      </c>
      <c r="S949" s="6" t="s">
        <v>2469</v>
      </c>
      <c r="T949" s="6" t="s">
        <v>2470</v>
      </c>
      <c r="U949" s="6" t="s">
        <v>2480</v>
      </c>
      <c r="V949" s="6" t="s">
        <v>2472</v>
      </c>
      <c r="W949" s="6" t="s">
        <v>2473</v>
      </c>
      <c r="X949" s="8" t="s">
        <v>3089</v>
      </c>
      <c r="Y949" s="6" t="s">
        <v>3240</v>
      </c>
      <c r="Z949" s="6" t="s">
        <v>3255</v>
      </c>
      <c r="AA949" s="37" t="s">
        <v>3712</v>
      </c>
      <c r="AB949" s="39" t="s">
        <v>3705</v>
      </c>
      <c r="AC949" s="37" t="s">
        <v>3713</v>
      </c>
      <c r="AD949" s="37" t="s">
        <v>3712</v>
      </c>
      <c r="AE949" s="37" t="s">
        <v>3712</v>
      </c>
      <c r="AF949" s="37" t="s">
        <v>3712</v>
      </c>
      <c r="AG949" s="40" t="s">
        <v>3714</v>
      </c>
      <c r="AH949" s="37" t="s">
        <v>3715</v>
      </c>
    </row>
    <row r="950" spans="1:34" ht="14.45" hidden="1" customHeight="1" x14ac:dyDescent="0.25">
      <c r="A950" s="6" t="s">
        <v>1550</v>
      </c>
      <c r="B950" s="7">
        <v>44857</v>
      </c>
      <c r="C950" s="6" t="s">
        <v>1549</v>
      </c>
      <c r="D950" s="6" t="s">
        <v>66</v>
      </c>
      <c r="E950" s="6" t="s">
        <v>3233</v>
      </c>
      <c r="F950" s="6" t="s">
        <v>3229</v>
      </c>
      <c r="G950" s="8">
        <v>1.2150749999999999</v>
      </c>
      <c r="H950" s="8">
        <v>6.246499</v>
      </c>
      <c r="I950" s="6" t="s">
        <v>2475</v>
      </c>
      <c r="J950" s="6" t="s">
        <v>2459</v>
      </c>
      <c r="K950" s="6" t="s">
        <v>2460</v>
      </c>
      <c r="L950" s="6" t="s">
        <v>3567</v>
      </c>
      <c r="M950" s="6"/>
      <c r="N950" s="6" t="s">
        <v>3268</v>
      </c>
      <c r="O950" s="6" t="s">
        <v>7</v>
      </c>
      <c r="P950" s="6" t="str">
        <f>VLOOKUP(Tableau1[[#This Row],[SITES NAMES]],[1]Feuil1!$1:$1048576,8,FALSE)</f>
        <v>OK</v>
      </c>
      <c r="Q950" s="6" t="str">
        <f>VLOOKUP(Tableau1[[#This Row],[SITES NAMES]],[1]Feuil1!$1:$1048576,9,FALSE)</f>
        <v>NO</v>
      </c>
      <c r="R950" s="6" t="str">
        <f>VLOOKUP(Tableau1[[#This Row],[SITES NAMES]],[1]Feuil1!$1:$1048576,10,FALSE)</f>
        <v>YES</v>
      </c>
      <c r="S950" s="6" t="s">
        <v>2469</v>
      </c>
      <c r="T950" s="6" t="s">
        <v>2470</v>
      </c>
      <c r="U950" s="6" t="s">
        <v>2471</v>
      </c>
      <c r="V950" s="6" t="s">
        <v>2464</v>
      </c>
      <c r="W950" s="6" t="s">
        <v>2476</v>
      </c>
      <c r="X950" s="8">
        <v>70997255</v>
      </c>
      <c r="Y950" s="6" t="s">
        <v>3238</v>
      </c>
      <c r="Z950" s="6" t="s">
        <v>3264</v>
      </c>
      <c r="AA950" s="35" t="s">
        <v>3616</v>
      </c>
      <c r="AB950" s="35" t="s">
        <v>3608</v>
      </c>
      <c r="AC950" s="35" t="s">
        <v>3617</v>
      </c>
      <c r="AD950" s="35" t="s">
        <v>3610</v>
      </c>
      <c r="AE950" s="35" t="s">
        <v>3610</v>
      </c>
      <c r="AF950" s="35" t="s">
        <v>3611</v>
      </c>
      <c r="AG950" s="35" t="s">
        <v>3612</v>
      </c>
      <c r="AH950" s="35" t="s">
        <v>3618</v>
      </c>
    </row>
    <row r="951" spans="1:34" ht="14.45" hidden="1" customHeight="1" x14ac:dyDescent="0.3">
      <c r="A951" s="6" t="s">
        <v>889</v>
      </c>
      <c r="B951" s="7">
        <v>43750</v>
      </c>
      <c r="C951" s="6" t="s">
        <v>888</v>
      </c>
      <c r="D951" s="6" t="s">
        <v>657</v>
      </c>
      <c r="E951" s="6" t="s">
        <v>3237</v>
      </c>
      <c r="F951" s="6" t="s">
        <v>3229</v>
      </c>
      <c r="G951" s="8">
        <v>1.23506</v>
      </c>
      <c r="H951" s="8">
        <v>9.7820900000000002</v>
      </c>
      <c r="I951" s="6" t="s">
        <v>2477</v>
      </c>
      <c r="J951" s="6" t="s">
        <v>2459</v>
      </c>
      <c r="K951" s="6" t="s">
        <v>2468</v>
      </c>
      <c r="L951" s="6" t="s">
        <v>3568</v>
      </c>
      <c r="M951" s="6"/>
      <c r="N951" s="6" t="s">
        <v>2468</v>
      </c>
      <c r="O951" s="6" t="s">
        <v>40</v>
      </c>
      <c r="P951" s="6" t="str">
        <f>VLOOKUP(Tableau1[[#This Row],[SITES NAMES]],[1]Feuil1!$1:$1048576,8,FALSE)</f>
        <v>NOK</v>
      </c>
      <c r="Q951" s="6" t="str">
        <f>VLOOKUP(Tableau1[[#This Row],[SITES NAMES]],[1]Feuil1!$1:$1048576,9,FALSE)</f>
        <v>NO</v>
      </c>
      <c r="R951" s="6" t="str">
        <f>VLOOKUP(Tableau1[[#This Row],[SITES NAMES]],[1]Feuil1!$1:$1048576,10,FALSE)</f>
        <v>NO</v>
      </c>
      <c r="S951" s="6" t="s">
        <v>2469</v>
      </c>
      <c r="T951" s="6" t="s">
        <v>2470</v>
      </c>
      <c r="U951" s="6" t="s">
        <v>2480</v>
      </c>
      <c r="V951" s="6" t="s">
        <v>2472</v>
      </c>
      <c r="W951" s="6" t="s">
        <v>2473</v>
      </c>
      <c r="X951" s="8" t="s">
        <v>2799</v>
      </c>
      <c r="Y951" s="6" t="s">
        <v>3239</v>
      </c>
      <c r="Z951" s="6" t="s">
        <v>3253</v>
      </c>
      <c r="AA951" s="37" t="s">
        <v>3692</v>
      </c>
      <c r="AB951" s="38" t="s">
        <v>3683</v>
      </c>
      <c r="AC951" s="39" t="s">
        <v>3693</v>
      </c>
      <c r="AD951" s="39" t="s">
        <v>3694</v>
      </c>
      <c r="AE951" s="37" t="s">
        <v>3695</v>
      </c>
      <c r="AF951" s="39" t="s">
        <v>3696</v>
      </c>
      <c r="AG951" s="40" t="s">
        <v>3685</v>
      </c>
      <c r="AH951" s="37" t="s">
        <v>3697</v>
      </c>
    </row>
    <row r="952" spans="1:34" ht="14.45" hidden="1" customHeight="1" x14ac:dyDescent="0.25">
      <c r="A952" s="6" t="s">
        <v>1552</v>
      </c>
      <c r="B952" s="7">
        <v>44349</v>
      </c>
      <c r="C952" s="6" t="s">
        <v>1551</v>
      </c>
      <c r="D952" s="6" t="s">
        <v>66</v>
      </c>
      <c r="E952" s="6" t="s">
        <v>3233</v>
      </c>
      <c r="F952" s="6" t="s">
        <v>3229</v>
      </c>
      <c r="G952" s="8">
        <v>1.2200930000000001</v>
      </c>
      <c r="H952" s="8">
        <v>6.3286610000000003</v>
      </c>
      <c r="I952" s="6" t="s">
        <v>2497</v>
      </c>
      <c r="J952" s="6" t="s">
        <v>2459</v>
      </c>
      <c r="K952" s="6" t="s">
        <v>2460</v>
      </c>
      <c r="L952" s="6"/>
      <c r="M952" s="6"/>
      <c r="N952" s="6" t="s">
        <v>3268</v>
      </c>
      <c r="O952" s="6" t="s">
        <v>7</v>
      </c>
      <c r="P952" s="6" t="str">
        <f>VLOOKUP(Tableau1[[#This Row],[SITES NAMES]],[1]Feuil1!$1:$1048576,8,FALSE)</f>
        <v>OK</v>
      </c>
      <c r="Q952" s="6" t="str">
        <f>VLOOKUP(Tableau1[[#This Row],[SITES NAMES]],[1]Feuil1!$1:$1048576,9,FALSE)</f>
        <v>NO</v>
      </c>
      <c r="R952" s="6" t="str">
        <f>VLOOKUP(Tableau1[[#This Row],[SITES NAMES]],[1]Feuil1!$1:$1048576,10,FALSE)</f>
        <v>NO</v>
      </c>
      <c r="S952" s="6" t="s">
        <v>2469</v>
      </c>
      <c r="T952" s="6" t="s">
        <v>2470</v>
      </c>
      <c r="U952" s="6" t="s">
        <v>2480</v>
      </c>
      <c r="V952" s="6" t="s">
        <v>2498</v>
      </c>
      <c r="W952" s="6" t="s">
        <v>2465</v>
      </c>
      <c r="X952" s="8"/>
      <c r="Y952" s="6" t="s">
        <v>3238</v>
      </c>
      <c r="Z952" s="6" t="s">
        <v>3264</v>
      </c>
      <c r="AA952" s="35" t="s">
        <v>3616</v>
      </c>
      <c r="AB952" s="35" t="s">
        <v>3608</v>
      </c>
      <c r="AC952" s="35" t="s">
        <v>3617</v>
      </c>
      <c r="AD952" s="35" t="s">
        <v>3610</v>
      </c>
      <c r="AE952" s="35" t="s">
        <v>3610</v>
      </c>
      <c r="AF952" s="35" t="s">
        <v>3611</v>
      </c>
      <c r="AG952" s="35" t="s">
        <v>3612</v>
      </c>
      <c r="AH952" s="35" t="s">
        <v>3618</v>
      </c>
    </row>
    <row r="953" spans="1:34" ht="14.45" hidden="1" customHeight="1" x14ac:dyDescent="0.25">
      <c r="A953" s="6" t="s">
        <v>1554</v>
      </c>
      <c r="B953" s="7">
        <v>44544</v>
      </c>
      <c r="C953" s="6" t="s">
        <v>1553</v>
      </c>
      <c r="D953" s="6" t="s">
        <v>66</v>
      </c>
      <c r="E953" s="6" t="s">
        <v>3233</v>
      </c>
      <c r="F953" s="6" t="s">
        <v>3229</v>
      </c>
      <c r="G953" s="8">
        <v>1.22634</v>
      </c>
      <c r="H953" s="8">
        <v>6.3398199999999996</v>
      </c>
      <c r="I953" s="6" t="s">
        <v>2497</v>
      </c>
      <c r="J953" s="6" t="s">
        <v>2459</v>
      </c>
      <c r="K953" s="6" t="s">
        <v>2460</v>
      </c>
      <c r="L953" s="6"/>
      <c r="M953" s="6"/>
      <c r="N953" s="6" t="s">
        <v>3268</v>
      </c>
      <c r="O953" s="6" t="s">
        <v>7</v>
      </c>
      <c r="P953" s="6" t="str">
        <f>VLOOKUP(Tableau1[[#This Row],[SITES NAMES]],[1]Feuil1!$1:$1048576,8,FALSE)</f>
        <v>OK</v>
      </c>
      <c r="Q953" s="6" t="str">
        <f>VLOOKUP(Tableau1[[#This Row],[SITES NAMES]],[1]Feuil1!$1:$1048576,9,FALSE)</f>
        <v>NO</v>
      </c>
      <c r="R953" s="6" t="str">
        <f>VLOOKUP(Tableau1[[#This Row],[SITES NAMES]],[1]Feuil1!$1:$1048576,10,FALSE)</f>
        <v>YES</v>
      </c>
      <c r="S953" s="6" t="s">
        <v>2469</v>
      </c>
      <c r="T953" s="6" t="s">
        <v>2470</v>
      </c>
      <c r="U953" s="6" t="s">
        <v>2480</v>
      </c>
      <c r="V953" s="6" t="s">
        <v>2498</v>
      </c>
      <c r="W953" s="6" t="s">
        <v>2465</v>
      </c>
      <c r="X953" s="8"/>
      <c r="Y953" s="6" t="s">
        <v>3238</v>
      </c>
      <c r="Z953" s="6" t="s">
        <v>3264</v>
      </c>
      <c r="AA953" s="35" t="s">
        <v>3616</v>
      </c>
      <c r="AB953" s="35" t="s">
        <v>3608</v>
      </c>
      <c r="AC953" s="35" t="s">
        <v>3617</v>
      </c>
      <c r="AD953" s="35" t="s">
        <v>3610</v>
      </c>
      <c r="AE953" s="35" t="s">
        <v>3610</v>
      </c>
      <c r="AF953" s="35" t="s">
        <v>3611</v>
      </c>
      <c r="AG953" s="35" t="s">
        <v>3612</v>
      </c>
      <c r="AH953" s="35" t="s">
        <v>3618</v>
      </c>
    </row>
    <row r="954" spans="1:34" ht="14.45" hidden="1" customHeight="1" x14ac:dyDescent="0.3">
      <c r="A954" s="6" t="s">
        <v>466</v>
      </c>
      <c r="B954" s="7">
        <v>0</v>
      </c>
      <c r="C954" s="6" t="s">
        <v>465</v>
      </c>
      <c r="D954" s="6" t="s">
        <v>395</v>
      </c>
      <c r="E954" s="6" t="s">
        <v>396</v>
      </c>
      <c r="F954" s="6" t="s">
        <v>3229</v>
      </c>
      <c r="G954" s="8">
        <v>0.482184</v>
      </c>
      <c r="H954" s="8">
        <v>10.971909999999999</v>
      </c>
      <c r="I954" s="6" t="s">
        <v>2477</v>
      </c>
      <c r="J954" s="6" t="s">
        <v>2459</v>
      </c>
      <c r="K954" s="6" t="s">
        <v>2468</v>
      </c>
      <c r="L954" s="6" t="s">
        <v>3565</v>
      </c>
      <c r="M954" s="6"/>
      <c r="N954" s="6" t="s">
        <v>2468</v>
      </c>
      <c r="O954" s="6" t="s">
        <v>18</v>
      </c>
      <c r="P954" s="6" t="str">
        <f>VLOOKUP(Tableau1[[#This Row],[SITES NAMES]],[1]Feuil1!$1:$1048576,8,FALSE)</f>
        <v>NOK</v>
      </c>
      <c r="Q954" s="6" t="str">
        <f>VLOOKUP(Tableau1[[#This Row],[SITES NAMES]],[1]Feuil1!$1:$1048576,9,FALSE)</f>
        <v>NO</v>
      </c>
      <c r="R954" s="6" t="str">
        <f>VLOOKUP(Tableau1[[#This Row],[SITES NAMES]],[1]Feuil1!$1:$1048576,10,FALSE)</f>
        <v>NO</v>
      </c>
      <c r="S954" s="6" t="s">
        <v>2469</v>
      </c>
      <c r="T954" s="6" t="s">
        <v>2470</v>
      </c>
      <c r="U954" s="6" t="s">
        <v>2480</v>
      </c>
      <c r="V954" s="6" t="s">
        <v>2464</v>
      </c>
      <c r="W954" s="6" t="s">
        <v>2473</v>
      </c>
      <c r="X954" s="8" t="s">
        <v>2651</v>
      </c>
      <c r="Y954" s="6" t="s">
        <v>3240</v>
      </c>
      <c r="Z954" s="6" t="s">
        <v>3255</v>
      </c>
      <c r="AA954" s="37" t="s">
        <v>3704</v>
      </c>
      <c r="AB954" s="39" t="s">
        <v>3705</v>
      </c>
      <c r="AC954" s="37" t="s">
        <v>3706</v>
      </c>
      <c r="AD954" s="37" t="s">
        <v>3707</v>
      </c>
      <c r="AE954" s="37" t="s">
        <v>3708</v>
      </c>
      <c r="AF954" s="37" t="s">
        <v>3709</v>
      </c>
      <c r="AG954" s="46" t="s">
        <v>3710</v>
      </c>
      <c r="AH954" s="37" t="s">
        <v>3711</v>
      </c>
    </row>
    <row r="955" spans="1:34" hidden="1" x14ac:dyDescent="0.25">
      <c r="A955" s="6" t="s">
        <v>1422</v>
      </c>
      <c r="B955" s="7">
        <v>0</v>
      </c>
      <c r="C955" s="6" t="s">
        <v>1421</v>
      </c>
      <c r="D955" s="6" t="s">
        <v>66</v>
      </c>
      <c r="E955" s="6" t="s">
        <v>3231</v>
      </c>
      <c r="F955" s="18" t="s">
        <v>3230</v>
      </c>
      <c r="G955" s="8">
        <v>1.2756000000000001</v>
      </c>
      <c r="H955" s="8">
        <v>6.1441039999999996</v>
      </c>
      <c r="I955" s="6" t="s">
        <v>2497</v>
      </c>
      <c r="J955" s="6" t="s">
        <v>2459</v>
      </c>
      <c r="K955" s="6" t="s">
        <v>2460</v>
      </c>
      <c r="L955" s="6"/>
      <c r="M955" s="6"/>
      <c r="N955" s="21" t="s">
        <v>3269</v>
      </c>
      <c r="O955" s="6" t="s">
        <v>7</v>
      </c>
      <c r="P955" s="6" t="str">
        <f>VLOOKUP(Tableau1[[#This Row],[SITES NAMES]],[1]Feuil1!$1:$1048576,8,FALSE)</f>
        <v>OK</v>
      </c>
      <c r="Q955" s="6" t="str">
        <f>VLOOKUP(Tableau1[[#This Row],[SITES NAMES]],[1]Feuil1!$1:$1048576,9,FALSE)</f>
        <v>NO</v>
      </c>
      <c r="R955" s="6" t="str">
        <f>VLOOKUP(Tableau1[[#This Row],[SITES NAMES]],[1]Feuil1!$1:$1048576,10,FALSE)</f>
        <v>NO</v>
      </c>
      <c r="S955" s="6" t="s">
        <v>2469</v>
      </c>
      <c r="T955" s="6" t="s">
        <v>2470</v>
      </c>
      <c r="U955" s="6" t="s">
        <v>2471</v>
      </c>
      <c r="V955" s="6" t="s">
        <v>2498</v>
      </c>
      <c r="W955" s="6" t="s">
        <v>2476</v>
      </c>
      <c r="X955" s="8" t="s">
        <v>2947</v>
      </c>
      <c r="Y955" s="6" t="s">
        <v>3238</v>
      </c>
      <c r="Z955" s="6"/>
      <c r="AA955" s="35" t="s">
        <v>3621</v>
      </c>
      <c r="AB955" s="35" t="s">
        <v>3608</v>
      </c>
      <c r="AC955" s="35" t="s">
        <v>3622</v>
      </c>
      <c r="AD955" s="35" t="s">
        <v>3610</v>
      </c>
      <c r="AE955" s="35" t="s">
        <v>3610</v>
      </c>
      <c r="AF955" s="35" t="s">
        <v>3611</v>
      </c>
      <c r="AG955" s="35" t="s">
        <v>3612</v>
      </c>
      <c r="AH955" s="35" t="s">
        <v>3623</v>
      </c>
    </row>
    <row r="956" spans="1:34" ht="14.45" hidden="1" customHeight="1" x14ac:dyDescent="0.25">
      <c r="A956" s="6" t="s">
        <v>1324</v>
      </c>
      <c r="B956" s="7">
        <v>46022</v>
      </c>
      <c r="C956" s="6" t="s">
        <v>1323</v>
      </c>
      <c r="D956" s="6" t="s">
        <v>66</v>
      </c>
      <c r="E956" s="6" t="s">
        <v>3231</v>
      </c>
      <c r="F956" s="6" t="s">
        <v>3229</v>
      </c>
      <c r="G956" s="8">
        <v>1.2723409999999999</v>
      </c>
      <c r="H956" s="8">
        <v>6.1473170000000001</v>
      </c>
      <c r="I956" s="16" t="s">
        <v>2475</v>
      </c>
      <c r="J956" s="6" t="s">
        <v>2459</v>
      </c>
      <c r="K956" s="6" t="s">
        <v>2468</v>
      </c>
      <c r="L956" s="6" t="s">
        <v>1422</v>
      </c>
      <c r="M956" s="6"/>
      <c r="N956" s="6" t="s">
        <v>2468</v>
      </c>
      <c r="O956" s="6" t="s">
        <v>7</v>
      </c>
      <c r="P956" s="6"/>
      <c r="Q956" s="6"/>
      <c r="R956" s="6"/>
      <c r="S956" s="6"/>
      <c r="T956" s="6"/>
      <c r="U956" s="6"/>
      <c r="V956" s="6"/>
      <c r="W956" s="6"/>
      <c r="X956" s="8"/>
      <c r="Y956" s="6" t="s">
        <v>3238</v>
      </c>
      <c r="Z956" s="6"/>
      <c r="AA956" s="35" t="s">
        <v>3621</v>
      </c>
      <c r="AB956" s="35" t="s">
        <v>3608</v>
      </c>
      <c r="AC956" s="35" t="s">
        <v>3622</v>
      </c>
      <c r="AD956" s="35" t="s">
        <v>3610</v>
      </c>
      <c r="AE956" s="35" t="s">
        <v>3610</v>
      </c>
      <c r="AF956" s="35" t="s">
        <v>3611</v>
      </c>
      <c r="AG956" s="35" t="s">
        <v>3612</v>
      </c>
      <c r="AH956" s="35" t="s">
        <v>3623</v>
      </c>
    </row>
    <row r="957" spans="1:34" ht="14.45" hidden="1" customHeight="1" x14ac:dyDescent="0.25">
      <c r="A957" s="6" t="s">
        <v>1424</v>
      </c>
      <c r="B957" s="7">
        <v>0</v>
      </c>
      <c r="C957" s="6" t="s">
        <v>1423</v>
      </c>
      <c r="D957" s="6" t="s">
        <v>66</v>
      </c>
      <c r="E957" s="6" t="s">
        <v>3231</v>
      </c>
      <c r="F957" s="6" t="s">
        <v>3229</v>
      </c>
      <c r="G957" s="8">
        <v>1.2772810000000001</v>
      </c>
      <c r="H957" s="8">
        <v>6.1518949999999997</v>
      </c>
      <c r="I957" s="6" t="s">
        <v>2497</v>
      </c>
      <c r="J957" s="6" t="s">
        <v>2459</v>
      </c>
      <c r="K957" s="6" t="s">
        <v>2460</v>
      </c>
      <c r="L957" s="6" t="s">
        <v>3569</v>
      </c>
      <c r="M957" s="6"/>
      <c r="N957" s="6" t="s">
        <v>3268</v>
      </c>
      <c r="O957" s="6" t="s">
        <v>1206</v>
      </c>
      <c r="P957" s="6"/>
      <c r="Q957" s="6" t="str">
        <f>VLOOKUP(Tableau1[[#This Row],[SITES NAMES]],[1]Feuil1!$1:$1048576,9,FALSE)</f>
        <v>YES</v>
      </c>
      <c r="R957" s="6" t="str">
        <f>VLOOKUP(Tableau1[[#This Row],[SITES NAMES]],[1]Feuil1!$1:$1048576,10,FALSE)</f>
        <v>NO</v>
      </c>
      <c r="S957" s="6" t="s">
        <v>2461</v>
      </c>
      <c r="T957" s="6" t="s">
        <v>2462</v>
      </c>
      <c r="U957" s="6" t="s">
        <v>2463</v>
      </c>
      <c r="V957" s="6" t="s">
        <v>2498</v>
      </c>
      <c r="W957" s="6" t="s">
        <v>2476</v>
      </c>
      <c r="X957" s="8">
        <v>70997089</v>
      </c>
      <c r="Y957" s="6" t="s">
        <v>3238</v>
      </c>
      <c r="Z957" s="6"/>
      <c r="AA957" s="35" t="s">
        <v>3621</v>
      </c>
      <c r="AB957" s="35" t="s">
        <v>3608</v>
      </c>
      <c r="AC957" s="35" t="s">
        <v>3622</v>
      </c>
      <c r="AD957" s="35" t="s">
        <v>3610</v>
      </c>
      <c r="AE957" s="35" t="s">
        <v>3610</v>
      </c>
      <c r="AF957" s="35" t="s">
        <v>3611</v>
      </c>
      <c r="AG957" s="35" t="s">
        <v>3612</v>
      </c>
      <c r="AH957" s="35" t="s">
        <v>3623</v>
      </c>
    </row>
    <row r="958" spans="1:34" ht="14.45" hidden="1" customHeight="1" x14ac:dyDescent="0.25">
      <c r="A958" s="6" t="s">
        <v>1426</v>
      </c>
      <c r="B958" s="7">
        <v>0</v>
      </c>
      <c r="C958" s="6" t="s">
        <v>1425</v>
      </c>
      <c r="D958" s="6" t="s">
        <v>66</v>
      </c>
      <c r="E958" s="6" t="s">
        <v>3231</v>
      </c>
      <c r="F958" s="6" t="s">
        <v>3229</v>
      </c>
      <c r="G958" s="8">
        <v>1.2773699999999999</v>
      </c>
      <c r="H958" s="8">
        <v>6.1532414150000001</v>
      </c>
      <c r="I958" s="6" t="s">
        <v>2497</v>
      </c>
      <c r="J958" s="6" t="s">
        <v>2459</v>
      </c>
      <c r="K958" s="6" t="s">
        <v>2468</v>
      </c>
      <c r="L958" s="6" t="s">
        <v>3569</v>
      </c>
      <c r="M958" s="6"/>
      <c r="N958" s="6" t="s">
        <v>2468</v>
      </c>
      <c r="O958" s="6" t="s">
        <v>7</v>
      </c>
      <c r="P958" s="6" t="str">
        <f>VLOOKUP(Tableau1[[#This Row],[SITES NAMES]],[1]Feuil1!$1:$1048576,8,FALSE)</f>
        <v>OK</v>
      </c>
      <c r="Q958" s="6" t="str">
        <f>VLOOKUP(Tableau1[[#This Row],[SITES NAMES]],[1]Feuil1!$1:$1048576,9,FALSE)</f>
        <v>YES</v>
      </c>
      <c r="R958" s="6" t="str">
        <f>VLOOKUP(Tableau1[[#This Row],[SITES NAMES]],[1]Feuil1!$1:$1048576,10,FALSE)</f>
        <v>NO</v>
      </c>
      <c r="S958" s="6" t="s">
        <v>2469</v>
      </c>
      <c r="T958" s="6" t="s">
        <v>2470</v>
      </c>
      <c r="U958" s="6" t="s">
        <v>2463</v>
      </c>
      <c r="V958" s="6" t="s">
        <v>2498</v>
      </c>
      <c r="W958" s="6" t="s">
        <v>2476</v>
      </c>
      <c r="X958" s="8"/>
      <c r="Y958" s="6" t="s">
        <v>3238</v>
      </c>
      <c r="Z958" s="6"/>
      <c r="AA958" s="35" t="s">
        <v>3621</v>
      </c>
      <c r="AB958" s="35" t="s">
        <v>3608</v>
      </c>
      <c r="AC958" s="35" t="s">
        <v>3622</v>
      </c>
      <c r="AD958" s="35" t="s">
        <v>3610</v>
      </c>
      <c r="AE958" s="35" t="s">
        <v>3610</v>
      </c>
      <c r="AF958" s="35" t="s">
        <v>3611</v>
      </c>
      <c r="AG958" s="35" t="s">
        <v>3612</v>
      </c>
      <c r="AH958" s="35" t="s">
        <v>3623</v>
      </c>
    </row>
    <row r="959" spans="1:34" ht="14.45" hidden="1" customHeight="1" x14ac:dyDescent="0.25">
      <c r="A959" s="6" t="s">
        <v>1326</v>
      </c>
      <c r="B959" s="7">
        <v>46022</v>
      </c>
      <c r="C959" s="6" t="s">
        <v>1325</v>
      </c>
      <c r="D959" s="6" t="s">
        <v>66</v>
      </c>
      <c r="E959" s="6" t="s">
        <v>3231</v>
      </c>
      <c r="F959" s="6" t="s">
        <v>3229</v>
      </c>
      <c r="G959" s="8">
        <v>1.2901309999999999</v>
      </c>
      <c r="H959" s="8">
        <v>6.1593309999999999</v>
      </c>
      <c r="I959" s="16" t="s">
        <v>2475</v>
      </c>
      <c r="J959" s="6" t="s">
        <v>2459</v>
      </c>
      <c r="K959" s="6" t="s">
        <v>2468</v>
      </c>
      <c r="L959" s="6" t="s">
        <v>3570</v>
      </c>
      <c r="M959" s="6"/>
      <c r="N959" s="6" t="s">
        <v>2468</v>
      </c>
      <c r="O959" s="6" t="s">
        <v>7</v>
      </c>
      <c r="P959" s="6"/>
      <c r="Q959" s="6"/>
      <c r="R959" s="6"/>
      <c r="S959" s="6"/>
      <c r="T959" s="6"/>
      <c r="U959" s="6"/>
      <c r="V959" s="6"/>
      <c r="W959" s="6"/>
      <c r="X959" s="8"/>
      <c r="Y959" s="6" t="s">
        <v>3238</v>
      </c>
      <c r="Z959" s="6"/>
      <c r="AA959" s="35" t="s">
        <v>3621</v>
      </c>
      <c r="AB959" s="35" t="s">
        <v>3608</v>
      </c>
      <c r="AC959" s="35" t="s">
        <v>3622</v>
      </c>
      <c r="AD959" s="35" t="s">
        <v>3610</v>
      </c>
      <c r="AE959" s="35" t="s">
        <v>3610</v>
      </c>
      <c r="AF959" s="35" t="s">
        <v>3611</v>
      </c>
      <c r="AG959" s="35" t="s">
        <v>3612</v>
      </c>
      <c r="AH959" s="35" t="s">
        <v>3623</v>
      </c>
    </row>
    <row r="960" spans="1:34" ht="14.45" hidden="1" customHeight="1" x14ac:dyDescent="0.25">
      <c r="A960" s="6" t="s">
        <v>1428</v>
      </c>
      <c r="B960" s="7">
        <v>44730</v>
      </c>
      <c r="C960" s="6" t="s">
        <v>1427</v>
      </c>
      <c r="D960" s="6" t="s">
        <v>66</v>
      </c>
      <c r="E960" s="6" t="s">
        <v>3231</v>
      </c>
      <c r="F960" s="6" t="s">
        <v>3229</v>
      </c>
      <c r="G960" s="8">
        <v>1.2837810000000001</v>
      </c>
      <c r="H960" s="8">
        <v>6.1544540000000003</v>
      </c>
      <c r="I960" s="6" t="s">
        <v>2497</v>
      </c>
      <c r="J960" s="6" t="s">
        <v>2459</v>
      </c>
      <c r="K960" s="6" t="s">
        <v>2460</v>
      </c>
      <c r="L960" s="6" t="s">
        <v>3481</v>
      </c>
      <c r="M960" s="6"/>
      <c r="N960" s="6" t="s">
        <v>3268</v>
      </c>
      <c r="O960" s="6" t="s">
        <v>7</v>
      </c>
      <c r="P960" s="6" t="str">
        <f>VLOOKUP(Tableau1[[#This Row],[SITES NAMES]],[1]Feuil1!$1:$1048576,8,FALSE)</f>
        <v>OK</v>
      </c>
      <c r="Q960" s="6" t="str">
        <f>VLOOKUP(Tableau1[[#This Row],[SITES NAMES]],[1]Feuil1!$1:$1048576,9,FALSE)</f>
        <v>NO</v>
      </c>
      <c r="R960" s="6" t="str">
        <f>VLOOKUP(Tableau1[[#This Row],[SITES NAMES]],[1]Feuil1!$1:$1048576,10,FALSE)</f>
        <v>YES</v>
      </c>
      <c r="S960" s="6" t="s">
        <v>2469</v>
      </c>
      <c r="T960" s="6" t="s">
        <v>2470</v>
      </c>
      <c r="U960" s="6" t="s">
        <v>2471</v>
      </c>
      <c r="V960" s="6" t="s">
        <v>2498</v>
      </c>
      <c r="W960" s="6" t="s">
        <v>2476</v>
      </c>
      <c r="X960" s="8"/>
      <c r="Y960" s="6" t="s">
        <v>3238</v>
      </c>
      <c r="Z960" s="6"/>
      <c r="AA960" s="35" t="s">
        <v>3621</v>
      </c>
      <c r="AB960" s="35" t="s">
        <v>3608</v>
      </c>
      <c r="AC960" s="35" t="s">
        <v>3622</v>
      </c>
      <c r="AD960" s="35" t="s">
        <v>3610</v>
      </c>
      <c r="AE960" s="35" t="s">
        <v>3610</v>
      </c>
      <c r="AF960" s="35" t="s">
        <v>3611</v>
      </c>
      <c r="AG960" s="35" t="s">
        <v>3612</v>
      </c>
      <c r="AH960" s="35" t="s">
        <v>3623</v>
      </c>
    </row>
    <row r="961" spans="1:34" ht="14.45" hidden="1" customHeight="1" x14ac:dyDescent="0.25">
      <c r="A961" s="6" t="s">
        <v>1430</v>
      </c>
      <c r="B961" s="7">
        <v>45281</v>
      </c>
      <c r="C961" s="6" t="s">
        <v>1429</v>
      </c>
      <c r="D961" s="6" t="s">
        <v>66</v>
      </c>
      <c r="E961" s="6" t="s">
        <v>3231</v>
      </c>
      <c r="F961" s="6" t="s">
        <v>3229</v>
      </c>
      <c r="G961" s="8">
        <v>1.2809299999999999</v>
      </c>
      <c r="H961" s="8">
        <v>6.1571999999999996</v>
      </c>
      <c r="I961" s="6" t="s">
        <v>2475</v>
      </c>
      <c r="J961" s="6" t="s">
        <v>2459</v>
      </c>
      <c r="K961" s="6" t="s">
        <v>2460</v>
      </c>
      <c r="L961" s="6"/>
      <c r="M961" s="6"/>
      <c r="N961" s="6" t="s">
        <v>3268</v>
      </c>
      <c r="O961" s="6" t="s">
        <v>7</v>
      </c>
      <c r="P961" s="6" t="str">
        <f>VLOOKUP(Tableau1[[#This Row],[SITES NAMES]],[1]Feuil1!$1:$1048576,8,FALSE)</f>
        <v>NOK</v>
      </c>
      <c r="Q961" s="6" t="str">
        <f>VLOOKUP(Tableau1[[#This Row],[SITES NAMES]],[1]Feuil1!$1:$1048576,9,FALSE)</f>
        <v>NO</v>
      </c>
      <c r="R961" s="6" t="str">
        <f>VLOOKUP(Tableau1[[#This Row],[SITES NAMES]],[1]Feuil1!$1:$1048576,10,FALSE)</f>
        <v>NO</v>
      </c>
      <c r="S961" s="6" t="s">
        <v>2469</v>
      </c>
      <c r="T961" s="6" t="s">
        <v>2470</v>
      </c>
      <c r="U961" s="6" t="s">
        <v>2471</v>
      </c>
      <c r="V961" s="6" t="s">
        <v>2498</v>
      </c>
      <c r="W961" s="6" t="s">
        <v>2785</v>
      </c>
      <c r="X961" s="8"/>
      <c r="Y961" s="6" t="s">
        <v>3238</v>
      </c>
      <c r="Z961" s="6"/>
      <c r="AA961" s="35" t="s">
        <v>3621</v>
      </c>
      <c r="AB961" s="35" t="s">
        <v>3608</v>
      </c>
      <c r="AC961" s="35" t="s">
        <v>3622</v>
      </c>
      <c r="AD961" s="35" t="s">
        <v>3610</v>
      </c>
      <c r="AE961" s="35" t="s">
        <v>3610</v>
      </c>
      <c r="AF961" s="35" t="s">
        <v>3611</v>
      </c>
      <c r="AG961" s="35" t="s">
        <v>3612</v>
      </c>
      <c r="AH961" s="35" t="s">
        <v>3623</v>
      </c>
    </row>
    <row r="962" spans="1:34" ht="14.45" hidden="1" customHeight="1" x14ac:dyDescent="0.3">
      <c r="A962" s="6" t="s">
        <v>891</v>
      </c>
      <c r="B962" s="7">
        <v>43813</v>
      </c>
      <c r="C962" s="6" t="s">
        <v>890</v>
      </c>
      <c r="D962" s="6" t="s">
        <v>657</v>
      </c>
      <c r="E962" s="6" t="s">
        <v>3237</v>
      </c>
      <c r="F962" s="6" t="s">
        <v>3229</v>
      </c>
      <c r="G962" s="8">
        <v>1.2584200000000001</v>
      </c>
      <c r="H962" s="8">
        <v>9.9221599999999999</v>
      </c>
      <c r="I962" s="6" t="s">
        <v>2477</v>
      </c>
      <c r="J962" s="6" t="s">
        <v>2459</v>
      </c>
      <c r="K962" s="6" t="s">
        <v>2468</v>
      </c>
      <c r="L962" s="6" t="s">
        <v>889</v>
      </c>
      <c r="M962" s="6"/>
      <c r="N962" s="6" t="s">
        <v>2468</v>
      </c>
      <c r="O962" s="6" t="s">
        <v>40</v>
      </c>
      <c r="P962" s="6" t="str">
        <f>VLOOKUP(Tableau1[[#This Row],[SITES NAMES]],[1]Feuil1!$1:$1048576,8,FALSE)</f>
        <v>NOK</v>
      </c>
      <c r="Q962" s="6" t="str">
        <f>VLOOKUP(Tableau1[[#This Row],[SITES NAMES]],[1]Feuil1!$1:$1048576,9,FALSE)</f>
        <v>NO</v>
      </c>
      <c r="R962" s="6" t="str">
        <f>VLOOKUP(Tableau1[[#This Row],[SITES NAMES]],[1]Feuil1!$1:$1048576,10,FALSE)</f>
        <v>NO</v>
      </c>
      <c r="S962" s="6" t="s">
        <v>2469</v>
      </c>
      <c r="T962" s="6" t="s">
        <v>2470</v>
      </c>
      <c r="U962" s="6" t="s">
        <v>2480</v>
      </c>
      <c r="V962" s="6" t="s">
        <v>2472</v>
      </c>
      <c r="W962" s="6" t="s">
        <v>2473</v>
      </c>
      <c r="X962" s="8" t="s">
        <v>2800</v>
      </c>
      <c r="Y962" s="6" t="s">
        <v>3239</v>
      </c>
      <c r="Z962" s="6" t="s">
        <v>3253</v>
      </c>
      <c r="AA962" s="37" t="s">
        <v>3692</v>
      </c>
      <c r="AB962" s="38" t="s">
        <v>3683</v>
      </c>
      <c r="AC962" s="39" t="s">
        <v>3693</v>
      </c>
      <c r="AD962" s="39" t="s">
        <v>3694</v>
      </c>
      <c r="AE962" s="37" t="s">
        <v>3695</v>
      </c>
      <c r="AF962" s="39" t="s">
        <v>3696</v>
      </c>
      <c r="AG962" s="40" t="s">
        <v>3685</v>
      </c>
      <c r="AH962" s="37" t="s">
        <v>3697</v>
      </c>
    </row>
    <row r="963" spans="1:34" ht="14.45" hidden="1" customHeight="1" x14ac:dyDescent="0.25">
      <c r="A963" s="6" t="s">
        <v>1294</v>
      </c>
      <c r="B963" s="7">
        <v>0</v>
      </c>
      <c r="C963" s="6" t="s">
        <v>1293</v>
      </c>
      <c r="D963" s="6" t="s">
        <v>66</v>
      </c>
      <c r="E963" s="6" t="s">
        <v>1924</v>
      </c>
      <c r="F963" s="6" t="s">
        <v>3229</v>
      </c>
      <c r="G963" s="8">
        <v>1.221317</v>
      </c>
      <c r="H963" s="8">
        <v>6.1927839999999996</v>
      </c>
      <c r="I963" s="6" t="s">
        <v>2475</v>
      </c>
      <c r="J963" s="6" t="s">
        <v>2459</v>
      </c>
      <c r="K963" s="6" t="s">
        <v>2460</v>
      </c>
      <c r="L963" s="6"/>
      <c r="M963" s="6"/>
      <c r="N963" s="6" t="s">
        <v>3268</v>
      </c>
      <c r="O963" s="6" t="s">
        <v>7</v>
      </c>
      <c r="P963" s="6" t="str">
        <f>VLOOKUP(Tableau1[[#This Row],[SITES NAMES]],[1]Feuil1!$1:$1048576,8,FALSE)</f>
        <v>OK</v>
      </c>
      <c r="Q963" s="6" t="str">
        <f>VLOOKUP(Tableau1[[#This Row],[SITES NAMES]],[1]Feuil1!$1:$1048576,9,FALSE)</f>
        <v>NO</v>
      </c>
      <c r="R963" s="6" t="str">
        <f>VLOOKUP(Tableau1[[#This Row],[SITES NAMES]],[1]Feuil1!$1:$1048576,10,FALSE)</f>
        <v>YES</v>
      </c>
      <c r="S963" s="6" t="s">
        <v>2461</v>
      </c>
      <c r="T963" s="6" t="s">
        <v>2462</v>
      </c>
      <c r="U963" s="6" t="s">
        <v>2463</v>
      </c>
      <c r="V963" s="6" t="s">
        <v>2498</v>
      </c>
      <c r="W963" s="6" t="s">
        <v>2476</v>
      </c>
      <c r="X963" s="8"/>
      <c r="Y963" s="6" t="s">
        <v>3238</v>
      </c>
      <c r="Z963" s="6" t="s">
        <v>3261</v>
      </c>
      <c r="AA963" s="35" t="s">
        <v>3607</v>
      </c>
      <c r="AB963" s="35" t="s">
        <v>3608</v>
      </c>
      <c r="AC963" s="35" t="s">
        <v>3609</v>
      </c>
      <c r="AD963" s="35" t="s">
        <v>3610</v>
      </c>
      <c r="AE963" s="35" t="s">
        <v>3610</v>
      </c>
      <c r="AF963" s="35" t="s">
        <v>3611</v>
      </c>
      <c r="AG963" s="35" t="s">
        <v>3612</v>
      </c>
      <c r="AH963" s="35" t="s">
        <v>3613</v>
      </c>
    </row>
    <row r="964" spans="1:34" ht="14.45" hidden="1" customHeight="1" x14ac:dyDescent="0.3">
      <c r="A964" s="6" t="s">
        <v>893</v>
      </c>
      <c r="B964" s="7" t="s">
        <v>2514</v>
      </c>
      <c r="C964" s="6" t="s">
        <v>892</v>
      </c>
      <c r="D964" s="6" t="s">
        <v>657</v>
      </c>
      <c r="E964" s="6" t="s">
        <v>3237</v>
      </c>
      <c r="F964" s="18" t="s">
        <v>3230</v>
      </c>
      <c r="G964" s="8">
        <v>1.14337</v>
      </c>
      <c r="H964" s="8">
        <v>9.6532400000000003</v>
      </c>
      <c r="I964" s="6" t="s">
        <v>2479</v>
      </c>
      <c r="J964" s="6" t="s">
        <v>2459</v>
      </c>
      <c r="K964" s="6" t="s">
        <v>2460</v>
      </c>
      <c r="L964" s="6"/>
      <c r="M964" s="6"/>
      <c r="N964" s="6" t="s">
        <v>3268</v>
      </c>
      <c r="O964" s="6" t="s">
        <v>7</v>
      </c>
      <c r="P964" s="6" t="str">
        <f>VLOOKUP(Tableau1[[#This Row],[SITES NAMES]],[1]Feuil1!$1:$1048576,8,FALSE)</f>
        <v>OK</v>
      </c>
      <c r="Q964" s="6" t="str">
        <f>VLOOKUP(Tableau1[[#This Row],[SITES NAMES]],[1]Feuil1!$1:$1048576,9,FALSE)</f>
        <v>YES</v>
      </c>
      <c r="R964" s="6" t="str">
        <f>VLOOKUP(Tableau1[[#This Row],[SITES NAMES]],[1]Feuil1!$1:$1048576,10,FALSE)</f>
        <v>NO</v>
      </c>
      <c r="S964" s="6" t="s">
        <v>2469</v>
      </c>
      <c r="T964" s="6" t="s">
        <v>2470</v>
      </c>
      <c r="U964" s="6" t="s">
        <v>2480</v>
      </c>
      <c r="V964" s="6" t="s">
        <v>2498</v>
      </c>
      <c r="W964" s="6" t="s">
        <v>2465</v>
      </c>
      <c r="X964" s="8" t="s">
        <v>2801</v>
      </c>
      <c r="Y964" s="6" t="s">
        <v>3239</v>
      </c>
      <c r="Z964" s="6" t="s">
        <v>3253</v>
      </c>
      <c r="AA964" s="37" t="s">
        <v>3692</v>
      </c>
      <c r="AB964" s="38" t="s">
        <v>3683</v>
      </c>
      <c r="AC964" s="39" t="s">
        <v>3693</v>
      </c>
      <c r="AD964" s="39" t="s">
        <v>3694</v>
      </c>
      <c r="AE964" s="37" t="s">
        <v>3695</v>
      </c>
      <c r="AF964" s="39" t="s">
        <v>3696</v>
      </c>
      <c r="AG964" s="40" t="s">
        <v>3685</v>
      </c>
      <c r="AH964" s="37" t="s">
        <v>3697</v>
      </c>
    </row>
    <row r="965" spans="1:34" ht="14.45" hidden="1" customHeight="1" x14ac:dyDescent="0.3">
      <c r="A965" s="6" t="s">
        <v>895</v>
      </c>
      <c r="B965" s="7">
        <v>0</v>
      </c>
      <c r="C965" s="6" t="s">
        <v>894</v>
      </c>
      <c r="D965" s="6" t="s">
        <v>657</v>
      </c>
      <c r="E965" s="6" t="s">
        <v>3237</v>
      </c>
      <c r="F965" s="6" t="s">
        <v>3229</v>
      </c>
      <c r="G965" s="8">
        <v>1.16343</v>
      </c>
      <c r="H965" s="8">
        <v>9.6595399999999998</v>
      </c>
      <c r="I965" s="6" t="s">
        <v>2475</v>
      </c>
      <c r="J965" s="6" t="s">
        <v>2459</v>
      </c>
      <c r="K965" s="6" t="s">
        <v>2468</v>
      </c>
      <c r="L965" s="6"/>
      <c r="M965" s="6"/>
      <c r="N965" s="6" t="s">
        <v>2468</v>
      </c>
      <c r="O965" s="6" t="s">
        <v>7</v>
      </c>
      <c r="P965" s="6" t="str">
        <f>VLOOKUP(Tableau1[[#This Row],[SITES NAMES]],[1]Feuil1!$1:$1048576,8,FALSE)</f>
        <v>NOK</v>
      </c>
      <c r="Q965" s="6" t="str">
        <f>VLOOKUP(Tableau1[[#This Row],[SITES NAMES]],[1]Feuil1!$1:$1048576,9,FALSE)</f>
        <v>YES</v>
      </c>
      <c r="R965" s="6" t="str">
        <f>VLOOKUP(Tableau1[[#This Row],[SITES NAMES]],[1]Feuil1!$1:$1048576,10,FALSE)</f>
        <v>YES</v>
      </c>
      <c r="S965" s="6" t="s">
        <v>2461</v>
      </c>
      <c r="T965" s="6" t="s">
        <v>2462</v>
      </c>
      <c r="U965" s="6" t="s">
        <v>2463</v>
      </c>
      <c r="V965" s="6" t="s">
        <v>2478</v>
      </c>
      <c r="W965" s="6" t="s">
        <v>2465</v>
      </c>
      <c r="X965" s="8" t="s">
        <v>2802</v>
      </c>
      <c r="Y965" s="6" t="s">
        <v>3239</v>
      </c>
      <c r="Z965" s="6" t="s">
        <v>3253</v>
      </c>
      <c r="AA965" s="37" t="s">
        <v>3692</v>
      </c>
      <c r="AB965" s="38" t="s">
        <v>3683</v>
      </c>
      <c r="AC965" s="39" t="s">
        <v>3693</v>
      </c>
      <c r="AD965" s="39" t="s">
        <v>3694</v>
      </c>
      <c r="AE965" s="37" t="s">
        <v>3695</v>
      </c>
      <c r="AF965" s="39" t="s">
        <v>3696</v>
      </c>
      <c r="AG965" s="40" t="s">
        <v>3685</v>
      </c>
      <c r="AH965" s="37" t="s">
        <v>3697</v>
      </c>
    </row>
    <row r="966" spans="1:34" ht="14.45" hidden="1" customHeight="1" x14ac:dyDescent="0.3">
      <c r="A966" s="6" t="s">
        <v>815</v>
      </c>
      <c r="B966" s="7">
        <v>45029</v>
      </c>
      <c r="C966" s="6" t="s">
        <v>814</v>
      </c>
      <c r="D966" s="6" t="s">
        <v>657</v>
      </c>
      <c r="E966" s="6" t="s">
        <v>3237</v>
      </c>
      <c r="F966" s="6" t="s">
        <v>3229</v>
      </c>
      <c r="G966" s="8">
        <v>1.1422620000000001</v>
      </c>
      <c r="H966" s="8">
        <v>9.6384899999999991</v>
      </c>
      <c r="I966" s="6" t="s">
        <v>2477</v>
      </c>
      <c r="J966" s="6" t="s">
        <v>2459</v>
      </c>
      <c r="K966" s="6" t="s">
        <v>2460</v>
      </c>
      <c r="L966" s="6" t="s">
        <v>3571</v>
      </c>
      <c r="M966" s="6"/>
      <c r="N966" s="6" t="s">
        <v>3268</v>
      </c>
      <c r="O966" s="6" t="s">
        <v>40</v>
      </c>
      <c r="P966" s="6" t="str">
        <f>VLOOKUP(Tableau1[[#This Row],[SITES NAMES]],[1]Feuil1!$1:$1048576,8,FALSE)</f>
        <v>OK</v>
      </c>
      <c r="Q966" s="6" t="str">
        <f>VLOOKUP(Tableau1[[#This Row],[SITES NAMES]],[1]Feuil1!$1:$1048576,9,FALSE)</f>
        <v>NO</v>
      </c>
      <c r="R966" s="6" t="str">
        <f>VLOOKUP(Tableau1[[#This Row],[SITES NAMES]],[1]Feuil1!$1:$1048576,10,FALSE)</f>
        <v>YES</v>
      </c>
      <c r="S966" s="6" t="s">
        <v>2469</v>
      </c>
      <c r="T966" s="6" t="s">
        <v>2470</v>
      </c>
      <c r="U966" s="6" t="s">
        <v>2471</v>
      </c>
      <c r="V966" s="6" t="s">
        <v>2472</v>
      </c>
      <c r="W966" s="6" t="s">
        <v>2473</v>
      </c>
      <c r="X966" s="8">
        <v>70997273</v>
      </c>
      <c r="Y966" s="6" t="s">
        <v>3239</v>
      </c>
      <c r="Z966" s="6" t="s">
        <v>3253</v>
      </c>
      <c r="AA966" s="37" t="s">
        <v>3692</v>
      </c>
      <c r="AB966" s="38" t="s">
        <v>3683</v>
      </c>
      <c r="AC966" s="39" t="s">
        <v>3693</v>
      </c>
      <c r="AD966" s="39" t="s">
        <v>3694</v>
      </c>
      <c r="AE966" s="37" t="s">
        <v>3695</v>
      </c>
      <c r="AF966" s="39" t="s">
        <v>3696</v>
      </c>
      <c r="AG966" s="40" t="s">
        <v>3685</v>
      </c>
      <c r="AH966" s="37" t="s">
        <v>3697</v>
      </c>
    </row>
    <row r="967" spans="1:34" ht="14.45" hidden="1" customHeight="1" x14ac:dyDescent="0.25">
      <c r="A967" s="6" t="s">
        <v>1432</v>
      </c>
      <c r="B967" s="7">
        <v>43375</v>
      </c>
      <c r="C967" s="6" t="s">
        <v>1431</v>
      </c>
      <c r="D967" s="6" t="s">
        <v>66</v>
      </c>
      <c r="E967" s="6" t="s">
        <v>3231</v>
      </c>
      <c r="F967" s="6" t="s">
        <v>3229</v>
      </c>
      <c r="G967" s="8">
        <v>1.2977129999999999</v>
      </c>
      <c r="H967" s="8">
        <v>6.1592140000000004</v>
      </c>
      <c r="I967" s="6" t="s">
        <v>2497</v>
      </c>
      <c r="J967" s="6" t="s">
        <v>2459</v>
      </c>
      <c r="K967" s="6" t="s">
        <v>2460</v>
      </c>
      <c r="L967" s="6"/>
      <c r="M967" s="6"/>
      <c r="N967" s="6" t="s">
        <v>3268</v>
      </c>
      <c r="O967" s="6" t="s">
        <v>7</v>
      </c>
      <c r="P967" s="6" t="str">
        <f>VLOOKUP(Tableau1[[#This Row],[SITES NAMES]],[1]Feuil1!$1:$1048576,8,FALSE)</f>
        <v>OK</v>
      </c>
      <c r="Q967" s="6" t="str">
        <f>VLOOKUP(Tableau1[[#This Row],[SITES NAMES]],[1]Feuil1!$1:$1048576,9,FALSE)</f>
        <v>YES</v>
      </c>
      <c r="R967" s="6" t="str">
        <f>VLOOKUP(Tableau1[[#This Row],[SITES NAMES]],[1]Feuil1!$1:$1048576,10,FALSE)</f>
        <v>NO</v>
      </c>
      <c r="S967" s="6" t="s">
        <v>2461</v>
      </c>
      <c r="T967" s="6" t="s">
        <v>2462</v>
      </c>
      <c r="U967" s="6" t="s">
        <v>2463</v>
      </c>
      <c r="V967" s="6" t="s">
        <v>2498</v>
      </c>
      <c r="W967" s="6" t="s">
        <v>2476</v>
      </c>
      <c r="X967" s="8"/>
      <c r="Y967" s="6" t="s">
        <v>3238</v>
      </c>
      <c r="Z967" s="6"/>
      <c r="AA967" s="35" t="s">
        <v>3621</v>
      </c>
      <c r="AB967" s="35" t="s">
        <v>3608</v>
      </c>
      <c r="AC967" s="35" t="s">
        <v>3622</v>
      </c>
      <c r="AD967" s="35" t="s">
        <v>3610</v>
      </c>
      <c r="AE967" s="35" t="s">
        <v>3610</v>
      </c>
      <c r="AF967" s="35" t="s">
        <v>3611</v>
      </c>
      <c r="AG967" s="35" t="s">
        <v>3612</v>
      </c>
      <c r="AH967" s="35" t="s">
        <v>3623</v>
      </c>
    </row>
    <row r="968" spans="1:34" ht="15.75" hidden="1" x14ac:dyDescent="0.3">
      <c r="A968" s="6" t="s">
        <v>1979</v>
      </c>
      <c r="B968" s="7">
        <v>0</v>
      </c>
      <c r="C968" s="6" t="s">
        <v>1978</v>
      </c>
      <c r="D968" s="6" t="s">
        <v>395</v>
      </c>
      <c r="E968" s="6" t="s">
        <v>1965</v>
      </c>
      <c r="F968" s="6" t="s">
        <v>3229</v>
      </c>
      <c r="G968" s="8">
        <v>0.64805555599999998</v>
      </c>
      <c r="H968" s="8">
        <v>10.2425</v>
      </c>
      <c r="I968" s="6" t="s">
        <v>2479</v>
      </c>
      <c r="J968" s="6" t="s">
        <v>2459</v>
      </c>
      <c r="K968" s="6" t="s">
        <v>2460</v>
      </c>
      <c r="L968" s="6"/>
      <c r="M968" s="6"/>
      <c r="N968" s="21" t="s">
        <v>3269</v>
      </c>
      <c r="O968" s="6" t="s">
        <v>18</v>
      </c>
      <c r="P968" s="6" t="str">
        <f>VLOOKUP(Tableau1[[#This Row],[SITES NAMES]],[1]Feuil1!$1:$1048576,8,FALSE)</f>
        <v>OK</v>
      </c>
      <c r="Q968" s="6" t="str">
        <f>VLOOKUP(Tableau1[[#This Row],[SITES NAMES]],[1]Feuil1!$1:$1048576,9,FALSE)</f>
        <v>NO</v>
      </c>
      <c r="R968" s="6" t="str">
        <f>VLOOKUP(Tableau1[[#This Row],[SITES NAMES]],[1]Feuil1!$1:$1048576,10,FALSE)</f>
        <v>NO</v>
      </c>
      <c r="S968" s="6" t="s">
        <v>2461</v>
      </c>
      <c r="T968" s="6" t="s">
        <v>2470</v>
      </c>
      <c r="U968" s="6" t="s">
        <v>2463</v>
      </c>
      <c r="V968" s="6" t="s">
        <v>2464</v>
      </c>
      <c r="W968" s="6" t="s">
        <v>2473</v>
      </c>
      <c r="X968" s="8" t="s">
        <v>3070</v>
      </c>
      <c r="Y968" s="6" t="s">
        <v>3240</v>
      </c>
      <c r="Z968" s="6" t="s">
        <v>3255</v>
      </c>
      <c r="AA968" s="37" t="s">
        <v>3712</v>
      </c>
      <c r="AB968" s="39" t="s">
        <v>3705</v>
      </c>
      <c r="AC968" s="37" t="s">
        <v>3713</v>
      </c>
      <c r="AD968" s="37" t="s">
        <v>3712</v>
      </c>
      <c r="AE968" s="37" t="s">
        <v>3712</v>
      </c>
      <c r="AF968" s="37" t="s">
        <v>3712</v>
      </c>
      <c r="AG968" s="40" t="s">
        <v>3714</v>
      </c>
      <c r="AH968" s="37" t="s">
        <v>3715</v>
      </c>
    </row>
    <row r="969" spans="1:34" ht="14.45" hidden="1" customHeight="1" x14ac:dyDescent="0.3">
      <c r="A969" s="6" t="s">
        <v>2229</v>
      </c>
      <c r="B969" s="7">
        <v>0</v>
      </c>
      <c r="C969" s="6" t="s">
        <v>2228</v>
      </c>
      <c r="D969" s="6" t="s">
        <v>320</v>
      </c>
      <c r="E969" s="6" t="s">
        <v>2141</v>
      </c>
      <c r="F969" s="6" t="s">
        <v>3229</v>
      </c>
      <c r="G969" s="8">
        <v>1.280008</v>
      </c>
      <c r="H969" s="8">
        <v>8.7719559999999994</v>
      </c>
      <c r="I969" s="6" t="s">
        <v>2477</v>
      </c>
      <c r="J969" s="6" t="s">
        <v>2459</v>
      </c>
      <c r="K969" s="6" t="s">
        <v>2468</v>
      </c>
      <c r="L969" s="6" t="s">
        <v>2217</v>
      </c>
      <c r="M969" s="6"/>
      <c r="N969" s="6" t="s">
        <v>2468</v>
      </c>
      <c r="O969" s="6" t="s">
        <v>40</v>
      </c>
      <c r="P969" s="6" t="str">
        <f>VLOOKUP(Tableau1[[#This Row],[SITES NAMES]],[1]Feuil1!$1:$1048576,8,FALSE)</f>
        <v>OK</v>
      </c>
      <c r="Q969" s="6" t="str">
        <f>VLOOKUP(Tableau1[[#This Row],[SITES NAMES]],[1]Feuil1!$1:$1048576,9,FALSE)</f>
        <v>NO</v>
      </c>
      <c r="R969" s="6" t="str">
        <f>VLOOKUP(Tableau1[[#This Row],[SITES NAMES]],[1]Feuil1!$1:$1048576,10,FALSE)</f>
        <v>NO</v>
      </c>
      <c r="S969" s="6" t="s">
        <v>2461</v>
      </c>
      <c r="T969" s="6" t="s">
        <v>2462</v>
      </c>
      <c r="U969" s="6" t="s">
        <v>2463</v>
      </c>
      <c r="V969" s="6" t="s">
        <v>2472</v>
      </c>
      <c r="W969" s="6" t="s">
        <v>2473</v>
      </c>
      <c r="X969" s="8" t="s">
        <v>3164</v>
      </c>
      <c r="Y969" s="6" t="s">
        <v>3238</v>
      </c>
      <c r="Z969" s="6" t="s">
        <v>3254</v>
      </c>
      <c r="AA969" s="37" t="s">
        <v>3672</v>
      </c>
      <c r="AB969" s="39" t="s">
        <v>3665</v>
      </c>
      <c r="AC969" s="37" t="s">
        <v>3673</v>
      </c>
      <c r="AD969" s="37" t="s">
        <v>3674</v>
      </c>
      <c r="AE969" s="37" t="s">
        <v>3675</v>
      </c>
      <c r="AF969" s="39" t="s">
        <v>3676</v>
      </c>
      <c r="AG969" s="37" t="s">
        <v>3670</v>
      </c>
      <c r="AH969" s="37" t="s">
        <v>3677</v>
      </c>
    </row>
    <row r="970" spans="1:34" ht="14.45" hidden="1" customHeight="1" x14ac:dyDescent="0.3">
      <c r="A970" s="6" t="s">
        <v>2038</v>
      </c>
      <c r="B970" s="7">
        <v>43573</v>
      </c>
      <c r="C970" s="6" t="s">
        <v>2037</v>
      </c>
      <c r="D970" s="6" t="s">
        <v>395</v>
      </c>
      <c r="E970" s="6" t="s">
        <v>1965</v>
      </c>
      <c r="F970" s="6" t="s">
        <v>3229</v>
      </c>
      <c r="G970" s="8">
        <v>0.44316</v>
      </c>
      <c r="H970" s="8">
        <v>10.28633</v>
      </c>
      <c r="I970" s="6" t="s">
        <v>2477</v>
      </c>
      <c r="J970" s="6" t="s">
        <v>2459</v>
      </c>
      <c r="K970" s="6" t="s">
        <v>2468</v>
      </c>
      <c r="L970" s="6" t="s">
        <v>3512</v>
      </c>
      <c r="M970" s="6"/>
      <c r="N970" s="6" t="s">
        <v>2468</v>
      </c>
      <c r="O970" s="6" t="s">
        <v>7</v>
      </c>
      <c r="P970" s="6" t="str">
        <f>VLOOKUP(Tableau1[[#This Row],[SITES NAMES]],[1]Feuil1!$1:$1048576,8,FALSE)</f>
        <v>OK</v>
      </c>
      <c r="Q970" s="6" t="str">
        <f>VLOOKUP(Tableau1[[#This Row],[SITES NAMES]],[1]Feuil1!$1:$1048576,9,FALSE)</f>
        <v>NO</v>
      </c>
      <c r="R970" s="6" t="str">
        <f>VLOOKUP(Tableau1[[#This Row],[SITES NAMES]],[1]Feuil1!$1:$1048576,10,FALSE)</f>
        <v>NO</v>
      </c>
      <c r="S970" s="6" t="s">
        <v>2469</v>
      </c>
      <c r="T970" s="6" t="s">
        <v>2470</v>
      </c>
      <c r="U970" s="6" t="s">
        <v>2480</v>
      </c>
      <c r="V970" s="6" t="s">
        <v>2472</v>
      </c>
      <c r="W970" s="6" t="s">
        <v>2473</v>
      </c>
      <c r="X970" s="8" t="s">
        <v>3090</v>
      </c>
      <c r="Y970" s="6" t="s">
        <v>3240</v>
      </c>
      <c r="Z970" s="6" t="s">
        <v>3255</v>
      </c>
      <c r="AA970" s="37" t="s">
        <v>3712</v>
      </c>
      <c r="AB970" s="39" t="s">
        <v>3705</v>
      </c>
      <c r="AC970" s="37" t="s">
        <v>3713</v>
      </c>
      <c r="AD970" s="37" t="s">
        <v>3712</v>
      </c>
      <c r="AE970" s="37" t="s">
        <v>3712</v>
      </c>
      <c r="AF970" s="37" t="s">
        <v>3712</v>
      </c>
      <c r="AG970" s="40" t="s">
        <v>3714</v>
      </c>
      <c r="AH970" s="37" t="s">
        <v>3715</v>
      </c>
    </row>
    <row r="971" spans="1:34" ht="14.45" hidden="1" customHeight="1" x14ac:dyDescent="0.3">
      <c r="A971" s="6" t="s">
        <v>42</v>
      </c>
      <c r="B971" s="7">
        <v>46022</v>
      </c>
      <c r="C971" s="6" t="s">
        <v>41</v>
      </c>
      <c r="D971" s="6" t="s">
        <v>5</v>
      </c>
      <c r="E971" s="6" t="s">
        <v>6</v>
      </c>
      <c r="F971" s="6" t="s">
        <v>3229</v>
      </c>
      <c r="G971" s="8">
        <v>1.484</v>
      </c>
      <c r="H971" s="8">
        <v>6.3701100000000004</v>
      </c>
      <c r="I971" s="16" t="s">
        <v>2477</v>
      </c>
      <c r="J971" s="6" t="s">
        <v>2459</v>
      </c>
      <c r="K971" s="6" t="s">
        <v>2460</v>
      </c>
      <c r="L971" s="6"/>
      <c r="M971" s="6"/>
      <c r="N971" s="6" t="s">
        <v>3268</v>
      </c>
      <c r="O971" s="6" t="s">
        <v>7</v>
      </c>
      <c r="P971" s="6"/>
      <c r="Q971" s="6"/>
      <c r="R971" s="6"/>
      <c r="S971" s="6"/>
      <c r="T971" s="6"/>
      <c r="U971" s="6"/>
      <c r="V971" s="6"/>
      <c r="W971" s="6"/>
      <c r="X971" s="8"/>
      <c r="Y971" s="6" t="s">
        <v>3241</v>
      </c>
      <c r="Z971" s="6"/>
      <c r="AA971" s="37" t="s">
        <v>3626</v>
      </c>
      <c r="AB971" s="38" t="s">
        <v>3627</v>
      </c>
      <c r="AC971" s="37" t="s">
        <v>3633</v>
      </c>
      <c r="AD971" s="37" t="s">
        <v>3628</v>
      </c>
      <c r="AE971" s="37" t="s">
        <v>3629</v>
      </c>
      <c r="AF971" s="39" t="s">
        <v>3630</v>
      </c>
      <c r="AG971" s="37" t="s">
        <v>3631</v>
      </c>
      <c r="AH971" s="37" t="s">
        <v>3632</v>
      </c>
    </row>
    <row r="972" spans="1:34" ht="14.45" hidden="1" customHeight="1" x14ac:dyDescent="0.3">
      <c r="A972" s="6" t="s">
        <v>2159</v>
      </c>
      <c r="B972" s="7">
        <v>0</v>
      </c>
      <c r="C972" s="6" t="s">
        <v>2158</v>
      </c>
      <c r="D972" s="6" t="s">
        <v>320</v>
      </c>
      <c r="E972" s="6" t="s">
        <v>2141</v>
      </c>
      <c r="F972" s="6" t="s">
        <v>3229</v>
      </c>
      <c r="G972" s="8">
        <v>1.0730815</v>
      </c>
      <c r="H972" s="8">
        <v>9.0628664000000008</v>
      </c>
      <c r="I972" s="6" t="s">
        <v>2477</v>
      </c>
      <c r="J972" s="6" t="s">
        <v>2459</v>
      </c>
      <c r="K972" s="6" t="s">
        <v>2460</v>
      </c>
      <c r="L972" s="6"/>
      <c r="M972" s="6"/>
      <c r="N972" s="6" t="s">
        <v>3268</v>
      </c>
      <c r="O972" s="6" t="s">
        <v>40</v>
      </c>
      <c r="P972" s="6" t="str">
        <f>VLOOKUP(Tableau1[[#This Row],[SITES NAMES]],[1]Feuil1!$1:$1048576,8,FALSE)</f>
        <v>OK</v>
      </c>
      <c r="Q972" s="6" t="str">
        <f>VLOOKUP(Tableau1[[#This Row],[SITES NAMES]],[1]Feuil1!$1:$1048576,9,FALSE)</f>
        <v>NO</v>
      </c>
      <c r="R972" s="6" t="str">
        <f>VLOOKUP(Tableau1[[#This Row],[SITES NAMES]],[1]Feuil1!$1:$1048576,10,FALSE)</f>
        <v>NO</v>
      </c>
      <c r="S972" s="6" t="s">
        <v>2461</v>
      </c>
      <c r="T972" s="6" t="s">
        <v>2462</v>
      </c>
      <c r="U972" s="6" t="s">
        <v>2463</v>
      </c>
      <c r="V972" s="6" t="s">
        <v>2464</v>
      </c>
      <c r="W972" s="6" t="s">
        <v>2473</v>
      </c>
      <c r="X972" s="8" t="s">
        <v>3141</v>
      </c>
      <c r="Y972" s="6" t="s">
        <v>3238</v>
      </c>
      <c r="Z972" s="6" t="s">
        <v>3254</v>
      </c>
      <c r="AA972" s="37" t="s">
        <v>3672</v>
      </c>
      <c r="AB972" s="39" t="s">
        <v>3665</v>
      </c>
      <c r="AC972" s="37" t="s">
        <v>3673</v>
      </c>
      <c r="AD972" s="37" t="s">
        <v>3674</v>
      </c>
      <c r="AE972" s="37" t="s">
        <v>3675</v>
      </c>
      <c r="AF972" s="39" t="s">
        <v>3676</v>
      </c>
      <c r="AG972" s="37" t="s">
        <v>3670</v>
      </c>
      <c r="AH972" s="37" t="s">
        <v>3677</v>
      </c>
    </row>
    <row r="973" spans="1:34" ht="14.45" hidden="1" customHeight="1" x14ac:dyDescent="0.25">
      <c r="A973" s="6" t="s">
        <v>1714</v>
      </c>
      <c r="B973" s="7">
        <v>0</v>
      </c>
      <c r="C973" s="6" t="s">
        <v>1713</v>
      </c>
      <c r="D973" s="6" t="s">
        <v>66</v>
      </c>
      <c r="E973" s="6" t="s">
        <v>3234</v>
      </c>
      <c r="F973" s="18" t="s">
        <v>3230</v>
      </c>
      <c r="G973" s="8">
        <v>1.1225160000000001</v>
      </c>
      <c r="H973" s="8">
        <v>6.1876461110000003</v>
      </c>
      <c r="I973" s="6" t="s">
        <v>2486</v>
      </c>
      <c r="J973" s="6" t="s">
        <v>2459</v>
      </c>
      <c r="K973" s="6" t="s">
        <v>2460</v>
      </c>
      <c r="L973" s="6"/>
      <c r="M973" s="6"/>
      <c r="N973" s="6" t="s">
        <v>3268</v>
      </c>
      <c r="O973" s="6" t="s">
        <v>7</v>
      </c>
      <c r="P973" s="6" t="str">
        <f>VLOOKUP(Tableau1[[#This Row],[SITES NAMES]],[1]Feuil1!$1:$1048576,8,FALSE)</f>
        <v>OK</v>
      </c>
      <c r="Q973" s="6" t="str">
        <f>VLOOKUP(Tableau1[[#This Row],[SITES NAMES]],[1]Feuil1!$1:$1048576,9,FALSE)</f>
        <v>YES</v>
      </c>
      <c r="R973" s="6" t="str">
        <f>VLOOKUP(Tableau1[[#This Row],[SITES NAMES]],[1]Feuil1!$1:$1048576,10,FALSE)</f>
        <v>NO</v>
      </c>
      <c r="S973" s="6" t="s">
        <v>2469</v>
      </c>
      <c r="T973" s="6" t="s">
        <v>2470</v>
      </c>
      <c r="U973" s="6" t="s">
        <v>2480</v>
      </c>
      <c r="V973" s="6" t="s">
        <v>2478</v>
      </c>
      <c r="W973" s="6" t="s">
        <v>2476</v>
      </c>
      <c r="X973" s="8" t="s">
        <v>3007</v>
      </c>
      <c r="Y973" s="6" t="s">
        <v>3238</v>
      </c>
      <c r="Z973" s="6" t="s">
        <v>3265</v>
      </c>
      <c r="AA973" s="35" t="s">
        <v>3607</v>
      </c>
      <c r="AB973" s="35" t="s">
        <v>3608</v>
      </c>
      <c r="AC973" s="35" t="s">
        <v>3614</v>
      </c>
      <c r="AD973" s="35" t="s">
        <v>3610</v>
      </c>
      <c r="AE973" s="35" t="s">
        <v>3610</v>
      </c>
      <c r="AF973" s="35" t="s">
        <v>3611</v>
      </c>
      <c r="AG973" s="35" t="s">
        <v>3612</v>
      </c>
      <c r="AH973" s="35" t="s">
        <v>3615</v>
      </c>
    </row>
    <row r="974" spans="1:34" ht="14.45" hidden="1" customHeight="1" x14ac:dyDescent="0.25">
      <c r="A974" s="6" t="s">
        <v>1716</v>
      </c>
      <c r="B974" s="7">
        <v>0</v>
      </c>
      <c r="C974" s="6" t="s">
        <v>1715</v>
      </c>
      <c r="D974" s="6" t="s">
        <v>66</v>
      </c>
      <c r="E974" s="6" t="s">
        <v>3234</v>
      </c>
      <c r="F974" s="6" t="s">
        <v>3229</v>
      </c>
      <c r="G974" s="8">
        <v>1.136861111</v>
      </c>
      <c r="H974" s="8">
        <v>6.1904531900000004</v>
      </c>
      <c r="I974" s="6" t="s">
        <v>2497</v>
      </c>
      <c r="J974" s="6" t="s">
        <v>2459</v>
      </c>
      <c r="K974" s="6" t="s">
        <v>2460</v>
      </c>
      <c r="L974" s="6"/>
      <c r="M974" s="6"/>
      <c r="N974" s="6" t="s">
        <v>3268</v>
      </c>
      <c r="O974" s="6" t="s">
        <v>7</v>
      </c>
      <c r="P974" s="6" t="str">
        <f>VLOOKUP(Tableau1[[#This Row],[SITES NAMES]],[1]Feuil1!$1:$1048576,8,FALSE)</f>
        <v>OK</v>
      </c>
      <c r="Q974" s="6" t="str">
        <f>VLOOKUP(Tableau1[[#This Row],[SITES NAMES]],[1]Feuil1!$1:$1048576,9,FALSE)</f>
        <v>NO</v>
      </c>
      <c r="R974" s="6" t="str">
        <f>VLOOKUP(Tableau1[[#This Row],[SITES NAMES]],[1]Feuil1!$1:$1048576,10,FALSE)</f>
        <v>NO</v>
      </c>
      <c r="S974" s="6" t="s">
        <v>2469</v>
      </c>
      <c r="T974" s="6" t="s">
        <v>2470</v>
      </c>
      <c r="U974" s="6" t="s">
        <v>2480</v>
      </c>
      <c r="V974" s="6" t="s">
        <v>2478</v>
      </c>
      <c r="W974" s="6" t="s">
        <v>2476</v>
      </c>
      <c r="X974" s="8" t="s">
        <v>3008</v>
      </c>
      <c r="Y974" s="6" t="s">
        <v>3238</v>
      </c>
      <c r="Z974" s="6" t="s">
        <v>3265</v>
      </c>
      <c r="AA974" s="35" t="s">
        <v>3607</v>
      </c>
      <c r="AB974" s="35" t="s">
        <v>3608</v>
      </c>
      <c r="AC974" s="35" t="s">
        <v>3614</v>
      </c>
      <c r="AD974" s="35" t="s">
        <v>3610</v>
      </c>
      <c r="AE974" s="35" t="s">
        <v>3610</v>
      </c>
      <c r="AF974" s="35" t="s">
        <v>3611</v>
      </c>
      <c r="AG974" s="35" t="s">
        <v>3612</v>
      </c>
      <c r="AH974" s="35" t="s">
        <v>3615</v>
      </c>
    </row>
    <row r="975" spans="1:34" ht="14.45" hidden="1" customHeight="1" x14ac:dyDescent="0.25">
      <c r="A975" s="6" t="s">
        <v>1803</v>
      </c>
      <c r="B975" s="7">
        <v>43164</v>
      </c>
      <c r="C975" s="6" t="s">
        <v>1802</v>
      </c>
      <c r="D975" s="6" t="s">
        <v>1735</v>
      </c>
      <c r="E975" s="6" t="s">
        <v>3234</v>
      </c>
      <c r="F975" s="6" t="s">
        <v>3229</v>
      </c>
      <c r="G975" s="8">
        <v>1.12355</v>
      </c>
      <c r="H975" s="8">
        <v>6.1766930000000002</v>
      </c>
      <c r="I975" s="6" t="s">
        <v>2497</v>
      </c>
      <c r="J975" s="6" t="s">
        <v>2459</v>
      </c>
      <c r="K975" s="6" t="s">
        <v>2460</v>
      </c>
      <c r="L975" s="6"/>
      <c r="M975" s="6"/>
      <c r="N975" s="6" t="s">
        <v>3268</v>
      </c>
      <c r="O975" s="6" t="s">
        <v>7</v>
      </c>
      <c r="P975" s="6" t="str">
        <f>VLOOKUP(Tableau1[[#This Row],[SITES NAMES]],[1]Feuil1!$1:$1048576,8,FALSE)</f>
        <v>OK</v>
      </c>
      <c r="Q975" s="6" t="str">
        <f>VLOOKUP(Tableau1[[#This Row],[SITES NAMES]],[1]Feuil1!$1:$1048576,9,FALSE)</f>
        <v>NO</v>
      </c>
      <c r="R975" s="6" t="str">
        <f>VLOOKUP(Tableau1[[#This Row],[SITES NAMES]],[1]Feuil1!$1:$1048576,10,FALSE)</f>
        <v>NO</v>
      </c>
      <c r="S975" s="6"/>
      <c r="T975" s="6"/>
      <c r="U975" s="6"/>
      <c r="V975" s="6" t="s">
        <v>2464</v>
      </c>
      <c r="W975" s="6" t="s">
        <v>2476</v>
      </c>
      <c r="X975" s="8"/>
      <c r="Y975" s="6" t="s">
        <v>3238</v>
      </c>
      <c r="Z975" s="6" t="s">
        <v>3265</v>
      </c>
      <c r="AA975" s="35" t="s">
        <v>3607</v>
      </c>
      <c r="AB975" s="35" t="s">
        <v>3608</v>
      </c>
      <c r="AC975" s="35" t="s">
        <v>3614</v>
      </c>
      <c r="AD975" s="35" t="s">
        <v>3610</v>
      </c>
      <c r="AE975" s="35" t="s">
        <v>3610</v>
      </c>
      <c r="AF975" s="35" t="s">
        <v>3611</v>
      </c>
      <c r="AG975" s="35" t="s">
        <v>3612</v>
      </c>
      <c r="AH975" s="35" t="s">
        <v>3615</v>
      </c>
    </row>
    <row r="976" spans="1:34" ht="14.45" hidden="1" customHeight="1" x14ac:dyDescent="0.25">
      <c r="A976" s="6" t="s">
        <v>1805</v>
      </c>
      <c r="B976" s="7">
        <v>43412</v>
      </c>
      <c r="C976" s="6" t="s">
        <v>1804</v>
      </c>
      <c r="D976" s="6" t="s">
        <v>66</v>
      </c>
      <c r="E976" s="6" t="s">
        <v>3234</v>
      </c>
      <c r="F976" s="6" t="s">
        <v>3229</v>
      </c>
      <c r="G976" s="8">
        <v>1.1317999999999999</v>
      </c>
      <c r="H976" s="8">
        <v>6.1945800000000002</v>
      </c>
      <c r="I976" s="6" t="s">
        <v>2497</v>
      </c>
      <c r="J976" s="6" t="s">
        <v>2459</v>
      </c>
      <c r="K976" s="6" t="s">
        <v>2460</v>
      </c>
      <c r="L976" s="6"/>
      <c r="M976" s="6"/>
      <c r="N976" s="6" t="s">
        <v>3268</v>
      </c>
      <c r="O976" s="6" t="s">
        <v>1206</v>
      </c>
      <c r="P976" s="6"/>
      <c r="Q976" s="6" t="str">
        <f>VLOOKUP(Tableau1[[#This Row],[SITES NAMES]],[1]Feuil1!$1:$1048576,9,FALSE)</f>
        <v>YES</v>
      </c>
      <c r="R976" s="6" t="str">
        <f>VLOOKUP(Tableau1[[#This Row],[SITES NAMES]],[1]Feuil1!$1:$1048576,10,FALSE)</f>
        <v>NO</v>
      </c>
      <c r="S976" s="6" t="s">
        <v>2461</v>
      </c>
      <c r="T976" s="6" t="s">
        <v>2470</v>
      </c>
      <c r="U976" s="6" t="s">
        <v>2463</v>
      </c>
      <c r="V976" s="6" t="s">
        <v>2472</v>
      </c>
      <c r="W976" s="6" t="s">
        <v>2476</v>
      </c>
      <c r="X976" s="8"/>
      <c r="Y976" s="6" t="s">
        <v>3238</v>
      </c>
      <c r="Z976" s="6" t="s">
        <v>3265</v>
      </c>
      <c r="AA976" s="35" t="s">
        <v>3607</v>
      </c>
      <c r="AB976" s="35" t="s">
        <v>3608</v>
      </c>
      <c r="AC976" s="35" t="s">
        <v>3614</v>
      </c>
      <c r="AD976" s="35" t="s">
        <v>3610</v>
      </c>
      <c r="AE976" s="35" t="s">
        <v>3610</v>
      </c>
      <c r="AF976" s="35" t="s">
        <v>3611</v>
      </c>
      <c r="AG976" s="35" t="s">
        <v>3612</v>
      </c>
      <c r="AH976" s="35" t="s">
        <v>3615</v>
      </c>
    </row>
    <row r="977" spans="1:34" ht="14.45" customHeight="1" x14ac:dyDescent="0.25">
      <c r="A977" s="6" t="s">
        <v>1807</v>
      </c>
      <c r="B977" s="7">
        <v>45282</v>
      </c>
      <c r="C977" s="6" t="s">
        <v>1806</v>
      </c>
      <c r="D977" s="6" t="s">
        <v>66</v>
      </c>
      <c r="E977" s="6" t="s">
        <v>3234</v>
      </c>
      <c r="F977" s="6" t="s">
        <v>3229</v>
      </c>
      <c r="G977" s="8">
        <v>1.1201300000000001</v>
      </c>
      <c r="H977" s="8">
        <v>6.101356</v>
      </c>
      <c r="I977" s="6" t="s">
        <v>2475</v>
      </c>
      <c r="J977" s="6" t="s">
        <v>2459</v>
      </c>
      <c r="K977" s="6" t="s">
        <v>2460</v>
      </c>
      <c r="L977" s="6"/>
      <c r="M977" s="6"/>
      <c r="N977" s="6" t="s">
        <v>3268</v>
      </c>
      <c r="O977" s="6" t="s">
        <v>7</v>
      </c>
      <c r="P977" s="6" t="str">
        <f>VLOOKUP(Tableau1[[#This Row],[SITES NAMES]],[1]Feuil1!$1:$1048576,8,FALSE)</f>
        <v>NOK</v>
      </c>
      <c r="Q977" s="6" t="str">
        <f>VLOOKUP(Tableau1[[#This Row],[SITES NAMES]],[1]Feuil1!$1:$1048576,9,FALSE)</f>
        <v>NO</v>
      </c>
      <c r="R977" s="6" t="str">
        <f>VLOOKUP(Tableau1[[#This Row],[SITES NAMES]],[1]Feuil1!$1:$1048576,10,FALSE)</f>
        <v>NO</v>
      </c>
      <c r="S977" s="6" t="s">
        <v>2461</v>
      </c>
      <c r="T977" s="6" t="s">
        <v>2470</v>
      </c>
      <c r="U977" s="6" t="s">
        <v>2463</v>
      </c>
      <c r="V977" s="6" t="s">
        <v>2464</v>
      </c>
      <c r="W977" s="6" t="s">
        <v>2785</v>
      </c>
      <c r="X977" s="8"/>
      <c r="Y977" s="6" t="s">
        <v>3238</v>
      </c>
      <c r="Z977" s="6" t="s">
        <v>3265</v>
      </c>
      <c r="AA977" s="35" t="s">
        <v>3607</v>
      </c>
      <c r="AB977" s="35" t="s">
        <v>3608</v>
      </c>
      <c r="AC977" s="35" t="s">
        <v>3614</v>
      </c>
      <c r="AD977" s="35" t="s">
        <v>3610</v>
      </c>
      <c r="AE977" s="35" t="s">
        <v>3610</v>
      </c>
      <c r="AF977" s="35" t="s">
        <v>3611</v>
      </c>
      <c r="AG977" s="35" t="s">
        <v>3612</v>
      </c>
      <c r="AH977" s="35" t="s">
        <v>3615</v>
      </c>
    </row>
    <row r="978" spans="1:34" ht="14.45" hidden="1" customHeight="1" x14ac:dyDescent="0.3">
      <c r="A978" s="6" t="s">
        <v>672</v>
      </c>
      <c r="B978" s="7">
        <v>43598</v>
      </c>
      <c r="C978" s="6" t="s">
        <v>671</v>
      </c>
      <c r="D978" s="6" t="s">
        <v>657</v>
      </c>
      <c r="E978" s="6" t="s">
        <v>658</v>
      </c>
      <c r="F978" s="6" t="s">
        <v>3229</v>
      </c>
      <c r="G978" s="8">
        <v>0.47257700000000002</v>
      </c>
      <c r="H978" s="8">
        <v>8.6027989999999992</v>
      </c>
      <c r="I978" s="6" t="s">
        <v>2477</v>
      </c>
      <c r="J978" s="6" t="s">
        <v>2459</v>
      </c>
      <c r="K978" s="6" t="s">
        <v>2468</v>
      </c>
      <c r="L978" s="6" t="s">
        <v>3572</v>
      </c>
      <c r="M978" s="6"/>
      <c r="N978" s="6" t="s">
        <v>2468</v>
      </c>
      <c r="O978" s="6" t="s">
        <v>40</v>
      </c>
      <c r="P978" s="6" t="str">
        <f>VLOOKUP(Tableau1[[#This Row],[SITES NAMES]],[1]Feuil1!$1:$1048576,8,FALSE)</f>
        <v>OK</v>
      </c>
      <c r="Q978" s="6" t="str">
        <f>VLOOKUP(Tableau1[[#This Row],[SITES NAMES]],[1]Feuil1!$1:$1048576,9,FALSE)</f>
        <v>NO</v>
      </c>
      <c r="R978" s="6" t="str">
        <f>VLOOKUP(Tableau1[[#This Row],[SITES NAMES]],[1]Feuil1!$1:$1048576,10,FALSE)</f>
        <v>NO</v>
      </c>
      <c r="S978" s="6" t="s">
        <v>2461</v>
      </c>
      <c r="T978" s="6" t="s">
        <v>2462</v>
      </c>
      <c r="U978" s="6" t="s">
        <v>2463</v>
      </c>
      <c r="V978" s="6" t="s">
        <v>2472</v>
      </c>
      <c r="W978" s="6" t="s">
        <v>2473</v>
      </c>
      <c r="X978" s="8" t="s">
        <v>2719</v>
      </c>
      <c r="Y978" s="6" t="s">
        <v>3239</v>
      </c>
      <c r="Z978" s="6" t="s">
        <v>3253</v>
      </c>
      <c r="AA978" s="38" t="s">
        <v>3682</v>
      </c>
      <c r="AB978" s="38" t="s">
        <v>3683</v>
      </c>
      <c r="AC978" s="38" t="s">
        <v>3684</v>
      </c>
      <c r="AD978" s="38" t="s">
        <v>3682</v>
      </c>
      <c r="AE978" s="38" t="s">
        <v>3682</v>
      </c>
      <c r="AF978" s="38" t="s">
        <v>3682</v>
      </c>
      <c r="AG978" s="40" t="s">
        <v>3685</v>
      </c>
      <c r="AH978" s="37" t="s">
        <v>3686</v>
      </c>
    </row>
    <row r="979" spans="1:34" ht="14.45" hidden="1" customHeight="1" x14ac:dyDescent="0.3">
      <c r="A979" s="6" t="s">
        <v>2231</v>
      </c>
      <c r="B979" s="7">
        <v>44842</v>
      </c>
      <c r="C979" s="6" t="s">
        <v>2230</v>
      </c>
      <c r="D979" s="6" t="s">
        <v>320</v>
      </c>
      <c r="E979" s="6" t="s">
        <v>2141</v>
      </c>
      <c r="F979" s="6" t="s">
        <v>3229</v>
      </c>
      <c r="G979" s="8">
        <v>1.0108999999999999</v>
      </c>
      <c r="H979" s="8">
        <v>8.8496170000000003</v>
      </c>
      <c r="I979" s="6" t="s">
        <v>2477</v>
      </c>
      <c r="J979" s="6" t="s">
        <v>2459</v>
      </c>
      <c r="K979" s="6" t="s">
        <v>2468</v>
      </c>
      <c r="L979" s="6" t="s">
        <v>3573</v>
      </c>
      <c r="M979" s="6"/>
      <c r="N979" s="6" t="s">
        <v>2468</v>
      </c>
      <c r="O979" s="6" t="s">
        <v>40</v>
      </c>
      <c r="P979" s="6" t="str">
        <f>VLOOKUP(Tableau1[[#This Row],[SITES NAMES]],[1]Feuil1!$1:$1048576,8,FALSE)</f>
        <v>OK</v>
      </c>
      <c r="Q979" s="6" t="str">
        <f>VLOOKUP(Tableau1[[#This Row],[SITES NAMES]],[1]Feuil1!$1:$1048576,9,FALSE)</f>
        <v>NO</v>
      </c>
      <c r="R979" s="6" t="str">
        <f>VLOOKUP(Tableau1[[#This Row],[SITES NAMES]],[1]Feuil1!$1:$1048576,10,FALSE)</f>
        <v>YES</v>
      </c>
      <c r="S979" s="6" t="s">
        <v>2469</v>
      </c>
      <c r="T979" s="6" t="s">
        <v>2470</v>
      </c>
      <c r="U979" s="6" t="s">
        <v>2480</v>
      </c>
      <c r="V979" s="6" t="s">
        <v>2472</v>
      </c>
      <c r="W979" s="6" t="s">
        <v>2473</v>
      </c>
      <c r="X979" s="8" t="s">
        <v>3165</v>
      </c>
      <c r="Y979" s="6" t="s">
        <v>3238</v>
      </c>
      <c r="Z979" s="6" t="s">
        <v>3254</v>
      </c>
      <c r="AA979" s="37" t="s">
        <v>3672</v>
      </c>
      <c r="AB979" s="39" t="s">
        <v>3665</v>
      </c>
      <c r="AC979" s="37" t="s">
        <v>3673</v>
      </c>
      <c r="AD979" s="37" t="s">
        <v>3674</v>
      </c>
      <c r="AE979" s="37" t="s">
        <v>3675</v>
      </c>
      <c r="AF979" s="39" t="s">
        <v>3676</v>
      </c>
      <c r="AG979" s="37" t="s">
        <v>3670</v>
      </c>
      <c r="AH979" s="37" t="s">
        <v>3677</v>
      </c>
    </row>
    <row r="980" spans="1:34" ht="14.45" hidden="1" customHeight="1" x14ac:dyDescent="0.3">
      <c r="A980" s="6" t="s">
        <v>2120</v>
      </c>
      <c r="B980" s="7">
        <v>0</v>
      </c>
      <c r="C980" s="6" t="s">
        <v>2119</v>
      </c>
      <c r="D980" s="6" t="s">
        <v>132</v>
      </c>
      <c r="E980" s="6" t="s">
        <v>2049</v>
      </c>
      <c r="F980" s="6" t="s">
        <v>3229</v>
      </c>
      <c r="G980" s="8">
        <v>1.6250629999999999</v>
      </c>
      <c r="H980" s="8">
        <v>7.2251640000000004</v>
      </c>
      <c r="I980" s="6" t="s">
        <v>2477</v>
      </c>
      <c r="J980" s="6" t="s">
        <v>2459</v>
      </c>
      <c r="K980" s="6" t="s">
        <v>2460</v>
      </c>
      <c r="L980" s="6" t="s">
        <v>3562</v>
      </c>
      <c r="M980" s="6"/>
      <c r="N980" s="6" t="s">
        <v>3268</v>
      </c>
      <c r="O980" s="6" t="s">
        <v>18</v>
      </c>
      <c r="P980" s="6" t="str">
        <f>VLOOKUP(Tableau1[[#This Row],[SITES NAMES]],[1]Feuil1!$1:$1048576,8,FALSE)</f>
        <v>NOK</v>
      </c>
      <c r="Q980" s="6" t="str">
        <f>VLOOKUP(Tableau1[[#This Row],[SITES NAMES]],[1]Feuil1!$1:$1048576,9,FALSE)</f>
        <v>NO</v>
      </c>
      <c r="R980" s="6" t="str">
        <f>VLOOKUP(Tableau1[[#This Row],[SITES NAMES]],[1]Feuil1!$1:$1048576,10,FALSE)</f>
        <v>YES</v>
      </c>
      <c r="S980" s="6" t="s">
        <v>2469</v>
      </c>
      <c r="T980" s="6" t="s">
        <v>2470</v>
      </c>
      <c r="U980" s="6" t="s">
        <v>2480</v>
      </c>
      <c r="V980" s="6" t="s">
        <v>2472</v>
      </c>
      <c r="W980" s="6" t="s">
        <v>2473</v>
      </c>
      <c r="X980" s="8" t="s">
        <v>3121</v>
      </c>
      <c r="Y980" s="6" t="s">
        <v>3238</v>
      </c>
      <c r="Z980" s="6" t="s">
        <v>3257</v>
      </c>
      <c r="AA980" s="45" t="s">
        <v>3656</v>
      </c>
      <c r="AB980" s="39" t="s">
        <v>3644</v>
      </c>
      <c r="AC980" s="45" t="s">
        <v>3657</v>
      </c>
      <c r="AD980" s="37" t="s">
        <v>3658</v>
      </c>
      <c r="AE980" s="37" t="s">
        <v>3647</v>
      </c>
      <c r="AF980" s="39" t="s">
        <v>3648</v>
      </c>
      <c r="AG980" s="37" t="s">
        <v>3649</v>
      </c>
      <c r="AH980" s="37" t="s">
        <v>3659</v>
      </c>
    </row>
    <row r="981" spans="1:34" ht="14.45" hidden="1" customHeight="1" x14ac:dyDescent="0.3">
      <c r="A981" s="6" t="s">
        <v>2233</v>
      </c>
      <c r="B981" s="7">
        <v>0</v>
      </c>
      <c r="C981" s="6" t="s">
        <v>2232</v>
      </c>
      <c r="D981" s="6" t="s">
        <v>320</v>
      </c>
      <c r="E981" s="6" t="s">
        <v>2141</v>
      </c>
      <c r="F981" s="6" t="s">
        <v>3229</v>
      </c>
      <c r="G981" s="8">
        <v>1.1618999999999999</v>
      </c>
      <c r="H981" s="8">
        <v>8.9845900000000007</v>
      </c>
      <c r="I981" s="6" t="s">
        <v>2475</v>
      </c>
      <c r="J981" s="6" t="s">
        <v>2459</v>
      </c>
      <c r="K981" s="6" t="s">
        <v>2460</v>
      </c>
      <c r="L981" s="6"/>
      <c r="M981" s="6"/>
      <c r="N981" s="6" t="s">
        <v>3268</v>
      </c>
      <c r="O981" s="6" t="s">
        <v>7</v>
      </c>
      <c r="P981" s="6" t="str">
        <f>VLOOKUP(Tableau1[[#This Row],[SITES NAMES]],[1]Feuil1!$1:$1048576,8,FALSE)</f>
        <v>OK</v>
      </c>
      <c r="Q981" s="6" t="str">
        <f>VLOOKUP(Tableau1[[#This Row],[SITES NAMES]],[1]Feuil1!$1:$1048576,9,FALSE)</f>
        <v>NO</v>
      </c>
      <c r="R981" s="6" t="str">
        <f>VLOOKUP(Tableau1[[#This Row],[SITES NAMES]],[1]Feuil1!$1:$1048576,10,FALSE)</f>
        <v>NO</v>
      </c>
      <c r="S981" s="6" t="s">
        <v>2469</v>
      </c>
      <c r="T981" s="6" t="s">
        <v>2470</v>
      </c>
      <c r="U981" s="6" t="s">
        <v>2471</v>
      </c>
      <c r="V981" s="6" t="s">
        <v>2464</v>
      </c>
      <c r="W981" s="6" t="s">
        <v>2465</v>
      </c>
      <c r="X981" s="8" t="s">
        <v>3166</v>
      </c>
      <c r="Y981" s="6" t="s">
        <v>3238</v>
      </c>
      <c r="Z981" s="6" t="s">
        <v>3254</v>
      </c>
      <c r="AA981" s="37" t="s">
        <v>3672</v>
      </c>
      <c r="AB981" s="39" t="s">
        <v>3665</v>
      </c>
      <c r="AC981" s="37" t="s">
        <v>3673</v>
      </c>
      <c r="AD981" s="37" t="s">
        <v>3674</v>
      </c>
      <c r="AE981" s="37" t="s">
        <v>3675</v>
      </c>
      <c r="AF981" s="39" t="s">
        <v>3676</v>
      </c>
      <c r="AG981" s="37" t="s">
        <v>3670</v>
      </c>
      <c r="AH981" s="37" t="s">
        <v>3677</v>
      </c>
    </row>
    <row r="982" spans="1:34" ht="14.45" hidden="1" customHeight="1" x14ac:dyDescent="0.3">
      <c r="A982" s="6" t="s">
        <v>2280</v>
      </c>
      <c r="B982" s="7">
        <v>43900</v>
      </c>
      <c r="C982" s="6" t="s">
        <v>2279</v>
      </c>
      <c r="D982" s="6" t="s">
        <v>320</v>
      </c>
      <c r="E982" s="6" t="s">
        <v>2274</v>
      </c>
      <c r="F982" s="6" t="s">
        <v>3229</v>
      </c>
      <c r="G982" s="8">
        <v>1.3654440000000001</v>
      </c>
      <c r="H982" s="8">
        <v>8.4150829999999992</v>
      </c>
      <c r="I982" s="6" t="s">
        <v>2458</v>
      </c>
      <c r="J982" s="6" t="s">
        <v>2459</v>
      </c>
      <c r="K982" s="6" t="s">
        <v>2460</v>
      </c>
      <c r="L982" s="6" t="s">
        <v>2282</v>
      </c>
      <c r="M982" s="6"/>
      <c r="N982" s="6" t="s">
        <v>3268</v>
      </c>
      <c r="O982" s="6" t="s">
        <v>40</v>
      </c>
      <c r="P982" s="6" t="str">
        <f>VLOOKUP(Tableau1[[#This Row],[SITES NAMES]],[1]Feuil1!$1:$1048576,8,FALSE)</f>
        <v>OK</v>
      </c>
      <c r="Q982" s="6" t="str">
        <f>VLOOKUP(Tableau1[[#This Row],[SITES NAMES]],[1]Feuil1!$1:$1048576,9,FALSE)</f>
        <v>NO</v>
      </c>
      <c r="R982" s="6" t="str">
        <f>VLOOKUP(Tableau1[[#This Row],[SITES NAMES]],[1]Feuil1!$1:$1048576,10,FALSE)</f>
        <v>NO</v>
      </c>
      <c r="S982" s="6" t="s">
        <v>2469</v>
      </c>
      <c r="T982" s="6" t="s">
        <v>2470</v>
      </c>
      <c r="U982" s="6" t="s">
        <v>2480</v>
      </c>
      <c r="V982" s="6" t="s">
        <v>2472</v>
      </c>
      <c r="W982" s="6" t="s">
        <v>2473</v>
      </c>
      <c r="X982" s="8" t="s">
        <v>3179</v>
      </c>
      <c r="Y982" s="6" t="s">
        <v>3238</v>
      </c>
      <c r="Z982" s="6" t="s">
        <v>3254</v>
      </c>
      <c r="AA982" s="37" t="s">
        <v>3678</v>
      </c>
      <c r="AB982" s="39" t="s">
        <v>3665</v>
      </c>
      <c r="AC982" s="37" t="s">
        <v>3679</v>
      </c>
      <c r="AD982" s="37" t="s">
        <v>3678</v>
      </c>
      <c r="AE982" s="37" t="s">
        <v>3680</v>
      </c>
      <c r="AF982" s="39" t="s">
        <v>3676</v>
      </c>
      <c r="AG982" s="37" t="s">
        <v>3670</v>
      </c>
      <c r="AH982" s="37" t="s">
        <v>3681</v>
      </c>
    </row>
    <row r="983" spans="1:34" ht="14.45" hidden="1" customHeight="1" x14ac:dyDescent="0.3">
      <c r="A983" s="6" t="s">
        <v>622</v>
      </c>
      <c r="B983" s="7">
        <v>43536</v>
      </c>
      <c r="C983" s="6" t="s">
        <v>621</v>
      </c>
      <c r="D983" s="6" t="s">
        <v>132</v>
      </c>
      <c r="E983" s="6" t="s">
        <v>565</v>
      </c>
      <c r="F983" s="6" t="s">
        <v>3229</v>
      </c>
      <c r="G983" s="8">
        <v>1.3093809999999999</v>
      </c>
      <c r="H983" s="8">
        <v>7.9032819999999999</v>
      </c>
      <c r="I983" s="6" t="s">
        <v>2477</v>
      </c>
      <c r="J983" s="6" t="s">
        <v>2459</v>
      </c>
      <c r="K983" s="6" t="s">
        <v>2460</v>
      </c>
      <c r="L983" s="6" t="s">
        <v>3429</v>
      </c>
      <c r="M983" s="6"/>
      <c r="N983" s="6" t="s">
        <v>3268</v>
      </c>
      <c r="O983" s="6" t="s">
        <v>18</v>
      </c>
      <c r="P983" s="6" t="str">
        <f>VLOOKUP(Tableau1[[#This Row],[SITES NAMES]],[1]Feuil1!$1:$1048576,8,FALSE)</f>
        <v>OK</v>
      </c>
      <c r="Q983" s="6" t="str">
        <f>VLOOKUP(Tableau1[[#This Row],[SITES NAMES]],[1]Feuil1!$1:$1048576,9,FALSE)</f>
        <v>NO</v>
      </c>
      <c r="R983" s="6" t="str">
        <f>VLOOKUP(Tableau1[[#This Row],[SITES NAMES]],[1]Feuil1!$1:$1048576,10,FALSE)</f>
        <v>NO</v>
      </c>
      <c r="S983" s="6" t="s">
        <v>2469</v>
      </c>
      <c r="T983" s="6" t="s">
        <v>2470</v>
      </c>
      <c r="U983" s="6" t="s">
        <v>2480</v>
      </c>
      <c r="V983" s="6" t="s">
        <v>2472</v>
      </c>
      <c r="W983" s="6" t="s">
        <v>2473</v>
      </c>
      <c r="X983" s="8" t="s">
        <v>2701</v>
      </c>
      <c r="Y983" s="6" t="s">
        <v>3238</v>
      </c>
      <c r="Z983" s="6"/>
      <c r="AA983" s="37" t="s">
        <v>3660</v>
      </c>
      <c r="AB983" s="39" t="s">
        <v>3644</v>
      </c>
      <c r="AC983" s="37" t="s">
        <v>3661</v>
      </c>
      <c r="AD983" s="39" t="s">
        <v>3646</v>
      </c>
      <c r="AE983" s="39" t="s">
        <v>3647</v>
      </c>
      <c r="AF983" s="39" t="s">
        <v>3662</v>
      </c>
      <c r="AG983" s="37" t="s">
        <v>3649</v>
      </c>
      <c r="AH983" s="37" t="s">
        <v>3663</v>
      </c>
    </row>
    <row r="984" spans="1:34" ht="14.45" hidden="1" customHeight="1" x14ac:dyDescent="0.3">
      <c r="A984" s="6" t="s">
        <v>468</v>
      </c>
      <c r="B984" s="7">
        <v>43629</v>
      </c>
      <c r="C984" s="6" t="s">
        <v>467</v>
      </c>
      <c r="D984" s="6" t="s">
        <v>395</v>
      </c>
      <c r="E984" s="6" t="s">
        <v>396</v>
      </c>
      <c r="F984" s="6" t="s">
        <v>3229</v>
      </c>
      <c r="G984" s="8">
        <v>0.16692299999999999</v>
      </c>
      <c r="H984" s="8">
        <v>11.065206</v>
      </c>
      <c r="I984" s="6" t="s">
        <v>2477</v>
      </c>
      <c r="J984" s="6" t="s">
        <v>2459</v>
      </c>
      <c r="K984" s="6" t="s">
        <v>2468</v>
      </c>
      <c r="L984" s="6" t="s">
        <v>3516</v>
      </c>
      <c r="M984" s="6"/>
      <c r="N984" s="6" t="s">
        <v>2468</v>
      </c>
      <c r="O984" s="6" t="s">
        <v>18</v>
      </c>
      <c r="P984" s="6" t="str">
        <f>VLOOKUP(Tableau1[[#This Row],[SITES NAMES]],[1]Feuil1!$1:$1048576,8,FALSE)</f>
        <v>NOK</v>
      </c>
      <c r="Q984" s="6" t="str">
        <f>VLOOKUP(Tableau1[[#This Row],[SITES NAMES]],[1]Feuil1!$1:$1048576,9,FALSE)</f>
        <v>NO</v>
      </c>
      <c r="R984" s="6" t="str">
        <f>VLOOKUP(Tableau1[[#This Row],[SITES NAMES]],[1]Feuil1!$1:$1048576,10,FALSE)</f>
        <v>NO</v>
      </c>
      <c r="S984" s="6" t="s">
        <v>2469</v>
      </c>
      <c r="T984" s="6" t="s">
        <v>2470</v>
      </c>
      <c r="U984" s="6" t="s">
        <v>2471</v>
      </c>
      <c r="V984" s="6" t="s">
        <v>2478</v>
      </c>
      <c r="W984" s="6" t="s">
        <v>2473</v>
      </c>
      <c r="X984" s="8" t="s">
        <v>2652</v>
      </c>
      <c r="Y984" s="6" t="s">
        <v>3240</v>
      </c>
      <c r="Z984" s="6" t="s">
        <v>3255</v>
      </c>
      <c r="AA984" s="37" t="s">
        <v>3704</v>
      </c>
      <c r="AB984" s="39" t="s">
        <v>3705</v>
      </c>
      <c r="AC984" s="37" t="s">
        <v>3706</v>
      </c>
      <c r="AD984" s="37" t="s">
        <v>3707</v>
      </c>
      <c r="AE984" s="37" t="s">
        <v>3708</v>
      </c>
      <c r="AF984" s="37" t="s">
        <v>3709</v>
      </c>
      <c r="AG984" s="46" t="s">
        <v>3710</v>
      </c>
      <c r="AH984" s="37" t="s">
        <v>3711</v>
      </c>
    </row>
    <row r="985" spans="1:34" ht="14.45" hidden="1" customHeight="1" x14ac:dyDescent="0.3">
      <c r="A985" s="6" t="s">
        <v>743</v>
      </c>
      <c r="B985" s="7">
        <v>0</v>
      </c>
      <c r="C985" s="6" t="s">
        <v>742</v>
      </c>
      <c r="D985" s="6" t="s">
        <v>657</v>
      </c>
      <c r="E985" s="6" t="s">
        <v>658</v>
      </c>
      <c r="F985" s="6" t="s">
        <v>3229</v>
      </c>
      <c r="G985" s="8">
        <v>0.93774999999999997</v>
      </c>
      <c r="H985" s="8">
        <v>9.4773300000000003</v>
      </c>
      <c r="I985" s="6" t="s">
        <v>2477</v>
      </c>
      <c r="J985" s="6" t="s">
        <v>2459</v>
      </c>
      <c r="K985" s="6" t="s">
        <v>2460</v>
      </c>
      <c r="L985" s="6"/>
      <c r="M985" s="6"/>
      <c r="N985" s="6" t="s">
        <v>3268</v>
      </c>
      <c r="O985" s="6" t="s">
        <v>7</v>
      </c>
      <c r="P985" s="6" t="str">
        <f>VLOOKUP(Tableau1[[#This Row],[SITES NAMES]],[1]Feuil1!$1:$1048576,8,FALSE)</f>
        <v>OK</v>
      </c>
      <c r="Q985" s="6" t="str">
        <f>VLOOKUP(Tableau1[[#This Row],[SITES NAMES]],[1]Feuil1!$1:$1048576,9,FALSE)</f>
        <v>NO</v>
      </c>
      <c r="R985" s="6" t="str">
        <f>VLOOKUP(Tableau1[[#This Row],[SITES NAMES]],[1]Feuil1!$1:$1048576,10,FALSE)</f>
        <v>NO</v>
      </c>
      <c r="S985" s="6" t="s">
        <v>2461</v>
      </c>
      <c r="T985" s="6" t="s">
        <v>2462</v>
      </c>
      <c r="U985" s="6" t="s">
        <v>2463</v>
      </c>
      <c r="V985" s="6" t="s">
        <v>2472</v>
      </c>
      <c r="W985" s="6" t="s">
        <v>2473</v>
      </c>
      <c r="X985" s="8" t="s">
        <v>2747</v>
      </c>
      <c r="Y985" s="6" t="s">
        <v>3239</v>
      </c>
      <c r="Z985" s="6" t="s">
        <v>3253</v>
      </c>
      <c r="AA985" s="38" t="s">
        <v>3682</v>
      </c>
      <c r="AB985" s="38" t="s">
        <v>3683</v>
      </c>
      <c r="AC985" s="38" t="s">
        <v>3684</v>
      </c>
      <c r="AD985" s="38" t="s">
        <v>3682</v>
      </c>
      <c r="AE985" s="38" t="s">
        <v>3682</v>
      </c>
      <c r="AF985" s="38" t="s">
        <v>3682</v>
      </c>
      <c r="AG985" s="40" t="s">
        <v>3685</v>
      </c>
      <c r="AH985" s="37" t="s">
        <v>3686</v>
      </c>
    </row>
    <row r="986" spans="1:34" ht="14.45" hidden="1" customHeight="1" x14ac:dyDescent="0.3">
      <c r="A986" s="6" t="s">
        <v>674</v>
      </c>
      <c r="B986" s="7">
        <v>43593</v>
      </c>
      <c r="C986" s="6" t="s">
        <v>673</v>
      </c>
      <c r="D986" s="6" t="s">
        <v>657</v>
      </c>
      <c r="E986" s="6" t="s">
        <v>658</v>
      </c>
      <c r="F986" s="6" t="s">
        <v>3229</v>
      </c>
      <c r="G986" s="8">
        <v>0.89619000000000004</v>
      </c>
      <c r="H986" s="8">
        <v>9.4889399999999995</v>
      </c>
      <c r="I986" s="6" t="s">
        <v>2477</v>
      </c>
      <c r="J986" s="6" t="s">
        <v>2459</v>
      </c>
      <c r="K986" s="6" t="s">
        <v>2460</v>
      </c>
      <c r="L986" s="6" t="s">
        <v>3514</v>
      </c>
      <c r="M986" s="6"/>
      <c r="N986" s="6" t="s">
        <v>3268</v>
      </c>
      <c r="O986" s="6" t="s">
        <v>40</v>
      </c>
      <c r="P986" s="6" t="str">
        <f>VLOOKUP(Tableau1[[#This Row],[SITES NAMES]],[1]Feuil1!$1:$1048576,8,FALSE)</f>
        <v>OK</v>
      </c>
      <c r="Q986" s="6" t="str">
        <f>VLOOKUP(Tableau1[[#This Row],[SITES NAMES]],[1]Feuil1!$1:$1048576,9,FALSE)</f>
        <v>NO</v>
      </c>
      <c r="R986" s="6" t="str">
        <f>VLOOKUP(Tableau1[[#This Row],[SITES NAMES]],[1]Feuil1!$1:$1048576,10,FALSE)</f>
        <v>NO</v>
      </c>
      <c r="S986" s="6" t="s">
        <v>2461</v>
      </c>
      <c r="T986" s="6" t="s">
        <v>2462</v>
      </c>
      <c r="U986" s="6" t="s">
        <v>2463</v>
      </c>
      <c r="V986" s="6" t="s">
        <v>2472</v>
      </c>
      <c r="W986" s="6" t="s">
        <v>2473</v>
      </c>
      <c r="X986" s="8" t="s">
        <v>2720</v>
      </c>
      <c r="Y986" s="6" t="s">
        <v>3239</v>
      </c>
      <c r="Z986" s="6" t="s">
        <v>3253</v>
      </c>
      <c r="AA986" s="38" t="s">
        <v>3682</v>
      </c>
      <c r="AB986" s="38" t="s">
        <v>3683</v>
      </c>
      <c r="AC986" s="38" t="s">
        <v>3684</v>
      </c>
      <c r="AD986" s="38" t="s">
        <v>3682</v>
      </c>
      <c r="AE986" s="38" t="s">
        <v>3682</v>
      </c>
      <c r="AF986" s="38" t="s">
        <v>3682</v>
      </c>
      <c r="AG986" s="40" t="s">
        <v>3685</v>
      </c>
      <c r="AH986" s="37" t="s">
        <v>3686</v>
      </c>
    </row>
    <row r="987" spans="1:34" ht="14.45" hidden="1" customHeight="1" x14ac:dyDescent="0.3">
      <c r="A987" s="6" t="s">
        <v>470</v>
      </c>
      <c r="B987" s="7">
        <v>45066</v>
      </c>
      <c r="C987" s="6" t="s">
        <v>469</v>
      </c>
      <c r="D987" s="6" t="s">
        <v>395</v>
      </c>
      <c r="E987" s="6" t="s">
        <v>396</v>
      </c>
      <c r="F987" s="6" t="s">
        <v>3229</v>
      </c>
      <c r="G987" s="8">
        <v>0.78158099999999997</v>
      </c>
      <c r="H987" s="8">
        <v>10.970511</v>
      </c>
      <c r="I987" s="6" t="s">
        <v>2477</v>
      </c>
      <c r="J987" s="6" t="s">
        <v>2459</v>
      </c>
      <c r="K987" s="6" t="s">
        <v>2468</v>
      </c>
      <c r="L987" s="6" t="s">
        <v>3538</v>
      </c>
      <c r="M987" s="6"/>
      <c r="N987" s="6" t="s">
        <v>2468</v>
      </c>
      <c r="O987" s="6" t="s">
        <v>40</v>
      </c>
      <c r="P987" s="6" t="str">
        <f>VLOOKUP(Tableau1[[#This Row],[SITES NAMES]],[1]Feuil1!$1:$1048576,8,FALSE)</f>
        <v>OK</v>
      </c>
      <c r="Q987" s="6" t="str">
        <f>VLOOKUP(Tableau1[[#This Row],[SITES NAMES]],[1]Feuil1!$1:$1048576,9,FALSE)</f>
        <v>NO</v>
      </c>
      <c r="R987" s="6" t="str">
        <f>VLOOKUP(Tableau1[[#This Row],[SITES NAMES]],[1]Feuil1!$1:$1048576,10,FALSE)</f>
        <v>YES</v>
      </c>
      <c r="S987" s="6" t="s">
        <v>2461</v>
      </c>
      <c r="T987" s="6" t="s">
        <v>2462</v>
      </c>
      <c r="U987" s="6" t="s">
        <v>2463</v>
      </c>
      <c r="V987" s="6" t="s">
        <v>2498</v>
      </c>
      <c r="W987" s="6" t="s">
        <v>2473</v>
      </c>
      <c r="X987" s="8">
        <v>70997374</v>
      </c>
      <c r="Y987" s="6" t="s">
        <v>3240</v>
      </c>
      <c r="Z987" s="6" t="s">
        <v>3255</v>
      </c>
      <c r="AA987" s="37" t="s">
        <v>3704</v>
      </c>
      <c r="AB987" s="39" t="s">
        <v>3705</v>
      </c>
      <c r="AC987" s="37" t="s">
        <v>3706</v>
      </c>
      <c r="AD987" s="37" t="s">
        <v>3707</v>
      </c>
      <c r="AE987" s="37" t="s">
        <v>3708</v>
      </c>
      <c r="AF987" s="37" t="s">
        <v>3709</v>
      </c>
      <c r="AG987" s="46" t="s">
        <v>3710</v>
      </c>
      <c r="AH987" s="37" t="s">
        <v>3711</v>
      </c>
    </row>
    <row r="988" spans="1:34" ht="14.45" hidden="1" customHeight="1" x14ac:dyDescent="0.3">
      <c r="A988" s="6" t="s">
        <v>917</v>
      </c>
      <c r="B988" s="7">
        <v>0</v>
      </c>
      <c r="C988" s="6" t="s">
        <v>916</v>
      </c>
      <c r="D988" s="6" t="s">
        <v>657</v>
      </c>
      <c r="E988" s="6" t="s">
        <v>3235</v>
      </c>
      <c r="F988" s="6" t="s">
        <v>3229</v>
      </c>
      <c r="G988" s="8">
        <v>0.98912999999999995</v>
      </c>
      <c r="H988" s="8">
        <v>9.6255500000000005</v>
      </c>
      <c r="I988" s="6" t="s">
        <v>2467</v>
      </c>
      <c r="J988" s="6" t="s">
        <v>2459</v>
      </c>
      <c r="K988" s="6" t="s">
        <v>2468</v>
      </c>
      <c r="L988" s="6"/>
      <c r="M988" s="6"/>
      <c r="N988" s="6" t="s">
        <v>2468</v>
      </c>
      <c r="O988" s="6" t="s">
        <v>7</v>
      </c>
      <c r="P988" s="6" t="str">
        <f>VLOOKUP(Tableau1[[#This Row],[SITES NAMES]],[1]Feuil1!$1:$1048576,8,FALSE)</f>
        <v>NOK</v>
      </c>
      <c r="Q988" s="6" t="str">
        <f>VLOOKUP(Tableau1[[#This Row],[SITES NAMES]],[1]Feuil1!$1:$1048576,9,FALSE)</f>
        <v>NO</v>
      </c>
      <c r="R988" s="6" t="str">
        <f>VLOOKUP(Tableau1[[#This Row],[SITES NAMES]],[1]Feuil1!$1:$1048576,10,FALSE)</f>
        <v>NO</v>
      </c>
      <c r="S988" s="6" t="s">
        <v>2461</v>
      </c>
      <c r="T988" s="6" t="s">
        <v>2462</v>
      </c>
      <c r="U988" s="6" t="s">
        <v>2463</v>
      </c>
      <c r="V988" s="6" t="s">
        <v>2472</v>
      </c>
      <c r="W988" s="6" t="s">
        <v>2473</v>
      </c>
      <c r="X988" s="8" t="s">
        <v>2813</v>
      </c>
      <c r="Y988" s="6" t="s">
        <v>3239</v>
      </c>
      <c r="Z988" s="6" t="s">
        <v>3253</v>
      </c>
      <c r="AA988" s="37" t="s">
        <v>3698</v>
      </c>
      <c r="AB988" s="38" t="s">
        <v>3683</v>
      </c>
      <c r="AC988" s="39" t="s">
        <v>3699</v>
      </c>
      <c r="AD988" s="39" t="s">
        <v>3700</v>
      </c>
      <c r="AE988" s="37" t="s">
        <v>3701</v>
      </c>
      <c r="AF988" s="39" t="s">
        <v>3702</v>
      </c>
      <c r="AG988" s="40" t="s">
        <v>3685</v>
      </c>
      <c r="AH988" s="37" t="s">
        <v>3703</v>
      </c>
    </row>
    <row r="989" spans="1:34" ht="14.45" hidden="1" customHeight="1" x14ac:dyDescent="0.3">
      <c r="A989" s="6" t="s">
        <v>1143</v>
      </c>
      <c r="B989" s="7">
        <v>44560</v>
      </c>
      <c r="C989" s="6" t="s">
        <v>1142</v>
      </c>
      <c r="D989" s="6" t="s">
        <v>5</v>
      </c>
      <c r="E989" s="6" t="s">
        <v>1003</v>
      </c>
      <c r="F989" s="6" t="s">
        <v>3229</v>
      </c>
      <c r="G989" s="8">
        <v>0.65400000000000003</v>
      </c>
      <c r="H989" s="8">
        <v>7.2783499999999997</v>
      </c>
      <c r="I989" s="6" t="s">
        <v>2477</v>
      </c>
      <c r="J989" s="6" t="s">
        <v>2459</v>
      </c>
      <c r="K989" s="6" t="s">
        <v>2468</v>
      </c>
      <c r="L989" s="6" t="s">
        <v>3574</v>
      </c>
      <c r="M989" s="6"/>
      <c r="N989" s="6" t="s">
        <v>2468</v>
      </c>
      <c r="O989" s="6" t="s">
        <v>7</v>
      </c>
      <c r="P989" s="6" t="str">
        <f>VLOOKUP(Tableau1[[#This Row],[SITES NAMES]],[1]Feuil1!$1:$1048576,8,FALSE)</f>
        <v>OK</v>
      </c>
      <c r="Q989" s="6" t="str">
        <f>VLOOKUP(Tableau1[[#This Row],[SITES NAMES]],[1]Feuil1!$1:$1048576,9,FALSE)</f>
        <v>NO</v>
      </c>
      <c r="R989" s="6" t="str">
        <f>VLOOKUP(Tableau1[[#This Row],[SITES NAMES]],[1]Feuil1!$1:$1048576,10,FALSE)</f>
        <v>YES</v>
      </c>
      <c r="S989" s="6" t="s">
        <v>2461</v>
      </c>
      <c r="T989" s="6" t="s">
        <v>2462</v>
      </c>
      <c r="U989" s="6" t="s">
        <v>2463</v>
      </c>
      <c r="V989" s="6" t="s">
        <v>2472</v>
      </c>
      <c r="W989" s="6" t="s">
        <v>2473</v>
      </c>
      <c r="X989" s="8"/>
      <c r="Y989" s="6" t="s">
        <v>3241</v>
      </c>
      <c r="Z989" s="6"/>
      <c r="AA989" s="37" t="s">
        <v>3634</v>
      </c>
      <c r="AB989" s="38" t="s">
        <v>3627</v>
      </c>
      <c r="AC989" s="37" t="s">
        <v>3635</v>
      </c>
      <c r="AD989" s="37" t="s">
        <v>3636</v>
      </c>
      <c r="AE989" s="37" t="s">
        <v>3637</v>
      </c>
      <c r="AF989" s="37" t="s">
        <v>3636</v>
      </c>
      <c r="AG989" s="37" t="s">
        <v>3638</v>
      </c>
      <c r="AH989" s="37" t="s">
        <v>3639</v>
      </c>
    </row>
    <row r="990" spans="1:34" ht="14.45" hidden="1" customHeight="1" x14ac:dyDescent="0.25">
      <c r="A990" s="6" t="s">
        <v>1809</v>
      </c>
      <c r="B990" s="7">
        <v>0</v>
      </c>
      <c r="C990" s="6" t="s">
        <v>1808</v>
      </c>
      <c r="D990" s="6" t="s">
        <v>66</v>
      </c>
      <c r="E990" s="6" t="s">
        <v>3234</v>
      </c>
      <c r="F990" s="18" t="s">
        <v>3230</v>
      </c>
      <c r="G990" s="8">
        <v>1.099307</v>
      </c>
      <c r="H990" s="8">
        <v>6.1805630000000003</v>
      </c>
      <c r="I990" s="6" t="s">
        <v>2475</v>
      </c>
      <c r="J990" s="6" t="s">
        <v>2459</v>
      </c>
      <c r="K990" s="21" t="s">
        <v>2460</v>
      </c>
      <c r="L990" s="6"/>
      <c r="M990" s="6"/>
      <c r="N990" s="6" t="s">
        <v>3268</v>
      </c>
      <c r="O990" s="6" t="s">
        <v>18</v>
      </c>
      <c r="P990" s="6" t="str">
        <f>VLOOKUP(Tableau1[[#This Row],[SITES NAMES]],[1]Feuil1!$1:$1048576,8,FALSE)</f>
        <v>OK</v>
      </c>
      <c r="Q990" s="6" t="str">
        <f>VLOOKUP(Tableau1[[#This Row],[SITES NAMES]],[1]Feuil1!$1:$1048576,9,FALSE)</f>
        <v>NO</v>
      </c>
      <c r="R990" s="6" t="str">
        <f>VLOOKUP(Tableau1[[#This Row],[SITES NAMES]],[1]Feuil1!$1:$1048576,10,FALSE)</f>
        <v>NO</v>
      </c>
      <c r="S990" s="6" t="s">
        <v>2461</v>
      </c>
      <c r="T990" s="6" t="s">
        <v>2462</v>
      </c>
      <c r="U990" s="6" t="s">
        <v>2463</v>
      </c>
      <c r="V990" s="6" t="s">
        <v>2478</v>
      </c>
      <c r="W990" s="6" t="s">
        <v>2476</v>
      </c>
      <c r="X990" s="8" t="s">
        <v>3030</v>
      </c>
      <c r="Y990" s="6" t="s">
        <v>3238</v>
      </c>
      <c r="Z990" s="6" t="s">
        <v>3265</v>
      </c>
      <c r="AA990" s="35" t="s">
        <v>3607</v>
      </c>
      <c r="AB990" s="35" t="s">
        <v>3608</v>
      </c>
      <c r="AC990" s="35" t="s">
        <v>3614</v>
      </c>
      <c r="AD990" s="35" t="s">
        <v>3610</v>
      </c>
      <c r="AE990" s="35" t="s">
        <v>3610</v>
      </c>
      <c r="AF990" s="35" t="s">
        <v>3611</v>
      </c>
      <c r="AG990" s="35" t="s">
        <v>3612</v>
      </c>
      <c r="AH990" s="35" t="s">
        <v>3615</v>
      </c>
    </row>
    <row r="991" spans="1:34" ht="14.45" hidden="1" customHeight="1" x14ac:dyDescent="0.25">
      <c r="A991" s="6" t="s">
        <v>1811</v>
      </c>
      <c r="B991" s="7">
        <v>43784</v>
      </c>
      <c r="C991" s="6" t="s">
        <v>1810</v>
      </c>
      <c r="D991" s="6" t="s">
        <v>66</v>
      </c>
      <c r="E991" s="6" t="s">
        <v>3234</v>
      </c>
      <c r="F991" s="6" t="s">
        <v>3229</v>
      </c>
      <c r="G991" s="8">
        <v>1.11267</v>
      </c>
      <c r="H991" s="8">
        <v>6.1913099999999996</v>
      </c>
      <c r="I991" s="6" t="s">
        <v>2475</v>
      </c>
      <c r="J991" s="6" t="s">
        <v>2459</v>
      </c>
      <c r="K991" s="21" t="s">
        <v>2460</v>
      </c>
      <c r="L991" s="6" t="s">
        <v>3575</v>
      </c>
      <c r="M991" s="6"/>
      <c r="N991" s="6" t="s">
        <v>3268</v>
      </c>
      <c r="O991" s="6" t="s">
        <v>7</v>
      </c>
      <c r="P991" s="6" t="str">
        <f>VLOOKUP(Tableau1[[#This Row],[SITES NAMES]],[1]Feuil1!$1:$1048576,8,FALSE)</f>
        <v>OK</v>
      </c>
      <c r="Q991" s="6" t="str">
        <f>VLOOKUP(Tableau1[[#This Row],[SITES NAMES]],[1]Feuil1!$1:$1048576,9,FALSE)</f>
        <v>NO</v>
      </c>
      <c r="R991" s="6" t="str">
        <f>VLOOKUP(Tableau1[[#This Row],[SITES NAMES]],[1]Feuil1!$1:$1048576,10,FALSE)</f>
        <v>NO</v>
      </c>
      <c r="S991" s="6" t="s">
        <v>2461</v>
      </c>
      <c r="T991" s="6" t="s">
        <v>2470</v>
      </c>
      <c r="U991" s="6" t="s">
        <v>2463</v>
      </c>
      <c r="V991" s="6" t="s">
        <v>2464</v>
      </c>
      <c r="W991" s="6" t="s">
        <v>2476</v>
      </c>
      <c r="X991" s="8" t="s">
        <v>3031</v>
      </c>
      <c r="Y991" s="6" t="s">
        <v>3238</v>
      </c>
      <c r="Z991" s="6" t="s">
        <v>3265</v>
      </c>
      <c r="AA991" s="35" t="s">
        <v>3607</v>
      </c>
      <c r="AB991" s="35" t="s">
        <v>3608</v>
      </c>
      <c r="AC991" s="35" t="s">
        <v>3614</v>
      </c>
      <c r="AD991" s="35" t="s">
        <v>3610</v>
      </c>
      <c r="AE991" s="35" t="s">
        <v>3610</v>
      </c>
      <c r="AF991" s="35" t="s">
        <v>3611</v>
      </c>
      <c r="AG991" s="35" t="s">
        <v>3612</v>
      </c>
      <c r="AH991" s="35" t="s">
        <v>3615</v>
      </c>
    </row>
    <row r="992" spans="1:34" ht="14.45" hidden="1" customHeight="1" x14ac:dyDescent="0.25">
      <c r="A992" s="6" t="s">
        <v>1813</v>
      </c>
      <c r="B992" s="7">
        <v>44648</v>
      </c>
      <c r="C992" s="6" t="s">
        <v>1812</v>
      </c>
      <c r="D992" s="6" t="s">
        <v>66</v>
      </c>
      <c r="E992" s="6" t="s">
        <v>3234</v>
      </c>
      <c r="F992" s="6" t="s">
        <v>3229</v>
      </c>
      <c r="G992" s="8">
        <v>1.11311</v>
      </c>
      <c r="H992" s="8">
        <v>6.2046799899999998</v>
      </c>
      <c r="I992" s="6" t="s">
        <v>2475</v>
      </c>
      <c r="J992" s="6" t="s">
        <v>2459</v>
      </c>
      <c r="K992" s="21" t="s">
        <v>2460</v>
      </c>
      <c r="L992" s="6"/>
      <c r="M992" s="6"/>
      <c r="N992" s="6" t="s">
        <v>3268</v>
      </c>
      <c r="O992" s="6" t="s">
        <v>7</v>
      </c>
      <c r="P992" s="6" t="str">
        <f>VLOOKUP(Tableau1[[#This Row],[SITES NAMES]],[1]Feuil1!$1:$1048576,8,FALSE)</f>
        <v>OK</v>
      </c>
      <c r="Q992" s="6" t="str">
        <f>VLOOKUP(Tableau1[[#This Row],[SITES NAMES]],[1]Feuil1!$1:$1048576,9,FALSE)</f>
        <v>NO</v>
      </c>
      <c r="R992" s="6" t="str">
        <f>VLOOKUP(Tableau1[[#This Row],[SITES NAMES]],[1]Feuil1!$1:$1048576,10,FALSE)</f>
        <v>YES</v>
      </c>
      <c r="S992" s="6" t="s">
        <v>2469</v>
      </c>
      <c r="T992" s="6" t="s">
        <v>2470</v>
      </c>
      <c r="U992" s="6" t="s">
        <v>2480</v>
      </c>
      <c r="V992" s="6" t="s">
        <v>2464</v>
      </c>
      <c r="W992" s="6" t="s">
        <v>2476</v>
      </c>
      <c r="X992" s="8" t="s">
        <v>3032</v>
      </c>
      <c r="Y992" s="6" t="s">
        <v>3238</v>
      </c>
      <c r="Z992" s="6" t="s">
        <v>3265</v>
      </c>
      <c r="AA992" s="35" t="s">
        <v>3607</v>
      </c>
      <c r="AB992" s="35" t="s">
        <v>3608</v>
      </c>
      <c r="AC992" s="35" t="s">
        <v>3614</v>
      </c>
      <c r="AD992" s="35" t="s">
        <v>3610</v>
      </c>
      <c r="AE992" s="35" t="s">
        <v>3610</v>
      </c>
      <c r="AF992" s="35" t="s">
        <v>3611</v>
      </c>
      <c r="AG992" s="35" t="s">
        <v>3612</v>
      </c>
      <c r="AH992" s="35" t="s">
        <v>3615</v>
      </c>
    </row>
    <row r="993" spans="1:34" ht="14.45" hidden="1" customHeight="1" x14ac:dyDescent="0.25">
      <c r="A993" s="6" t="s">
        <v>1815</v>
      </c>
      <c r="B993" s="7">
        <v>44831</v>
      </c>
      <c r="C993" s="6" t="s">
        <v>1814</v>
      </c>
      <c r="D993" s="6" t="s">
        <v>66</v>
      </c>
      <c r="E993" s="6" t="s">
        <v>3234</v>
      </c>
      <c r="F993" s="6" t="s">
        <v>3229</v>
      </c>
      <c r="G993" s="8">
        <v>1.0936999999999999</v>
      </c>
      <c r="H993" s="8">
        <v>6.17563</v>
      </c>
      <c r="I993" s="6" t="s">
        <v>2479</v>
      </c>
      <c r="J993" s="6" t="s">
        <v>2459</v>
      </c>
      <c r="K993" s="21" t="s">
        <v>2460</v>
      </c>
      <c r="L993" s="6" t="s">
        <v>3576</v>
      </c>
      <c r="M993" s="6"/>
      <c r="N993" s="6" t="s">
        <v>3268</v>
      </c>
      <c r="O993" s="6" t="s">
        <v>7</v>
      </c>
      <c r="P993" s="6" t="str">
        <f>VLOOKUP(Tableau1[[#This Row],[SITES NAMES]],[1]Feuil1!$1:$1048576,8,FALSE)</f>
        <v>OK</v>
      </c>
      <c r="Q993" s="6" t="str">
        <f>VLOOKUP(Tableau1[[#This Row],[SITES NAMES]],[1]Feuil1!$1:$1048576,9,FALSE)</f>
        <v>NO</v>
      </c>
      <c r="R993" s="6" t="str">
        <f>VLOOKUP(Tableau1[[#This Row],[SITES NAMES]],[1]Feuil1!$1:$1048576,10,FALSE)</f>
        <v>YES</v>
      </c>
      <c r="S993" s="6" t="s">
        <v>2469</v>
      </c>
      <c r="T993" s="6" t="s">
        <v>2470</v>
      </c>
      <c r="U993" s="6" t="s">
        <v>2480</v>
      </c>
      <c r="V993" s="6" t="s">
        <v>2472</v>
      </c>
      <c r="W993" s="6" t="s">
        <v>2465</v>
      </c>
      <c r="X993" s="8" t="s">
        <v>3033</v>
      </c>
      <c r="Y993" s="6" t="s">
        <v>3238</v>
      </c>
      <c r="Z993" s="6" t="s">
        <v>3265</v>
      </c>
      <c r="AA993" s="35" t="s">
        <v>3607</v>
      </c>
      <c r="AB993" s="35" t="s">
        <v>3608</v>
      </c>
      <c r="AC993" s="35" t="s">
        <v>3614</v>
      </c>
      <c r="AD993" s="35" t="s">
        <v>3610</v>
      </c>
      <c r="AE993" s="35" t="s">
        <v>3610</v>
      </c>
      <c r="AF993" s="35" t="s">
        <v>3611</v>
      </c>
      <c r="AG993" s="35" t="s">
        <v>3612</v>
      </c>
      <c r="AH993" s="35" t="s">
        <v>3615</v>
      </c>
    </row>
    <row r="994" spans="1:34" ht="14.45" hidden="1" customHeight="1" x14ac:dyDescent="0.25">
      <c r="A994" s="6" t="s">
        <v>1732</v>
      </c>
      <c r="B994" s="7">
        <v>46022</v>
      </c>
      <c r="C994" s="6" t="s">
        <v>1731</v>
      </c>
      <c r="D994" s="6" t="s">
        <v>66</v>
      </c>
      <c r="E994" s="6" t="s">
        <v>3234</v>
      </c>
      <c r="F994" s="6" t="s">
        <v>3229</v>
      </c>
      <c r="G994" s="8">
        <v>1.11426</v>
      </c>
      <c r="H994" s="8">
        <v>6.1850300000000002</v>
      </c>
      <c r="I994" s="15" t="s">
        <v>2479</v>
      </c>
      <c r="J994" s="6" t="s">
        <v>2459</v>
      </c>
      <c r="K994" s="6" t="s">
        <v>2468</v>
      </c>
      <c r="L994" s="6"/>
      <c r="M994" s="6"/>
      <c r="N994" s="6" t="s">
        <v>2468</v>
      </c>
      <c r="O994" s="6" t="s">
        <v>7</v>
      </c>
      <c r="P994" s="6"/>
      <c r="Q994" s="6"/>
      <c r="R994" s="6"/>
      <c r="S994" s="6"/>
      <c r="T994" s="6"/>
      <c r="U994" s="6"/>
      <c r="V994" s="6"/>
      <c r="W994" s="6"/>
      <c r="X994" s="8"/>
      <c r="Y994" s="6" t="s">
        <v>3238</v>
      </c>
      <c r="Z994" s="6" t="s">
        <v>3265</v>
      </c>
      <c r="AA994" s="35" t="s">
        <v>3607</v>
      </c>
      <c r="AB994" s="35" t="s">
        <v>3608</v>
      </c>
      <c r="AC994" s="35" t="s">
        <v>3614</v>
      </c>
      <c r="AD994" s="35" t="s">
        <v>3610</v>
      </c>
      <c r="AE994" s="35" t="s">
        <v>3610</v>
      </c>
      <c r="AF994" s="35" t="s">
        <v>3611</v>
      </c>
      <c r="AG994" s="35" t="s">
        <v>3612</v>
      </c>
      <c r="AH994" s="35" t="s">
        <v>3615</v>
      </c>
    </row>
    <row r="995" spans="1:34" ht="14.45" hidden="1" customHeight="1" x14ac:dyDescent="0.25">
      <c r="A995" s="6" t="s">
        <v>1817</v>
      </c>
      <c r="B995" s="7">
        <v>43164</v>
      </c>
      <c r="C995" s="6" t="s">
        <v>1816</v>
      </c>
      <c r="D995" s="6" t="s">
        <v>66</v>
      </c>
      <c r="E995" s="6" t="s">
        <v>3234</v>
      </c>
      <c r="F995" s="6" t="s">
        <v>3229</v>
      </c>
      <c r="G995" s="8">
        <v>1.104066</v>
      </c>
      <c r="H995" s="8">
        <v>6.1995329999999997</v>
      </c>
      <c r="I995" s="6" t="s">
        <v>2475</v>
      </c>
      <c r="J995" s="6" t="s">
        <v>2459</v>
      </c>
      <c r="K995" s="6" t="s">
        <v>2460</v>
      </c>
      <c r="L995" s="6"/>
      <c r="M995" s="6"/>
      <c r="N995" s="6" t="s">
        <v>3268</v>
      </c>
      <c r="O995" s="6" t="s">
        <v>7</v>
      </c>
      <c r="P995" s="6" t="str">
        <f>VLOOKUP(Tableau1[[#This Row],[SITES NAMES]],[1]Feuil1!$1:$1048576,8,FALSE)</f>
        <v>OK</v>
      </c>
      <c r="Q995" s="6" t="str">
        <f>VLOOKUP(Tableau1[[#This Row],[SITES NAMES]],[1]Feuil1!$1:$1048576,9,FALSE)</f>
        <v>NO</v>
      </c>
      <c r="R995" s="6" t="str">
        <f>VLOOKUP(Tableau1[[#This Row],[SITES NAMES]],[1]Feuil1!$1:$1048576,10,FALSE)</f>
        <v>NO</v>
      </c>
      <c r="S995" s="6" t="s">
        <v>2469</v>
      </c>
      <c r="T995" s="6" t="s">
        <v>2470</v>
      </c>
      <c r="U995" s="6" t="s">
        <v>2480</v>
      </c>
      <c r="V995" s="6" t="s">
        <v>2464</v>
      </c>
      <c r="W995" s="6" t="s">
        <v>2476</v>
      </c>
      <c r="X995" s="8"/>
      <c r="Y995" s="6" t="s">
        <v>3238</v>
      </c>
      <c r="Z995" s="6" t="s">
        <v>3265</v>
      </c>
      <c r="AA995" s="35" t="s">
        <v>3607</v>
      </c>
      <c r="AB995" s="35" t="s">
        <v>3608</v>
      </c>
      <c r="AC995" s="35" t="s">
        <v>3614</v>
      </c>
      <c r="AD995" s="35" t="s">
        <v>3610</v>
      </c>
      <c r="AE995" s="35" t="s">
        <v>3610</v>
      </c>
      <c r="AF995" s="35" t="s">
        <v>3611</v>
      </c>
      <c r="AG995" s="35" t="s">
        <v>3612</v>
      </c>
      <c r="AH995" s="35" t="s">
        <v>3615</v>
      </c>
    </row>
    <row r="996" spans="1:34" ht="14.45" hidden="1" customHeight="1" x14ac:dyDescent="0.25">
      <c r="A996" s="6" t="s">
        <v>1819</v>
      </c>
      <c r="B996" s="7">
        <v>43896</v>
      </c>
      <c r="C996" s="6" t="s">
        <v>1818</v>
      </c>
      <c r="D996" s="6" t="s">
        <v>66</v>
      </c>
      <c r="E996" s="6" t="s">
        <v>3234</v>
      </c>
      <c r="F996" s="6" t="s">
        <v>3229</v>
      </c>
      <c r="G996" s="8">
        <v>1.1010800000000001</v>
      </c>
      <c r="H996" s="8">
        <v>6.1894580000000001</v>
      </c>
      <c r="I996" s="6" t="s">
        <v>2475</v>
      </c>
      <c r="J996" s="6" t="s">
        <v>2459</v>
      </c>
      <c r="K996" s="6" t="s">
        <v>2460</v>
      </c>
      <c r="L996" s="6"/>
      <c r="M996" s="6"/>
      <c r="N996" s="6" t="s">
        <v>3268</v>
      </c>
      <c r="O996" s="6" t="s">
        <v>7</v>
      </c>
      <c r="P996" s="6" t="str">
        <f>VLOOKUP(Tableau1[[#This Row],[SITES NAMES]],[1]Feuil1!$1:$1048576,8,FALSE)</f>
        <v>OK</v>
      </c>
      <c r="Q996" s="6" t="str">
        <f>VLOOKUP(Tableau1[[#This Row],[SITES NAMES]],[1]Feuil1!$1:$1048576,9,FALSE)</f>
        <v>NO</v>
      </c>
      <c r="R996" s="6" t="str">
        <f>VLOOKUP(Tableau1[[#This Row],[SITES NAMES]],[1]Feuil1!$1:$1048576,10,FALSE)</f>
        <v>NO</v>
      </c>
      <c r="S996" s="6" t="s">
        <v>2469</v>
      </c>
      <c r="T996" s="6" t="s">
        <v>2470</v>
      </c>
      <c r="U996" s="6" t="s">
        <v>2480</v>
      </c>
      <c r="V996" s="6" t="s">
        <v>2464</v>
      </c>
      <c r="W996" s="6" t="s">
        <v>2476</v>
      </c>
      <c r="X996" s="8" t="s">
        <v>3034</v>
      </c>
      <c r="Y996" s="6" t="s">
        <v>3238</v>
      </c>
      <c r="Z996" s="6" t="s">
        <v>3265</v>
      </c>
      <c r="AA996" s="35" t="s">
        <v>3607</v>
      </c>
      <c r="AB996" s="35" t="s">
        <v>3608</v>
      </c>
      <c r="AC996" s="35" t="s">
        <v>3614</v>
      </c>
      <c r="AD996" s="35" t="s">
        <v>3610</v>
      </c>
      <c r="AE996" s="35" t="s">
        <v>3610</v>
      </c>
      <c r="AF996" s="35" t="s">
        <v>3611</v>
      </c>
      <c r="AG996" s="35" t="s">
        <v>3612</v>
      </c>
      <c r="AH996" s="35" t="s">
        <v>3615</v>
      </c>
    </row>
    <row r="997" spans="1:34" ht="14.45" hidden="1" customHeight="1" x14ac:dyDescent="0.25">
      <c r="A997" s="6" t="s">
        <v>1944</v>
      </c>
      <c r="B997" s="7">
        <v>0</v>
      </c>
      <c r="C997" s="6" t="s">
        <v>1943</v>
      </c>
      <c r="D997" s="6" t="s">
        <v>66</v>
      </c>
      <c r="E997" s="6" t="s">
        <v>3232</v>
      </c>
      <c r="F997" s="18" t="s">
        <v>3230</v>
      </c>
      <c r="G997" s="8">
        <v>1.2088110000000001</v>
      </c>
      <c r="H997" s="8">
        <v>6.149996067</v>
      </c>
      <c r="I997" s="6" t="s">
        <v>2497</v>
      </c>
      <c r="J997" s="6" t="s">
        <v>2459</v>
      </c>
      <c r="K997" s="6" t="s">
        <v>2460</v>
      </c>
      <c r="L997" s="6"/>
      <c r="M997" s="6"/>
      <c r="N997" s="6" t="s">
        <v>3268</v>
      </c>
      <c r="O997" s="6" t="s">
        <v>7</v>
      </c>
      <c r="P997" s="6" t="str">
        <f>VLOOKUP(Tableau1[[#This Row],[SITES NAMES]],[1]Feuil1!$1:$1048576,8,FALSE)</f>
        <v>OK</v>
      </c>
      <c r="Q997" s="6" t="str">
        <f>VLOOKUP(Tableau1[[#This Row],[SITES NAMES]],[1]Feuil1!$1:$1048576,9,FALSE)</f>
        <v>NO</v>
      </c>
      <c r="R997" s="6" t="str">
        <f>VLOOKUP(Tableau1[[#This Row],[SITES NAMES]],[1]Feuil1!$1:$1048576,10,FALSE)</f>
        <v>NO</v>
      </c>
      <c r="S997" s="6" t="s">
        <v>2461</v>
      </c>
      <c r="T997" s="6" t="s">
        <v>2462</v>
      </c>
      <c r="U997" s="6" t="s">
        <v>2463</v>
      </c>
      <c r="V997" s="6" t="s">
        <v>2478</v>
      </c>
      <c r="W997" s="6" t="s">
        <v>2476</v>
      </c>
      <c r="X997" s="8" t="s">
        <v>3059</v>
      </c>
      <c r="Y997" s="6" t="s">
        <v>3238</v>
      </c>
      <c r="Z997" s="6" t="s">
        <v>3262</v>
      </c>
      <c r="AA997" s="35" t="s">
        <v>3621</v>
      </c>
      <c r="AB997" s="35" t="s">
        <v>3608</v>
      </c>
      <c r="AC997" s="35" t="s">
        <v>3624</v>
      </c>
      <c r="AD997" s="35" t="s">
        <v>3610</v>
      </c>
      <c r="AE997" s="35" t="s">
        <v>3610</v>
      </c>
      <c r="AF997" s="35" t="s">
        <v>3611</v>
      </c>
      <c r="AG997" s="35" t="s">
        <v>3612</v>
      </c>
      <c r="AH997" s="35" t="s">
        <v>3625</v>
      </c>
    </row>
    <row r="998" spans="1:34" ht="14.45" hidden="1" customHeight="1" x14ac:dyDescent="0.3">
      <c r="A998" s="6" t="s">
        <v>273</v>
      </c>
      <c r="B998" s="7">
        <v>43797</v>
      </c>
      <c r="C998" s="6" t="s">
        <v>272</v>
      </c>
      <c r="D998" s="6" t="s">
        <v>132</v>
      </c>
      <c r="E998" s="6" t="s">
        <v>251</v>
      </c>
      <c r="F998" s="6" t="s">
        <v>3229</v>
      </c>
      <c r="G998" s="8">
        <v>0.73233000000000004</v>
      </c>
      <c r="H998" s="8">
        <v>7.8659400000000002</v>
      </c>
      <c r="I998" s="6" t="s">
        <v>2477</v>
      </c>
      <c r="J998" s="6" t="s">
        <v>2459</v>
      </c>
      <c r="K998" s="6" t="s">
        <v>2468</v>
      </c>
      <c r="L998" s="6"/>
      <c r="M998" s="6"/>
      <c r="N998" s="6" t="s">
        <v>2468</v>
      </c>
      <c r="O998" s="6" t="s">
        <v>40</v>
      </c>
      <c r="P998" s="6" t="str">
        <f>VLOOKUP(Tableau1[[#This Row],[SITES NAMES]],[1]Feuil1!$1:$1048576,8,FALSE)</f>
        <v>OK</v>
      </c>
      <c r="Q998" s="6" t="str">
        <f>VLOOKUP(Tableau1[[#This Row],[SITES NAMES]],[1]Feuil1!$1:$1048576,9,FALSE)</f>
        <v>NO</v>
      </c>
      <c r="R998" s="6" t="str">
        <f>VLOOKUP(Tableau1[[#This Row],[SITES NAMES]],[1]Feuil1!$1:$1048576,10,FALSE)</f>
        <v>YES</v>
      </c>
      <c r="S998" s="6" t="s">
        <v>2469</v>
      </c>
      <c r="T998" s="6" t="s">
        <v>2470</v>
      </c>
      <c r="U998" s="6" t="s">
        <v>2471</v>
      </c>
      <c r="V998" s="6" t="s">
        <v>2472</v>
      </c>
      <c r="W998" s="6" t="s">
        <v>2473</v>
      </c>
      <c r="X998" s="8">
        <v>70997111</v>
      </c>
      <c r="Y998" s="6" t="s">
        <v>3238</v>
      </c>
      <c r="Z998" s="6" t="s">
        <v>3256</v>
      </c>
      <c r="AA998" s="37" t="s">
        <v>3651</v>
      </c>
      <c r="AB998" s="39" t="s">
        <v>3644</v>
      </c>
      <c r="AC998" s="45" t="s">
        <v>3652</v>
      </c>
      <c r="AD998" s="39" t="s">
        <v>3646</v>
      </c>
      <c r="AE998" s="37" t="s">
        <v>3653</v>
      </c>
      <c r="AF998" s="37" t="s">
        <v>3654</v>
      </c>
      <c r="AG998" s="37" t="s">
        <v>3649</v>
      </c>
      <c r="AH998" s="37" t="s">
        <v>3655</v>
      </c>
    </row>
    <row r="999" spans="1:34" ht="14.45" hidden="1" customHeight="1" x14ac:dyDescent="0.3">
      <c r="A999" s="6" t="s">
        <v>2235</v>
      </c>
      <c r="B999" s="7">
        <v>45016</v>
      </c>
      <c r="C999" s="6" t="s">
        <v>2234</v>
      </c>
      <c r="D999" s="6" t="s">
        <v>320</v>
      </c>
      <c r="E999" s="6" t="s">
        <v>2141</v>
      </c>
      <c r="F999" s="6" t="s">
        <v>3229</v>
      </c>
      <c r="G999" s="8">
        <v>1.1577600240000001</v>
      </c>
      <c r="H999" s="8">
        <v>8.6066198350000001</v>
      </c>
      <c r="I999" s="6" t="s">
        <v>2477</v>
      </c>
      <c r="J999" s="6" t="s">
        <v>2459</v>
      </c>
      <c r="K999" s="6" t="s">
        <v>2468</v>
      </c>
      <c r="L999" s="6" t="s">
        <v>2203</v>
      </c>
      <c r="M999" s="6"/>
      <c r="N999" s="6" t="s">
        <v>2468</v>
      </c>
      <c r="O999" s="6" t="s">
        <v>40</v>
      </c>
      <c r="P999" s="6" t="str">
        <f>VLOOKUP(Tableau1[[#This Row],[SITES NAMES]],[1]Feuil1!$1:$1048576,8,FALSE)</f>
        <v>OK</v>
      </c>
      <c r="Q999" s="6" t="str">
        <f>VLOOKUP(Tableau1[[#This Row],[SITES NAMES]],[1]Feuil1!$1:$1048576,9,FALSE)</f>
        <v>NO</v>
      </c>
      <c r="R999" s="6" t="str">
        <f>VLOOKUP(Tableau1[[#This Row],[SITES NAMES]],[1]Feuil1!$1:$1048576,10,FALSE)</f>
        <v>YES</v>
      </c>
      <c r="S999" s="6" t="s">
        <v>2461</v>
      </c>
      <c r="T999" s="6" t="s">
        <v>2470</v>
      </c>
      <c r="U999" s="6" t="s">
        <v>2463</v>
      </c>
      <c r="V999" s="6" t="s">
        <v>2472</v>
      </c>
      <c r="W999" s="6" t="s">
        <v>2473</v>
      </c>
      <c r="X999" s="8">
        <v>70997267</v>
      </c>
      <c r="Y999" s="6" t="s">
        <v>3238</v>
      </c>
      <c r="Z999" s="6" t="s">
        <v>3254</v>
      </c>
      <c r="AA999" s="37" t="s">
        <v>3672</v>
      </c>
      <c r="AB999" s="39" t="s">
        <v>3665</v>
      </c>
      <c r="AC999" s="37" t="s">
        <v>3673</v>
      </c>
      <c r="AD999" s="37" t="s">
        <v>3674</v>
      </c>
      <c r="AE999" s="37" t="s">
        <v>3675</v>
      </c>
      <c r="AF999" s="39" t="s">
        <v>3676</v>
      </c>
      <c r="AG999" s="37" t="s">
        <v>3670</v>
      </c>
      <c r="AH999" s="37" t="s">
        <v>3677</v>
      </c>
    </row>
    <row r="1000" spans="1:34" ht="14.45" hidden="1" customHeight="1" x14ac:dyDescent="0.3">
      <c r="A1000" s="6" t="s">
        <v>103</v>
      </c>
      <c r="B1000" s="7">
        <v>0</v>
      </c>
      <c r="C1000" s="6" t="s">
        <v>102</v>
      </c>
      <c r="D1000" s="6" t="s">
        <v>5</v>
      </c>
      <c r="E1000" s="6" t="s">
        <v>6</v>
      </c>
      <c r="F1000" s="6" t="s">
        <v>3229</v>
      </c>
      <c r="G1000" s="8">
        <v>1.42998</v>
      </c>
      <c r="H1000" s="8">
        <v>6.2945900000000004</v>
      </c>
      <c r="I1000" s="6" t="s">
        <v>2477</v>
      </c>
      <c r="J1000" s="6" t="s">
        <v>2459</v>
      </c>
      <c r="K1000" s="6" t="s">
        <v>2468</v>
      </c>
      <c r="L1000" s="6" t="s">
        <v>3518</v>
      </c>
      <c r="M1000" s="6"/>
      <c r="N1000" s="6" t="s">
        <v>2468</v>
      </c>
      <c r="O1000" s="6" t="s">
        <v>7</v>
      </c>
      <c r="P1000" s="6" t="str">
        <f>VLOOKUP(Tableau1[[#This Row],[SITES NAMES]],[1]Feuil1!$1:$1048576,8,FALSE)</f>
        <v>OK</v>
      </c>
      <c r="Q1000" s="6" t="str">
        <f>VLOOKUP(Tableau1[[#This Row],[SITES NAMES]],[1]Feuil1!$1:$1048576,9,FALSE)</f>
        <v>NO</v>
      </c>
      <c r="R1000" s="6" t="str">
        <f>VLOOKUP(Tableau1[[#This Row],[SITES NAMES]],[1]Feuil1!$1:$1048576,10,FALSE)</f>
        <v>NO</v>
      </c>
      <c r="S1000" s="6" t="s">
        <v>2469</v>
      </c>
      <c r="T1000" s="6" t="s">
        <v>2470</v>
      </c>
      <c r="U1000" s="6" t="s">
        <v>2471</v>
      </c>
      <c r="V1000" s="6" t="s">
        <v>2472</v>
      </c>
      <c r="W1000" s="6" t="s">
        <v>2473</v>
      </c>
      <c r="X1000" s="8" t="s">
        <v>2512</v>
      </c>
      <c r="Y1000" s="6" t="s">
        <v>3241</v>
      </c>
      <c r="Z1000" t="e">
        <f>VLOOKUP(Tableau1[[#This Row],[SITES NAMES]],#REF!,3,FALSE)</f>
        <v>#REF!</v>
      </c>
      <c r="AA1000" s="37" t="s">
        <v>3626</v>
      </c>
      <c r="AB1000" s="38" t="s">
        <v>3627</v>
      </c>
      <c r="AC1000" s="37" t="s">
        <v>3633</v>
      </c>
      <c r="AD1000" s="37" t="s">
        <v>3628</v>
      </c>
      <c r="AE1000" s="37" t="s">
        <v>3629</v>
      </c>
      <c r="AF1000" s="39" t="s">
        <v>3630</v>
      </c>
      <c r="AG1000" s="37" t="s">
        <v>3631</v>
      </c>
      <c r="AH1000" s="37" t="s">
        <v>3632</v>
      </c>
    </row>
    <row r="1001" spans="1:34" ht="14.45" hidden="1" customHeight="1" x14ac:dyDescent="0.25">
      <c r="A1001" s="6" t="s">
        <v>1586</v>
      </c>
      <c r="B1001" s="7" t="s">
        <v>2977</v>
      </c>
      <c r="C1001" s="6" t="s">
        <v>1585</v>
      </c>
      <c r="D1001" s="6" t="s">
        <v>66</v>
      </c>
      <c r="E1001" s="6" t="s">
        <v>3236</v>
      </c>
      <c r="F1001" s="6" t="s">
        <v>3229</v>
      </c>
      <c r="G1001" s="8">
        <v>1.06784422</v>
      </c>
      <c r="H1001" s="8">
        <v>6.2989872900000003</v>
      </c>
      <c r="I1001" s="6" t="s">
        <v>2477</v>
      </c>
      <c r="J1001" s="6" t="s">
        <v>2459</v>
      </c>
      <c r="K1001" s="6" t="s">
        <v>2468</v>
      </c>
      <c r="L1001" s="6" t="s">
        <v>3397</v>
      </c>
      <c r="M1001" s="6"/>
      <c r="N1001" s="6" t="s">
        <v>2468</v>
      </c>
      <c r="O1001" s="6" t="s">
        <v>40</v>
      </c>
      <c r="P1001" s="6" t="str">
        <f>VLOOKUP(Tableau1[[#This Row],[SITES NAMES]],[1]Feuil1!$1:$1048576,8,FALSE)</f>
        <v>OK</v>
      </c>
      <c r="Q1001" s="6" t="str">
        <f>VLOOKUP(Tableau1[[#This Row],[SITES NAMES]],[1]Feuil1!$1:$1048576,9,FALSE)</f>
        <v>NO</v>
      </c>
      <c r="R1001" s="6" t="str">
        <f>VLOOKUP(Tableau1[[#This Row],[SITES NAMES]],[1]Feuil1!$1:$1048576,10,FALSE)</f>
        <v>YES</v>
      </c>
      <c r="S1001" s="6" t="s">
        <v>2469</v>
      </c>
      <c r="T1001" s="6" t="s">
        <v>2470</v>
      </c>
      <c r="U1001" s="6" t="s">
        <v>2480</v>
      </c>
      <c r="V1001" s="6" t="s">
        <v>2472</v>
      </c>
      <c r="W1001" s="6" t="s">
        <v>2473</v>
      </c>
      <c r="X1001" s="8" t="s">
        <v>2978</v>
      </c>
      <c r="Y1001" s="6" t="s">
        <v>3238</v>
      </c>
      <c r="Z1001" s="6" t="s">
        <v>3263</v>
      </c>
      <c r="AA1001" s="35" t="s">
        <v>3616</v>
      </c>
      <c r="AB1001" s="35" t="s">
        <v>3608</v>
      </c>
      <c r="AC1001" s="35" t="s">
        <v>3619</v>
      </c>
      <c r="AD1001" s="35" t="s">
        <v>3610</v>
      </c>
      <c r="AE1001" s="35" t="s">
        <v>3610</v>
      </c>
      <c r="AF1001" s="35" t="s">
        <v>3611</v>
      </c>
      <c r="AG1001" s="35" t="s">
        <v>3612</v>
      </c>
      <c r="AH1001" s="35" t="s">
        <v>3620</v>
      </c>
    </row>
    <row r="1002" spans="1:34" ht="14.45" hidden="1" customHeight="1" x14ac:dyDescent="0.3">
      <c r="A1002" s="6" t="s">
        <v>30</v>
      </c>
      <c r="B1002" s="7">
        <v>0</v>
      </c>
      <c r="C1002" s="6" t="s">
        <v>29</v>
      </c>
      <c r="D1002" s="6" t="s">
        <v>5</v>
      </c>
      <c r="E1002" s="6" t="s">
        <v>6</v>
      </c>
      <c r="F1002" s="6" t="s">
        <v>3229</v>
      </c>
      <c r="G1002" s="8">
        <v>1.5673299999999999</v>
      </c>
      <c r="H1002" s="8">
        <v>6.6286100000000001</v>
      </c>
      <c r="I1002" s="6" t="s">
        <v>2488</v>
      </c>
      <c r="J1002" s="6" t="s">
        <v>2459</v>
      </c>
      <c r="K1002" s="6" t="s">
        <v>2460</v>
      </c>
      <c r="L1002" s="6" t="s">
        <v>3577</v>
      </c>
      <c r="M1002" s="6"/>
      <c r="N1002" s="6" t="s">
        <v>3268</v>
      </c>
      <c r="O1002" s="6" t="s">
        <v>18</v>
      </c>
      <c r="P1002" s="6" t="str">
        <f>VLOOKUP(Tableau1[[#This Row],[SITES NAMES]],[1]Feuil1!$1:$1048576,8,FALSE)</f>
        <v>OK</v>
      </c>
      <c r="Q1002" s="6" t="str">
        <f>VLOOKUP(Tableau1[[#This Row],[SITES NAMES]],[1]Feuil1!$1:$1048576,9,FALSE)</f>
        <v>NO</v>
      </c>
      <c r="R1002" s="6" t="str">
        <f>VLOOKUP(Tableau1[[#This Row],[SITES NAMES]],[1]Feuil1!$1:$1048576,10,FALSE)</f>
        <v>YES</v>
      </c>
      <c r="S1002" s="6" t="s">
        <v>2469</v>
      </c>
      <c r="T1002" s="6" t="s">
        <v>2470</v>
      </c>
      <c r="U1002" s="6" t="s">
        <v>2480</v>
      </c>
      <c r="V1002" s="6" t="s">
        <v>2464</v>
      </c>
      <c r="W1002" s="6" t="s">
        <v>2473</v>
      </c>
      <c r="X1002" s="8">
        <v>70997113</v>
      </c>
      <c r="Y1002" s="6" t="s">
        <v>3241</v>
      </c>
      <c r="Z1002" s="6"/>
      <c r="AA1002" s="37" t="s">
        <v>3626</v>
      </c>
      <c r="AB1002" s="38" t="s">
        <v>3627</v>
      </c>
      <c r="AC1002" s="37" t="s">
        <v>3633</v>
      </c>
      <c r="AD1002" s="37" t="s">
        <v>3628</v>
      </c>
      <c r="AE1002" s="37" t="s">
        <v>3629</v>
      </c>
      <c r="AF1002" s="39" t="s">
        <v>3630</v>
      </c>
      <c r="AG1002" s="37" t="s">
        <v>3631</v>
      </c>
      <c r="AH1002" s="37" t="s">
        <v>3632</v>
      </c>
    </row>
    <row r="1003" spans="1:34" ht="14.45" hidden="1" customHeight="1" x14ac:dyDescent="0.3">
      <c r="A1003" s="6" t="s">
        <v>105</v>
      </c>
      <c r="B1003" s="7">
        <v>43574</v>
      </c>
      <c r="C1003" s="6" t="s">
        <v>104</v>
      </c>
      <c r="D1003" s="6" t="s">
        <v>5</v>
      </c>
      <c r="E1003" s="6" t="s">
        <v>6</v>
      </c>
      <c r="F1003" s="6" t="s">
        <v>3229</v>
      </c>
      <c r="G1003" s="8">
        <v>1.572317</v>
      </c>
      <c r="H1003" s="8">
        <v>6.7695470000000002</v>
      </c>
      <c r="I1003" s="6" t="s">
        <v>2477</v>
      </c>
      <c r="J1003" s="6" t="s">
        <v>2459</v>
      </c>
      <c r="K1003" s="6" t="s">
        <v>2468</v>
      </c>
      <c r="L1003" s="6" t="s">
        <v>3578</v>
      </c>
      <c r="M1003" s="6"/>
      <c r="N1003" s="6" t="s">
        <v>2468</v>
      </c>
      <c r="O1003" s="6" t="s">
        <v>37</v>
      </c>
      <c r="P1003" s="6" t="str">
        <f>VLOOKUP(Tableau1[[#This Row],[SITES NAMES]],[1]Feuil1!$1:$1048576,8,FALSE)</f>
        <v>NOK</v>
      </c>
      <c r="Q1003" s="6" t="str">
        <f>VLOOKUP(Tableau1[[#This Row],[SITES NAMES]],[1]Feuil1!$1:$1048576,9,FALSE)</f>
        <v>YES</v>
      </c>
      <c r="R1003" s="6" t="str">
        <f>VLOOKUP(Tableau1[[#This Row],[SITES NAMES]],[1]Feuil1!$1:$1048576,10,FALSE)</f>
        <v>NO</v>
      </c>
      <c r="S1003" s="6" t="s">
        <v>2469</v>
      </c>
      <c r="T1003" s="6" t="s">
        <v>2470</v>
      </c>
      <c r="U1003" s="6" t="s">
        <v>2471</v>
      </c>
      <c r="V1003" s="6" t="s">
        <v>2472</v>
      </c>
      <c r="W1003" s="6" t="s">
        <v>2473</v>
      </c>
      <c r="X1003" s="8" t="s">
        <v>2513</v>
      </c>
      <c r="Y1003" s="6" t="s">
        <v>3241</v>
      </c>
      <c r="Z1003" s="6"/>
      <c r="AA1003" s="37" t="s">
        <v>3626</v>
      </c>
      <c r="AB1003" s="38" t="s">
        <v>3627</v>
      </c>
      <c r="AC1003" s="37" t="s">
        <v>3633</v>
      </c>
      <c r="AD1003" s="37" t="s">
        <v>3628</v>
      </c>
      <c r="AE1003" s="37" t="s">
        <v>3629</v>
      </c>
      <c r="AF1003" s="39" t="s">
        <v>3630</v>
      </c>
      <c r="AG1003" s="37" t="s">
        <v>3631</v>
      </c>
      <c r="AH1003" s="37" t="s">
        <v>3632</v>
      </c>
    </row>
    <row r="1004" spans="1:34" ht="14.45" hidden="1" customHeight="1" x14ac:dyDescent="0.3">
      <c r="A1004" s="6" t="s">
        <v>817</v>
      </c>
      <c r="B1004" s="7">
        <v>0</v>
      </c>
      <c r="C1004" s="6" t="s">
        <v>816</v>
      </c>
      <c r="D1004" s="6" t="s">
        <v>657</v>
      </c>
      <c r="E1004" s="6" t="s">
        <v>3237</v>
      </c>
      <c r="F1004" s="6" t="s">
        <v>3229</v>
      </c>
      <c r="G1004" s="8">
        <v>1.198888889</v>
      </c>
      <c r="H1004" s="8">
        <v>9.8347222219999999</v>
      </c>
      <c r="I1004" s="6" t="s">
        <v>2477</v>
      </c>
      <c r="J1004" s="6" t="s">
        <v>2459</v>
      </c>
      <c r="K1004" s="6" t="s">
        <v>2468</v>
      </c>
      <c r="L1004" s="6" t="s">
        <v>3568</v>
      </c>
      <c r="M1004" s="6"/>
      <c r="N1004" s="6" t="s">
        <v>2468</v>
      </c>
      <c r="O1004" s="6" t="s">
        <v>7</v>
      </c>
      <c r="P1004" s="6" t="str">
        <f>VLOOKUP(Tableau1[[#This Row],[SITES NAMES]],[1]Feuil1!$1:$1048576,8,FALSE)</f>
        <v>NOK</v>
      </c>
      <c r="Q1004" s="6" t="str">
        <f>VLOOKUP(Tableau1[[#This Row],[SITES NAMES]],[1]Feuil1!$1:$1048576,9,FALSE)</f>
        <v>NO</v>
      </c>
      <c r="R1004" s="6" t="str">
        <f>VLOOKUP(Tableau1[[#This Row],[SITES NAMES]],[1]Feuil1!$1:$1048576,10,FALSE)</f>
        <v>NO</v>
      </c>
      <c r="S1004" s="6" t="s">
        <v>2469</v>
      </c>
      <c r="T1004" s="6" t="s">
        <v>2470</v>
      </c>
      <c r="U1004" s="6" t="s">
        <v>2480</v>
      </c>
      <c r="V1004" s="6" t="s">
        <v>2472</v>
      </c>
      <c r="W1004" s="6" t="s">
        <v>2465</v>
      </c>
      <c r="X1004" s="8" t="s">
        <v>2776</v>
      </c>
      <c r="Y1004" s="6" t="s">
        <v>3239</v>
      </c>
      <c r="Z1004" s="6" t="s">
        <v>3253</v>
      </c>
      <c r="AA1004" s="37" t="s">
        <v>3692</v>
      </c>
      <c r="AB1004" s="38" t="s">
        <v>3683</v>
      </c>
      <c r="AC1004" s="39" t="s">
        <v>3693</v>
      </c>
      <c r="AD1004" s="39" t="s">
        <v>3694</v>
      </c>
      <c r="AE1004" s="37" t="s">
        <v>3695</v>
      </c>
      <c r="AF1004" s="39" t="s">
        <v>3696</v>
      </c>
      <c r="AG1004" s="40" t="s">
        <v>3685</v>
      </c>
      <c r="AH1004" s="37" t="s">
        <v>3697</v>
      </c>
    </row>
    <row r="1005" spans="1:34" ht="14.45" hidden="1" customHeight="1" x14ac:dyDescent="0.3">
      <c r="A1005" s="6" t="s">
        <v>821</v>
      </c>
      <c r="B1005" s="7">
        <v>0</v>
      </c>
      <c r="C1005" s="6" t="s">
        <v>820</v>
      </c>
      <c r="D1005" s="6" t="s">
        <v>657</v>
      </c>
      <c r="E1005" s="6" t="s">
        <v>3237</v>
      </c>
      <c r="F1005" s="6" t="s">
        <v>3229</v>
      </c>
      <c r="G1005" s="8">
        <v>1.32982</v>
      </c>
      <c r="H1005" s="8">
        <v>9.5547599999999999</v>
      </c>
      <c r="I1005" s="6" t="s">
        <v>2477</v>
      </c>
      <c r="J1005" s="6" t="s">
        <v>2459</v>
      </c>
      <c r="K1005" s="6" t="s">
        <v>2468</v>
      </c>
      <c r="L1005" s="6" t="s">
        <v>985</v>
      </c>
      <c r="M1005" s="6"/>
      <c r="N1005" s="6" t="s">
        <v>2468</v>
      </c>
      <c r="O1005" s="6" t="s">
        <v>18</v>
      </c>
      <c r="P1005" s="6" t="str">
        <f>VLOOKUP(Tableau1[[#This Row],[SITES NAMES]],[1]Feuil1!$1:$1048576,8,FALSE)</f>
        <v>NOK</v>
      </c>
      <c r="Q1005" s="6" t="str">
        <f>VLOOKUP(Tableau1[[#This Row],[SITES NAMES]],[1]Feuil1!$1:$1048576,9,FALSE)</f>
        <v>NO</v>
      </c>
      <c r="R1005" s="6" t="str">
        <f>VLOOKUP(Tableau1[[#This Row],[SITES NAMES]],[1]Feuil1!$1:$1048576,10,FALSE)</f>
        <v>NO</v>
      </c>
      <c r="S1005" s="6" t="s">
        <v>2469</v>
      </c>
      <c r="T1005" s="6" t="s">
        <v>2470</v>
      </c>
      <c r="U1005" s="6" t="s">
        <v>2480</v>
      </c>
      <c r="V1005" s="6" t="s">
        <v>2472</v>
      </c>
      <c r="W1005" s="6" t="s">
        <v>2473</v>
      </c>
      <c r="X1005" s="8" t="s">
        <v>2778</v>
      </c>
      <c r="Y1005" s="6" t="s">
        <v>3239</v>
      </c>
      <c r="Z1005" s="6" t="s">
        <v>3253</v>
      </c>
      <c r="AA1005" s="37" t="s">
        <v>3692</v>
      </c>
      <c r="AB1005" s="38" t="s">
        <v>3683</v>
      </c>
      <c r="AC1005" s="39" t="s">
        <v>3693</v>
      </c>
      <c r="AD1005" s="39" t="s">
        <v>3694</v>
      </c>
      <c r="AE1005" s="37" t="s">
        <v>3695</v>
      </c>
      <c r="AF1005" s="39" t="s">
        <v>3696</v>
      </c>
      <c r="AG1005" s="40" t="s">
        <v>3685</v>
      </c>
      <c r="AH1005" s="37" t="s">
        <v>3697</v>
      </c>
    </row>
    <row r="1006" spans="1:34" ht="14.45" hidden="1" customHeight="1" x14ac:dyDescent="0.3">
      <c r="A1006" s="6" t="s">
        <v>446</v>
      </c>
      <c r="B1006" s="7">
        <v>43808</v>
      </c>
      <c r="C1006" s="6" t="s">
        <v>445</v>
      </c>
      <c r="D1006" s="6" t="s">
        <v>395</v>
      </c>
      <c r="E1006" s="6" t="s">
        <v>396</v>
      </c>
      <c r="F1006" s="6" t="s">
        <v>3229</v>
      </c>
      <c r="G1006" s="8">
        <v>0.13165199999999999</v>
      </c>
      <c r="H1006" s="8">
        <v>10.76444</v>
      </c>
      <c r="I1006" s="6" t="s">
        <v>2477</v>
      </c>
      <c r="J1006" s="6" t="s">
        <v>2459</v>
      </c>
      <c r="K1006" s="6" t="s">
        <v>2468</v>
      </c>
      <c r="L1006" s="6" t="s">
        <v>3402</v>
      </c>
      <c r="M1006" s="6"/>
      <c r="N1006" s="6" t="s">
        <v>2468</v>
      </c>
      <c r="O1006" s="6" t="s">
        <v>40</v>
      </c>
      <c r="P1006" s="6" t="str">
        <f>VLOOKUP(Tableau1[[#This Row],[SITES NAMES]],[1]Feuil1!$1:$1048576,8,FALSE)</f>
        <v>OK</v>
      </c>
      <c r="Q1006" s="6" t="str">
        <f>VLOOKUP(Tableau1[[#This Row],[SITES NAMES]],[1]Feuil1!$1:$1048576,9,FALSE)</f>
        <v>NO</v>
      </c>
      <c r="R1006" s="6" t="str">
        <f>VLOOKUP(Tableau1[[#This Row],[SITES NAMES]],[1]Feuil1!$1:$1048576,10,FALSE)</f>
        <v>NO</v>
      </c>
      <c r="S1006" s="6" t="s">
        <v>2461</v>
      </c>
      <c r="T1006" s="6" t="s">
        <v>2462</v>
      </c>
      <c r="U1006" s="6" t="s">
        <v>2463</v>
      </c>
      <c r="V1006" s="6" t="s">
        <v>2472</v>
      </c>
      <c r="W1006" s="6" t="s">
        <v>2473</v>
      </c>
      <c r="X1006" s="8" t="s">
        <v>2641</v>
      </c>
      <c r="Y1006" s="6" t="s">
        <v>3240</v>
      </c>
      <c r="Z1006" s="6" t="s">
        <v>3255</v>
      </c>
      <c r="AA1006" s="37" t="s">
        <v>3704</v>
      </c>
      <c r="AB1006" s="39" t="s">
        <v>3705</v>
      </c>
      <c r="AC1006" s="37" t="s">
        <v>3706</v>
      </c>
      <c r="AD1006" s="37" t="s">
        <v>3707</v>
      </c>
      <c r="AE1006" s="37" t="s">
        <v>3708</v>
      </c>
      <c r="AF1006" s="37" t="s">
        <v>3709</v>
      </c>
      <c r="AG1006" s="46" t="s">
        <v>3710</v>
      </c>
      <c r="AH1006" s="37" t="s">
        <v>3711</v>
      </c>
    </row>
    <row r="1007" spans="1:34" ht="14.45" hidden="1" customHeight="1" x14ac:dyDescent="0.3">
      <c r="A1007" s="6" t="s">
        <v>2122</v>
      </c>
      <c r="B1007" s="7">
        <v>43536</v>
      </c>
      <c r="C1007" s="6" t="s">
        <v>2121</v>
      </c>
      <c r="D1007" s="6" t="s">
        <v>132</v>
      </c>
      <c r="E1007" s="6" t="s">
        <v>2049</v>
      </c>
      <c r="F1007" s="6" t="s">
        <v>3229</v>
      </c>
      <c r="G1007" s="8">
        <v>1.4717899999999999</v>
      </c>
      <c r="H1007" s="8">
        <v>6.9754800000000001</v>
      </c>
      <c r="I1007" s="6" t="s">
        <v>2477</v>
      </c>
      <c r="J1007" s="6" t="s">
        <v>2459</v>
      </c>
      <c r="K1007" s="6" t="s">
        <v>2468</v>
      </c>
      <c r="L1007" s="6" t="s">
        <v>3579</v>
      </c>
      <c r="M1007" s="6"/>
      <c r="N1007" s="6" t="s">
        <v>2468</v>
      </c>
      <c r="O1007" s="6" t="s">
        <v>40</v>
      </c>
      <c r="P1007" s="6" t="str">
        <f>VLOOKUP(Tableau1[[#This Row],[SITES NAMES]],[1]Feuil1!$1:$1048576,8,FALSE)</f>
        <v>OK</v>
      </c>
      <c r="Q1007" s="6" t="str">
        <f>VLOOKUP(Tableau1[[#This Row],[SITES NAMES]],[1]Feuil1!$1:$1048576,9,FALSE)</f>
        <v>NO</v>
      </c>
      <c r="R1007" s="6" t="str">
        <f>VLOOKUP(Tableau1[[#This Row],[SITES NAMES]],[1]Feuil1!$1:$1048576,10,FALSE)</f>
        <v>NO</v>
      </c>
      <c r="S1007" s="6" t="s">
        <v>2469</v>
      </c>
      <c r="T1007" s="6" t="s">
        <v>2470</v>
      </c>
      <c r="U1007" s="6" t="s">
        <v>2480</v>
      </c>
      <c r="V1007" s="6" t="s">
        <v>2472</v>
      </c>
      <c r="W1007" s="6" t="s">
        <v>2473</v>
      </c>
      <c r="X1007" s="8" t="s">
        <v>3122</v>
      </c>
      <c r="Y1007" s="6" t="s">
        <v>3238</v>
      </c>
      <c r="Z1007" s="6" t="s">
        <v>3257</v>
      </c>
      <c r="AA1007" s="45" t="s">
        <v>3656</v>
      </c>
      <c r="AB1007" s="39" t="s">
        <v>3644</v>
      </c>
      <c r="AC1007" s="45" t="s">
        <v>3657</v>
      </c>
      <c r="AD1007" s="37" t="s">
        <v>3658</v>
      </c>
      <c r="AE1007" s="37" t="s">
        <v>3647</v>
      </c>
      <c r="AF1007" s="39" t="s">
        <v>3648</v>
      </c>
      <c r="AG1007" s="37" t="s">
        <v>3649</v>
      </c>
      <c r="AH1007" s="37" t="s">
        <v>3659</v>
      </c>
    </row>
    <row r="1008" spans="1:34" ht="14.45" hidden="1" customHeight="1" x14ac:dyDescent="0.25">
      <c r="A1008" s="6" t="s">
        <v>1556</v>
      </c>
      <c r="B1008" s="7">
        <v>44161</v>
      </c>
      <c r="C1008" s="6" t="s">
        <v>1555</v>
      </c>
      <c r="D1008" s="6" t="s">
        <v>66</v>
      </c>
      <c r="E1008" s="6" t="s">
        <v>3233</v>
      </c>
      <c r="F1008" s="6" t="s">
        <v>3229</v>
      </c>
      <c r="G1008" s="8">
        <v>1.20919</v>
      </c>
      <c r="H1008" s="8">
        <v>6.3536200000000003</v>
      </c>
      <c r="I1008" s="6" t="s">
        <v>2497</v>
      </c>
      <c r="J1008" s="6" t="s">
        <v>2459</v>
      </c>
      <c r="K1008" s="6" t="s">
        <v>2468</v>
      </c>
      <c r="L1008" s="6" t="s">
        <v>3362</v>
      </c>
      <c r="M1008" s="6"/>
      <c r="N1008" s="6" t="s">
        <v>2468</v>
      </c>
      <c r="O1008" s="6" t="s">
        <v>7</v>
      </c>
      <c r="P1008" s="6" t="str">
        <f>VLOOKUP(Tableau1[[#This Row],[SITES NAMES]],[1]Feuil1!$1:$1048576,8,FALSE)</f>
        <v>OK</v>
      </c>
      <c r="Q1008" s="6" t="str">
        <f>VLOOKUP(Tableau1[[#This Row],[SITES NAMES]],[1]Feuil1!$1:$1048576,9,FALSE)</f>
        <v>NO</v>
      </c>
      <c r="R1008" s="6" t="str">
        <f>VLOOKUP(Tableau1[[#This Row],[SITES NAMES]],[1]Feuil1!$1:$1048576,10,FALSE)</f>
        <v>NO</v>
      </c>
      <c r="S1008" s="6" t="s">
        <v>2461</v>
      </c>
      <c r="T1008" s="6" t="s">
        <v>2462</v>
      </c>
      <c r="U1008" s="6" t="s">
        <v>2463</v>
      </c>
      <c r="V1008" s="6" t="s">
        <v>2478</v>
      </c>
      <c r="W1008" s="6" t="s">
        <v>2465</v>
      </c>
      <c r="X1008" s="8"/>
      <c r="Y1008" s="6" t="s">
        <v>3238</v>
      </c>
      <c r="Z1008" s="6" t="s">
        <v>3264</v>
      </c>
      <c r="AA1008" s="35" t="s">
        <v>3616</v>
      </c>
      <c r="AB1008" s="35" t="s">
        <v>3608</v>
      </c>
      <c r="AC1008" s="35" t="s">
        <v>3617</v>
      </c>
      <c r="AD1008" s="35" t="s">
        <v>3610</v>
      </c>
      <c r="AE1008" s="35" t="s">
        <v>3610</v>
      </c>
      <c r="AF1008" s="35" t="s">
        <v>3611</v>
      </c>
      <c r="AG1008" s="35" t="s">
        <v>3612</v>
      </c>
      <c r="AH1008" s="35" t="s">
        <v>3618</v>
      </c>
    </row>
    <row r="1009" spans="1:34" ht="14.45" hidden="1" customHeight="1" x14ac:dyDescent="0.25">
      <c r="A1009" s="6" t="s">
        <v>1946</v>
      </c>
      <c r="B1009" s="7">
        <v>43233</v>
      </c>
      <c r="C1009" s="6" t="s">
        <v>1945</v>
      </c>
      <c r="D1009" s="6" t="s">
        <v>66</v>
      </c>
      <c r="E1009" s="6" t="s">
        <v>3232</v>
      </c>
      <c r="F1009" s="6" t="s">
        <v>3229</v>
      </c>
      <c r="G1009" s="8">
        <v>1.2226300000000001</v>
      </c>
      <c r="H1009" s="8">
        <v>6.1303530000000004</v>
      </c>
      <c r="I1009" s="6" t="s">
        <v>2497</v>
      </c>
      <c r="J1009" s="6" t="s">
        <v>2459</v>
      </c>
      <c r="K1009" s="6" t="s">
        <v>2460</v>
      </c>
      <c r="L1009" s="6"/>
      <c r="M1009" s="6"/>
      <c r="N1009" s="6" t="s">
        <v>3268</v>
      </c>
      <c r="O1009" s="6" t="s">
        <v>1206</v>
      </c>
      <c r="P1009" s="6"/>
      <c r="Q1009" s="6" t="str">
        <f>VLOOKUP(Tableau1[[#This Row],[SITES NAMES]],[1]Feuil1!$1:$1048576,9,FALSE)</f>
        <v>YES</v>
      </c>
      <c r="R1009" s="6" t="str">
        <f>VLOOKUP(Tableau1[[#This Row],[SITES NAMES]],[1]Feuil1!$1:$1048576,10,FALSE)</f>
        <v>NO</v>
      </c>
      <c r="S1009" s="6" t="s">
        <v>2469</v>
      </c>
      <c r="T1009" s="6" t="s">
        <v>2470</v>
      </c>
      <c r="U1009" s="6" t="s">
        <v>2471</v>
      </c>
      <c r="V1009" s="6" t="s">
        <v>2498</v>
      </c>
      <c r="W1009" s="6" t="s">
        <v>2476</v>
      </c>
      <c r="X1009" s="8"/>
      <c r="Y1009" s="6" t="s">
        <v>3238</v>
      </c>
      <c r="Z1009" s="6" t="s">
        <v>3262</v>
      </c>
      <c r="AA1009" s="35" t="s">
        <v>3621</v>
      </c>
      <c r="AB1009" s="35" t="s">
        <v>3608</v>
      </c>
      <c r="AC1009" s="35" t="s">
        <v>3624</v>
      </c>
      <c r="AD1009" s="35" t="s">
        <v>3610</v>
      </c>
      <c r="AE1009" s="35" t="s">
        <v>3610</v>
      </c>
      <c r="AF1009" s="35" t="s">
        <v>3611</v>
      </c>
      <c r="AG1009" s="35" t="s">
        <v>3612</v>
      </c>
      <c r="AH1009" s="35" t="s">
        <v>3625</v>
      </c>
    </row>
    <row r="1010" spans="1:34" ht="14.45" hidden="1" customHeight="1" x14ac:dyDescent="0.3">
      <c r="A1010" s="6" t="s">
        <v>1037</v>
      </c>
      <c r="B1010" s="7">
        <v>46022</v>
      </c>
      <c r="C1010" s="6" t="s">
        <v>148</v>
      </c>
      <c r="D1010" s="6" t="s">
        <v>5</v>
      </c>
      <c r="E1010" s="6" t="s">
        <v>1003</v>
      </c>
      <c r="F1010" s="6" t="s">
        <v>3229</v>
      </c>
      <c r="G1010" s="8">
        <v>0.81485600000000002</v>
      </c>
      <c r="H1010" s="8">
        <v>7.3100709999999998</v>
      </c>
      <c r="I1010" s="16" t="s">
        <v>3227</v>
      </c>
      <c r="J1010" s="6" t="s">
        <v>2459</v>
      </c>
      <c r="K1010" s="6" t="s">
        <v>2468</v>
      </c>
      <c r="L1010" s="6"/>
      <c r="M1010" s="6"/>
      <c r="N1010" s="6" t="s">
        <v>2468</v>
      </c>
      <c r="O1010" s="6" t="s">
        <v>7</v>
      </c>
      <c r="P1010" s="6"/>
      <c r="Q1010" s="6"/>
      <c r="R1010" s="6"/>
      <c r="S1010" s="6"/>
      <c r="T1010" s="6"/>
      <c r="U1010" s="6"/>
      <c r="V1010" s="6"/>
      <c r="W1010" s="6"/>
      <c r="X1010" s="8"/>
      <c r="Y1010" s="6" t="s">
        <v>3241</v>
      </c>
      <c r="Z1010" s="6"/>
      <c r="AA1010" s="37" t="s">
        <v>3634</v>
      </c>
      <c r="AB1010" s="38" t="s">
        <v>3627</v>
      </c>
      <c r="AC1010" s="37" t="s">
        <v>3635</v>
      </c>
      <c r="AD1010" s="37" t="s">
        <v>3636</v>
      </c>
      <c r="AE1010" s="37" t="s">
        <v>3637</v>
      </c>
      <c r="AF1010" s="37" t="s">
        <v>3636</v>
      </c>
      <c r="AG1010" s="37" t="s">
        <v>3638</v>
      </c>
      <c r="AH1010" s="37" t="s">
        <v>3639</v>
      </c>
    </row>
    <row r="1011" spans="1:34" ht="14.45" hidden="1" customHeight="1" x14ac:dyDescent="0.3">
      <c r="A1011" s="6" t="s">
        <v>2124</v>
      </c>
      <c r="B1011" s="7" t="s">
        <v>3123</v>
      </c>
      <c r="C1011" s="6" t="s">
        <v>2123</v>
      </c>
      <c r="D1011" s="6" t="s">
        <v>132</v>
      </c>
      <c r="E1011" s="6" t="s">
        <v>2049</v>
      </c>
      <c r="F1011" s="6" t="s">
        <v>3229</v>
      </c>
      <c r="G1011" s="8">
        <v>1.36799</v>
      </c>
      <c r="H1011" s="8">
        <v>6.9585299999999997</v>
      </c>
      <c r="I1011" s="6" t="s">
        <v>2477</v>
      </c>
      <c r="J1011" s="6" t="s">
        <v>2459</v>
      </c>
      <c r="K1011" s="6" t="s">
        <v>2468</v>
      </c>
      <c r="L1011" s="6" t="s">
        <v>3580</v>
      </c>
      <c r="M1011" s="6"/>
      <c r="N1011" s="6" t="s">
        <v>2468</v>
      </c>
      <c r="O1011" s="6" t="s">
        <v>40</v>
      </c>
      <c r="P1011" s="6" t="str">
        <f>VLOOKUP(Tableau1[[#This Row],[SITES NAMES]],[1]Feuil1!$1:$1048576,8,FALSE)</f>
        <v>OK</v>
      </c>
      <c r="Q1011" s="6" t="str">
        <f>VLOOKUP(Tableau1[[#This Row],[SITES NAMES]],[1]Feuil1!$1:$1048576,9,FALSE)</f>
        <v>NO</v>
      </c>
      <c r="R1011" s="6" t="str">
        <f>VLOOKUP(Tableau1[[#This Row],[SITES NAMES]],[1]Feuil1!$1:$1048576,10,FALSE)</f>
        <v>YES</v>
      </c>
      <c r="S1011" s="6" t="s">
        <v>2469</v>
      </c>
      <c r="T1011" s="6" t="s">
        <v>2470</v>
      </c>
      <c r="U1011" s="6" t="s">
        <v>2480</v>
      </c>
      <c r="V1011" s="6" t="s">
        <v>2472</v>
      </c>
      <c r="W1011" s="6" t="s">
        <v>2473</v>
      </c>
      <c r="X1011" s="8" t="s">
        <v>3124</v>
      </c>
      <c r="Y1011" s="6" t="s">
        <v>3238</v>
      </c>
      <c r="Z1011" s="6" t="s">
        <v>3257</v>
      </c>
      <c r="AA1011" s="45" t="s">
        <v>3656</v>
      </c>
      <c r="AB1011" s="39" t="s">
        <v>3644</v>
      </c>
      <c r="AC1011" s="45" t="s">
        <v>3657</v>
      </c>
      <c r="AD1011" s="37" t="s">
        <v>3658</v>
      </c>
      <c r="AE1011" s="37" t="s">
        <v>3647</v>
      </c>
      <c r="AF1011" s="39" t="s">
        <v>3648</v>
      </c>
      <c r="AG1011" s="37" t="s">
        <v>3649</v>
      </c>
      <c r="AH1011" s="37" t="s">
        <v>3659</v>
      </c>
    </row>
    <row r="1012" spans="1:34" ht="14.45" hidden="1" customHeight="1" x14ac:dyDescent="0.25">
      <c r="A1012" s="6" t="s">
        <v>1694</v>
      </c>
      <c r="B1012" s="7">
        <v>43265</v>
      </c>
      <c r="C1012" s="6" t="s">
        <v>1693</v>
      </c>
      <c r="D1012" s="6" t="s">
        <v>66</v>
      </c>
      <c r="E1012" s="6" t="s">
        <v>3236</v>
      </c>
      <c r="F1012" s="6" t="s">
        <v>3229</v>
      </c>
      <c r="G1012" s="8">
        <v>1.1728639999999999</v>
      </c>
      <c r="H1012" s="8">
        <v>6.2531480000000004</v>
      </c>
      <c r="I1012" s="6" t="s">
        <v>2497</v>
      </c>
      <c r="J1012" s="6" t="s">
        <v>2459</v>
      </c>
      <c r="K1012" s="6" t="s">
        <v>2460</v>
      </c>
      <c r="L1012" s="6"/>
      <c r="M1012" s="6"/>
      <c r="N1012" s="6" t="s">
        <v>3268</v>
      </c>
      <c r="O1012" s="6" t="s">
        <v>1206</v>
      </c>
      <c r="P1012" s="6"/>
      <c r="Q1012" s="6" t="str">
        <f>VLOOKUP(Tableau1[[#This Row],[SITES NAMES]],[1]Feuil1!$1:$1048576,9,FALSE)</f>
        <v>YES</v>
      </c>
      <c r="R1012" s="6" t="str">
        <f>VLOOKUP(Tableau1[[#This Row],[SITES NAMES]],[1]Feuil1!$1:$1048576,10,FALSE)</f>
        <v>NO</v>
      </c>
      <c r="S1012" s="6" t="s">
        <v>2469</v>
      </c>
      <c r="T1012" s="6" t="s">
        <v>2470</v>
      </c>
      <c r="U1012" s="6" t="s">
        <v>2480</v>
      </c>
      <c r="V1012" s="6" t="s">
        <v>2464</v>
      </c>
      <c r="W1012" s="6" t="s">
        <v>2476</v>
      </c>
      <c r="X1012" s="8"/>
      <c r="Y1012" s="6" t="s">
        <v>3238</v>
      </c>
      <c r="Z1012" s="6" t="s">
        <v>3263</v>
      </c>
      <c r="AA1012" s="35" t="s">
        <v>3616</v>
      </c>
      <c r="AB1012" s="35" t="s">
        <v>3608</v>
      </c>
      <c r="AC1012" s="35" t="s">
        <v>3619</v>
      </c>
      <c r="AD1012" s="35" t="s">
        <v>3610</v>
      </c>
      <c r="AE1012" s="35" t="s">
        <v>3610</v>
      </c>
      <c r="AF1012" s="35" t="s">
        <v>3611</v>
      </c>
      <c r="AG1012" s="35" t="s">
        <v>3612</v>
      </c>
      <c r="AH1012" s="35" t="s">
        <v>3620</v>
      </c>
    </row>
    <row r="1013" spans="1:34" ht="14.45" hidden="1" customHeight="1" x14ac:dyDescent="0.3">
      <c r="A1013" s="6" t="s">
        <v>2169</v>
      </c>
      <c r="B1013" s="7">
        <v>46022</v>
      </c>
      <c r="C1013" s="6" t="s">
        <v>2168</v>
      </c>
      <c r="D1013" s="6" t="s">
        <v>320</v>
      </c>
      <c r="E1013" s="6" t="s">
        <v>2141</v>
      </c>
      <c r="F1013" s="6" t="s">
        <v>3229</v>
      </c>
      <c r="G1013" s="8">
        <v>1.1633659999999999</v>
      </c>
      <c r="H1013" s="8">
        <v>8.9648979999999998</v>
      </c>
      <c r="I1013" s="6" t="e">
        <v>#N/A</v>
      </c>
      <c r="J1013" s="6" t="s">
        <v>2459</v>
      </c>
      <c r="K1013" s="6" t="s">
        <v>2468</v>
      </c>
      <c r="L1013" s="6"/>
      <c r="M1013" s="6"/>
      <c r="N1013" s="6" t="s">
        <v>2468</v>
      </c>
      <c r="O1013" s="6" t="s">
        <v>47</v>
      </c>
      <c r="P1013" s="6"/>
      <c r="Q1013" s="6"/>
      <c r="R1013" s="6"/>
      <c r="S1013" s="6"/>
      <c r="T1013" s="6"/>
      <c r="U1013" s="6"/>
      <c r="V1013" s="6"/>
      <c r="W1013" s="6"/>
      <c r="X1013" s="8"/>
      <c r="Y1013" s="6" t="s">
        <v>3238</v>
      </c>
      <c r="Z1013" s="6" t="s">
        <v>3254</v>
      </c>
      <c r="AA1013" s="37" t="s">
        <v>3672</v>
      </c>
      <c r="AB1013" s="39" t="s">
        <v>3665</v>
      </c>
      <c r="AC1013" s="37" t="s">
        <v>3673</v>
      </c>
      <c r="AD1013" s="37" t="s">
        <v>3674</v>
      </c>
      <c r="AE1013" s="37" t="s">
        <v>3675</v>
      </c>
      <c r="AF1013" s="39" t="s">
        <v>3676</v>
      </c>
      <c r="AG1013" s="37" t="s">
        <v>3670</v>
      </c>
      <c r="AH1013" s="37" t="s">
        <v>3677</v>
      </c>
    </row>
    <row r="1014" spans="1:34" ht="14.45" hidden="1" customHeight="1" x14ac:dyDescent="0.3">
      <c r="A1014" s="6" t="s">
        <v>2237</v>
      </c>
      <c r="B1014" s="7">
        <v>45227</v>
      </c>
      <c r="C1014" s="6" t="s">
        <v>2236</v>
      </c>
      <c r="D1014" s="6" t="s">
        <v>320</v>
      </c>
      <c r="E1014" s="6" t="s">
        <v>2141</v>
      </c>
      <c r="F1014" s="6" t="s">
        <v>3229</v>
      </c>
      <c r="G1014" s="8">
        <v>1.128835</v>
      </c>
      <c r="H1014" s="8">
        <v>8.9495190000000004</v>
      </c>
      <c r="I1014" s="6" t="s">
        <v>2479</v>
      </c>
      <c r="J1014" s="6" t="s">
        <v>2459</v>
      </c>
      <c r="K1014" s="6" t="s">
        <v>2468</v>
      </c>
      <c r="L1014" s="6" t="s">
        <v>3581</v>
      </c>
      <c r="M1014" s="6"/>
      <c r="N1014" s="6" t="s">
        <v>2468</v>
      </c>
      <c r="O1014" s="6" t="s">
        <v>7</v>
      </c>
      <c r="P1014" s="6" t="str">
        <f>VLOOKUP(Tableau1[[#This Row],[SITES NAMES]],[1]Feuil1!$1:$1048576,8,FALSE)</f>
        <v>NOK</v>
      </c>
      <c r="Q1014" s="6" t="str">
        <f>VLOOKUP(Tableau1[[#This Row],[SITES NAMES]],[1]Feuil1!$1:$1048576,9,FALSE)</f>
        <v>NO</v>
      </c>
      <c r="R1014" s="6" t="str">
        <f>VLOOKUP(Tableau1[[#This Row],[SITES NAMES]],[1]Feuil1!$1:$1048576,10,FALSE)</f>
        <v>NO</v>
      </c>
      <c r="S1014" s="6" t="s">
        <v>2469</v>
      </c>
      <c r="T1014" s="6" t="s">
        <v>2470</v>
      </c>
      <c r="U1014" s="6" t="s">
        <v>2480</v>
      </c>
      <c r="V1014" s="6" t="s">
        <v>2472</v>
      </c>
      <c r="W1014" s="6" t="s">
        <v>2974</v>
      </c>
      <c r="X1014" s="8"/>
      <c r="Y1014" s="6" t="s">
        <v>3238</v>
      </c>
      <c r="Z1014" s="6" t="s">
        <v>3254</v>
      </c>
      <c r="AA1014" s="37" t="s">
        <v>3672</v>
      </c>
      <c r="AB1014" s="39" t="s">
        <v>3665</v>
      </c>
      <c r="AC1014" s="37" t="s">
        <v>3673</v>
      </c>
      <c r="AD1014" s="37" t="s">
        <v>3674</v>
      </c>
      <c r="AE1014" s="37" t="s">
        <v>3675</v>
      </c>
      <c r="AF1014" s="39" t="s">
        <v>3676</v>
      </c>
      <c r="AG1014" s="37" t="s">
        <v>3670</v>
      </c>
      <c r="AH1014" s="37" t="s">
        <v>3677</v>
      </c>
    </row>
    <row r="1015" spans="1:34" ht="14.45" hidden="1" customHeight="1" x14ac:dyDescent="0.3">
      <c r="A1015" s="6" t="s">
        <v>2165</v>
      </c>
      <c r="B1015" s="7">
        <v>46022</v>
      </c>
      <c r="C1015" s="6" t="s">
        <v>2164</v>
      </c>
      <c r="D1015" s="6" t="s">
        <v>320</v>
      </c>
      <c r="E1015" s="6" t="s">
        <v>2141</v>
      </c>
      <c r="F1015" s="6" t="s">
        <v>3229</v>
      </c>
      <c r="G1015" s="8">
        <v>1.151251</v>
      </c>
      <c r="H1015" s="8">
        <v>9.0019600000000004</v>
      </c>
      <c r="I1015" s="15" t="s">
        <v>2479</v>
      </c>
      <c r="J1015" s="6" t="s">
        <v>2459</v>
      </c>
      <c r="K1015" s="6" t="s">
        <v>2468</v>
      </c>
      <c r="L1015" s="6"/>
      <c r="M1015" s="6"/>
      <c r="N1015" s="6" t="s">
        <v>2468</v>
      </c>
      <c r="O1015" s="6" t="s">
        <v>7</v>
      </c>
      <c r="P1015" s="6"/>
      <c r="Q1015" s="6"/>
      <c r="R1015" s="6"/>
      <c r="S1015" s="6"/>
      <c r="T1015" s="6"/>
      <c r="U1015" s="6"/>
      <c r="V1015" s="6"/>
      <c r="W1015" s="6"/>
      <c r="X1015" s="8"/>
      <c r="Y1015" s="6" t="s">
        <v>3238</v>
      </c>
      <c r="Z1015" s="6" t="s">
        <v>3254</v>
      </c>
      <c r="AA1015" s="37" t="s">
        <v>3672</v>
      </c>
      <c r="AB1015" s="39" t="s">
        <v>3665</v>
      </c>
      <c r="AC1015" s="37" t="s">
        <v>3673</v>
      </c>
      <c r="AD1015" s="37" t="s">
        <v>3674</v>
      </c>
      <c r="AE1015" s="37" t="s">
        <v>3675</v>
      </c>
      <c r="AF1015" s="39" t="s">
        <v>3676</v>
      </c>
      <c r="AG1015" s="37" t="s">
        <v>3670</v>
      </c>
      <c r="AH1015" s="37" t="s">
        <v>3677</v>
      </c>
    </row>
    <row r="1016" spans="1:34" ht="14.45" hidden="1" customHeight="1" x14ac:dyDescent="0.3">
      <c r="A1016" s="6" t="s">
        <v>2239</v>
      </c>
      <c r="B1016" s="7">
        <v>44785</v>
      </c>
      <c r="C1016" s="6" t="s">
        <v>2238</v>
      </c>
      <c r="D1016" s="6" t="s">
        <v>320</v>
      </c>
      <c r="E1016" s="6" t="s">
        <v>2141</v>
      </c>
      <c r="F1016" s="6" t="s">
        <v>3229</v>
      </c>
      <c r="G1016" s="8">
        <v>1.1529909899999999</v>
      </c>
      <c r="H1016" s="8">
        <v>8.9965039900000008</v>
      </c>
      <c r="I1016" s="6" t="s">
        <v>2497</v>
      </c>
      <c r="J1016" s="6" t="s">
        <v>2459</v>
      </c>
      <c r="K1016" s="6" t="s">
        <v>2460</v>
      </c>
      <c r="L1016" s="6"/>
      <c r="M1016" s="6"/>
      <c r="N1016" s="6" t="s">
        <v>3268</v>
      </c>
      <c r="O1016" s="6" t="s">
        <v>7</v>
      </c>
      <c r="P1016" s="6" t="str">
        <f>VLOOKUP(Tableau1[[#This Row],[SITES NAMES]],[1]Feuil1!$1:$1048576,8,FALSE)</f>
        <v>OK</v>
      </c>
      <c r="Q1016" s="6" t="str">
        <f>VLOOKUP(Tableau1[[#This Row],[SITES NAMES]],[1]Feuil1!$1:$1048576,9,FALSE)</f>
        <v>NO</v>
      </c>
      <c r="R1016" s="6" t="str">
        <f>VLOOKUP(Tableau1[[#This Row],[SITES NAMES]],[1]Feuil1!$1:$1048576,10,FALSE)</f>
        <v>YES</v>
      </c>
      <c r="S1016" s="6" t="s">
        <v>2461</v>
      </c>
      <c r="T1016" s="6" t="s">
        <v>2470</v>
      </c>
      <c r="U1016" s="6" t="s">
        <v>2463</v>
      </c>
      <c r="V1016" s="6" t="s">
        <v>2472</v>
      </c>
      <c r="W1016" s="6" t="s">
        <v>2476</v>
      </c>
      <c r="X1016" s="8" t="s">
        <v>3167</v>
      </c>
      <c r="Y1016" s="6" t="s">
        <v>3238</v>
      </c>
      <c r="Z1016" s="6" t="s">
        <v>3254</v>
      </c>
      <c r="AA1016" s="37" t="s">
        <v>3672</v>
      </c>
      <c r="AB1016" s="39" t="s">
        <v>3665</v>
      </c>
      <c r="AC1016" s="37" t="s">
        <v>3673</v>
      </c>
      <c r="AD1016" s="37" t="s">
        <v>3674</v>
      </c>
      <c r="AE1016" s="37" t="s">
        <v>3675</v>
      </c>
      <c r="AF1016" s="39" t="s">
        <v>3676</v>
      </c>
      <c r="AG1016" s="37" t="s">
        <v>3670</v>
      </c>
      <c r="AH1016" s="37" t="s">
        <v>3677</v>
      </c>
    </row>
    <row r="1017" spans="1:34" ht="14.45" hidden="1" customHeight="1" x14ac:dyDescent="0.3">
      <c r="A1017" s="6" t="s">
        <v>2241</v>
      </c>
      <c r="B1017" s="7">
        <v>45185</v>
      </c>
      <c r="C1017" s="6" t="s">
        <v>2240</v>
      </c>
      <c r="D1017" s="6" t="s">
        <v>320</v>
      </c>
      <c r="E1017" s="6" t="s">
        <v>2141</v>
      </c>
      <c r="F1017" s="6" t="s">
        <v>3229</v>
      </c>
      <c r="G1017" s="8">
        <v>1.0835429999999999</v>
      </c>
      <c r="H1017" s="8">
        <v>8.8863009999999996</v>
      </c>
      <c r="I1017" s="6" t="s">
        <v>2479</v>
      </c>
      <c r="J1017" s="6" t="s">
        <v>2459</v>
      </c>
      <c r="K1017" s="6" t="s">
        <v>2468</v>
      </c>
      <c r="L1017" s="6" t="s">
        <v>3582</v>
      </c>
      <c r="M1017" s="6"/>
      <c r="N1017" s="6" t="s">
        <v>2468</v>
      </c>
      <c r="O1017" s="6" t="s">
        <v>7</v>
      </c>
      <c r="P1017" s="6" t="str">
        <f>VLOOKUP(Tableau1[[#This Row],[SITES NAMES]],[1]Feuil1!$1:$1048576,8,FALSE)</f>
        <v>OK</v>
      </c>
      <c r="Q1017" s="6" t="str">
        <f>VLOOKUP(Tableau1[[#This Row],[SITES NAMES]],[1]Feuil1!$1:$1048576,9,FALSE)</f>
        <v>NO</v>
      </c>
      <c r="R1017" s="6" t="str">
        <f>VLOOKUP(Tableau1[[#This Row],[SITES NAMES]],[1]Feuil1!$1:$1048576,10,FALSE)</f>
        <v>YES</v>
      </c>
      <c r="S1017" s="6" t="s">
        <v>2469</v>
      </c>
      <c r="T1017" s="6" t="s">
        <v>2470</v>
      </c>
      <c r="U1017" s="6" t="s">
        <v>2480</v>
      </c>
      <c r="V1017" s="6" t="s">
        <v>2472</v>
      </c>
      <c r="W1017" s="6" t="s">
        <v>2465</v>
      </c>
      <c r="X1017" s="8">
        <v>70997283</v>
      </c>
      <c r="Y1017" s="6" t="s">
        <v>3238</v>
      </c>
      <c r="Z1017" s="6" t="s">
        <v>3254</v>
      </c>
      <c r="AA1017" s="37" t="s">
        <v>3672</v>
      </c>
      <c r="AB1017" s="39" t="s">
        <v>3665</v>
      </c>
      <c r="AC1017" s="37" t="s">
        <v>3673</v>
      </c>
      <c r="AD1017" s="37" t="s">
        <v>3674</v>
      </c>
      <c r="AE1017" s="37" t="s">
        <v>3675</v>
      </c>
      <c r="AF1017" s="39" t="s">
        <v>3676</v>
      </c>
      <c r="AG1017" s="37" t="s">
        <v>3670</v>
      </c>
      <c r="AH1017" s="37" t="s">
        <v>3677</v>
      </c>
    </row>
    <row r="1018" spans="1:34" ht="14.45" hidden="1" customHeight="1" x14ac:dyDescent="0.3">
      <c r="A1018" s="6" t="s">
        <v>2243</v>
      </c>
      <c r="B1018" s="7">
        <v>44867</v>
      </c>
      <c r="C1018" s="6" t="s">
        <v>2242</v>
      </c>
      <c r="D1018" s="6" t="s">
        <v>320</v>
      </c>
      <c r="E1018" s="6" t="s">
        <v>2141</v>
      </c>
      <c r="F1018" s="6" t="s">
        <v>3229</v>
      </c>
      <c r="G1018" s="8">
        <v>1.1324350000000001</v>
      </c>
      <c r="H1018" s="8">
        <v>9.0067219999999999</v>
      </c>
      <c r="I1018" s="6" t="s">
        <v>2475</v>
      </c>
      <c r="J1018" s="6" t="s">
        <v>2459</v>
      </c>
      <c r="K1018" s="6" t="s">
        <v>2460</v>
      </c>
      <c r="L1018" s="6" t="s">
        <v>2179</v>
      </c>
      <c r="M1018" s="6"/>
      <c r="N1018" s="6" t="s">
        <v>3268</v>
      </c>
      <c r="O1018" s="6" t="s">
        <v>7</v>
      </c>
      <c r="P1018" s="6" t="str">
        <f>VLOOKUP(Tableau1[[#This Row],[SITES NAMES]],[1]Feuil1!$1:$1048576,8,FALSE)</f>
        <v>NOK</v>
      </c>
      <c r="Q1018" s="6" t="str">
        <f>VLOOKUP(Tableau1[[#This Row],[SITES NAMES]],[1]Feuil1!$1:$1048576,9,FALSE)</f>
        <v>NO</v>
      </c>
      <c r="R1018" s="6" t="str">
        <f>VLOOKUP(Tableau1[[#This Row],[SITES NAMES]],[1]Feuil1!$1:$1048576,10,FALSE)</f>
        <v>YES</v>
      </c>
      <c r="S1018" s="6" t="s">
        <v>2461</v>
      </c>
      <c r="T1018" s="6" t="s">
        <v>2462</v>
      </c>
      <c r="U1018" s="6" t="s">
        <v>2463</v>
      </c>
      <c r="V1018" s="6" t="s">
        <v>2464</v>
      </c>
      <c r="W1018" s="6" t="s">
        <v>2476</v>
      </c>
      <c r="X1018" s="8">
        <v>70997256</v>
      </c>
      <c r="Y1018" s="6" t="s">
        <v>3238</v>
      </c>
      <c r="Z1018" s="6" t="s">
        <v>3254</v>
      </c>
      <c r="AA1018" s="37" t="s">
        <v>3672</v>
      </c>
      <c r="AB1018" s="39" t="s">
        <v>3665</v>
      </c>
      <c r="AC1018" s="37" t="s">
        <v>3673</v>
      </c>
      <c r="AD1018" s="37" t="s">
        <v>3674</v>
      </c>
      <c r="AE1018" s="37" t="s">
        <v>3675</v>
      </c>
      <c r="AF1018" s="39" t="s">
        <v>3676</v>
      </c>
      <c r="AG1018" s="37" t="s">
        <v>3670</v>
      </c>
      <c r="AH1018" s="37" t="s">
        <v>3677</v>
      </c>
    </row>
    <row r="1019" spans="1:34" ht="14.45" hidden="1" customHeight="1" x14ac:dyDescent="0.3">
      <c r="A1019" s="6" t="s">
        <v>2167</v>
      </c>
      <c r="B1019" s="7">
        <v>46022</v>
      </c>
      <c r="C1019" s="6" t="s">
        <v>2166</v>
      </c>
      <c r="D1019" s="6" t="s">
        <v>320</v>
      </c>
      <c r="E1019" s="6" t="s">
        <v>2141</v>
      </c>
      <c r="F1019" s="6" t="s">
        <v>3229</v>
      </c>
      <c r="G1019" s="8">
        <v>1.1359649999999999</v>
      </c>
      <c r="H1019" s="8">
        <v>9.0266940000000009</v>
      </c>
      <c r="I1019" s="16" t="s">
        <v>2479</v>
      </c>
      <c r="J1019" s="6" t="s">
        <v>2459</v>
      </c>
      <c r="K1019" s="6" t="s">
        <v>2468</v>
      </c>
      <c r="L1019" s="6"/>
      <c r="M1019" s="6"/>
      <c r="N1019" s="6" t="s">
        <v>2468</v>
      </c>
      <c r="O1019" s="6" t="s">
        <v>7</v>
      </c>
      <c r="P1019" s="6"/>
      <c r="Q1019" s="6"/>
      <c r="R1019" s="6"/>
      <c r="S1019" s="6"/>
      <c r="T1019" s="6"/>
      <c r="U1019" s="6"/>
      <c r="V1019" s="6"/>
      <c r="W1019" s="6"/>
      <c r="X1019" s="8"/>
      <c r="Y1019" s="6" t="s">
        <v>3238</v>
      </c>
      <c r="Z1019" s="6" t="s">
        <v>3254</v>
      </c>
      <c r="AA1019" s="37" t="s">
        <v>3672</v>
      </c>
      <c r="AB1019" s="39" t="s">
        <v>3665</v>
      </c>
      <c r="AC1019" s="37" t="s">
        <v>3673</v>
      </c>
      <c r="AD1019" s="37" t="s">
        <v>3674</v>
      </c>
      <c r="AE1019" s="37" t="s">
        <v>3675</v>
      </c>
      <c r="AF1019" s="39" t="s">
        <v>3676</v>
      </c>
      <c r="AG1019" s="37" t="s">
        <v>3670</v>
      </c>
      <c r="AH1019" s="37" t="s">
        <v>3677</v>
      </c>
    </row>
    <row r="1020" spans="1:34" ht="14.45" hidden="1" customHeight="1" x14ac:dyDescent="0.3">
      <c r="A1020" s="6" t="s">
        <v>2245</v>
      </c>
      <c r="B1020" s="7">
        <v>46022</v>
      </c>
      <c r="C1020" s="6" t="s">
        <v>2244</v>
      </c>
      <c r="D1020" s="6" t="s">
        <v>320</v>
      </c>
      <c r="E1020" s="6" t="s">
        <v>2141</v>
      </c>
      <c r="F1020" s="6" t="s">
        <v>3229</v>
      </c>
      <c r="G1020" s="8">
        <v>1.1488780000000001</v>
      </c>
      <c r="H1020" s="8">
        <v>8.9752960000000002</v>
      </c>
      <c r="I1020" s="6" t="e">
        <v>#N/A</v>
      </c>
      <c r="J1020" s="6" t="s">
        <v>2459</v>
      </c>
      <c r="K1020" s="6" t="s">
        <v>2468</v>
      </c>
      <c r="L1020" s="6"/>
      <c r="M1020" s="6"/>
      <c r="N1020" s="6" t="s">
        <v>2468</v>
      </c>
      <c r="O1020" s="6" t="s">
        <v>7</v>
      </c>
      <c r="P1020" s="6"/>
      <c r="Q1020" s="6"/>
      <c r="R1020" s="6"/>
      <c r="S1020" s="6"/>
      <c r="T1020" s="6"/>
      <c r="U1020" s="6"/>
      <c r="V1020" s="6"/>
      <c r="W1020" s="6"/>
      <c r="X1020" s="8"/>
      <c r="Y1020" s="6" t="s">
        <v>3238</v>
      </c>
      <c r="Z1020" s="6" t="s">
        <v>3254</v>
      </c>
      <c r="AA1020" s="37" t="s">
        <v>3672</v>
      </c>
      <c r="AB1020" s="39" t="s">
        <v>3665</v>
      </c>
      <c r="AC1020" s="37" t="s">
        <v>3673</v>
      </c>
      <c r="AD1020" s="37" t="s">
        <v>3674</v>
      </c>
      <c r="AE1020" s="37" t="s">
        <v>3675</v>
      </c>
      <c r="AF1020" s="39" t="s">
        <v>3676</v>
      </c>
      <c r="AG1020" s="37" t="s">
        <v>3670</v>
      </c>
      <c r="AH1020" s="37" t="s">
        <v>3677</v>
      </c>
    </row>
    <row r="1021" spans="1:34" ht="14.45" hidden="1" customHeight="1" x14ac:dyDescent="0.3">
      <c r="A1021" s="6" t="s">
        <v>2247</v>
      </c>
      <c r="B1021" s="7">
        <v>46022</v>
      </c>
      <c r="C1021" s="6" t="s">
        <v>2246</v>
      </c>
      <c r="D1021" s="6" t="s">
        <v>320</v>
      </c>
      <c r="E1021" s="6" t="s">
        <v>2141</v>
      </c>
      <c r="F1021" s="6" t="s">
        <v>3229</v>
      </c>
      <c r="G1021" s="8">
        <v>1.1625749999999999</v>
      </c>
      <c r="H1021" s="8">
        <v>8.9765820000000005</v>
      </c>
      <c r="I1021" s="6" t="e">
        <v>#N/A</v>
      </c>
      <c r="J1021" s="6" t="s">
        <v>2459</v>
      </c>
      <c r="K1021" s="6" t="s">
        <v>2468</v>
      </c>
      <c r="L1021" s="6"/>
      <c r="M1021" s="6"/>
      <c r="N1021" s="6" t="s">
        <v>2468</v>
      </c>
      <c r="O1021" s="6" t="s">
        <v>7</v>
      </c>
      <c r="P1021" s="6"/>
      <c r="Q1021" s="6"/>
      <c r="R1021" s="6"/>
      <c r="S1021" s="6"/>
      <c r="T1021" s="6"/>
      <c r="U1021" s="6"/>
      <c r="V1021" s="6"/>
      <c r="W1021" s="6"/>
      <c r="X1021" s="8"/>
      <c r="Y1021" s="6" t="s">
        <v>3238</v>
      </c>
      <c r="Z1021" s="6" t="s">
        <v>3254</v>
      </c>
      <c r="AA1021" s="37" t="s">
        <v>3672</v>
      </c>
      <c r="AB1021" s="39" t="s">
        <v>3665</v>
      </c>
      <c r="AC1021" s="37" t="s">
        <v>3673</v>
      </c>
      <c r="AD1021" s="37" t="s">
        <v>3674</v>
      </c>
      <c r="AE1021" s="37" t="s">
        <v>3675</v>
      </c>
      <c r="AF1021" s="39" t="s">
        <v>3676</v>
      </c>
      <c r="AG1021" s="37" t="s">
        <v>3670</v>
      </c>
      <c r="AH1021" s="37" t="s">
        <v>3677</v>
      </c>
    </row>
    <row r="1022" spans="1:34" ht="14.45" hidden="1" customHeight="1" x14ac:dyDescent="0.3">
      <c r="A1022" s="6" t="s">
        <v>2249</v>
      </c>
      <c r="B1022" s="7">
        <v>43879</v>
      </c>
      <c r="C1022" s="6" t="s">
        <v>2248</v>
      </c>
      <c r="D1022" s="6" t="s">
        <v>320</v>
      </c>
      <c r="E1022" s="6" t="s">
        <v>2141</v>
      </c>
      <c r="F1022" s="6" t="s">
        <v>3229</v>
      </c>
      <c r="G1022" s="8">
        <v>1.1236200000000001</v>
      </c>
      <c r="H1022" s="8">
        <v>9.0122400000000003</v>
      </c>
      <c r="I1022" s="6" t="s">
        <v>2486</v>
      </c>
      <c r="J1022" s="6" t="s">
        <v>2459</v>
      </c>
      <c r="K1022" s="6" t="s">
        <v>2460</v>
      </c>
      <c r="L1022" s="6"/>
      <c r="M1022" s="6"/>
      <c r="N1022" s="6" t="s">
        <v>3268</v>
      </c>
      <c r="O1022" s="6" t="s">
        <v>7</v>
      </c>
      <c r="P1022" s="6" t="str">
        <f>VLOOKUP(Tableau1[[#This Row],[SITES NAMES]],[1]Feuil1!$1:$1048576,8,FALSE)</f>
        <v>OK</v>
      </c>
      <c r="Q1022" s="6" t="str">
        <f>VLOOKUP(Tableau1[[#This Row],[SITES NAMES]],[1]Feuil1!$1:$1048576,9,FALSE)</f>
        <v>NO</v>
      </c>
      <c r="R1022" s="6" t="str">
        <f>VLOOKUP(Tableau1[[#This Row],[SITES NAMES]],[1]Feuil1!$1:$1048576,10,FALSE)</f>
        <v>NO</v>
      </c>
      <c r="S1022" s="6" t="s">
        <v>2461</v>
      </c>
      <c r="T1022" s="6" t="s">
        <v>2462</v>
      </c>
      <c r="U1022" s="6" t="s">
        <v>2463</v>
      </c>
      <c r="V1022" s="6" t="s">
        <v>2472</v>
      </c>
      <c r="W1022" s="6" t="s">
        <v>2476</v>
      </c>
      <c r="X1022" s="8">
        <v>70997262</v>
      </c>
      <c r="Y1022" s="6" t="s">
        <v>3238</v>
      </c>
      <c r="Z1022" s="6" t="s">
        <v>3254</v>
      </c>
      <c r="AA1022" s="37" t="s">
        <v>3672</v>
      </c>
      <c r="AB1022" s="39" t="s">
        <v>3665</v>
      </c>
      <c r="AC1022" s="37" t="s">
        <v>3673</v>
      </c>
      <c r="AD1022" s="37" t="s">
        <v>3674</v>
      </c>
      <c r="AE1022" s="37" t="s">
        <v>3675</v>
      </c>
      <c r="AF1022" s="39" t="s">
        <v>3676</v>
      </c>
      <c r="AG1022" s="37" t="s">
        <v>3670</v>
      </c>
      <c r="AH1022" s="37" t="s">
        <v>3677</v>
      </c>
    </row>
    <row r="1023" spans="1:34" ht="14.45" hidden="1" customHeight="1" x14ac:dyDescent="0.3">
      <c r="A1023" s="6" t="s">
        <v>2251</v>
      </c>
      <c r="B1023" s="7">
        <v>45242</v>
      </c>
      <c r="C1023" s="6" t="s">
        <v>2250</v>
      </c>
      <c r="D1023" s="6" t="s">
        <v>320</v>
      </c>
      <c r="E1023" s="6" t="s">
        <v>2141</v>
      </c>
      <c r="F1023" s="6" t="s">
        <v>3229</v>
      </c>
      <c r="G1023" s="8">
        <v>1.1326000000000001</v>
      </c>
      <c r="H1023" s="8">
        <v>8.9873999999999992</v>
      </c>
      <c r="I1023" s="6" t="s">
        <v>2475</v>
      </c>
      <c r="J1023" s="6" t="s">
        <v>2459</v>
      </c>
      <c r="K1023" s="6" t="s">
        <v>2460</v>
      </c>
      <c r="L1023" s="6" t="s">
        <v>2213</v>
      </c>
      <c r="M1023" s="6" t="s">
        <v>849</v>
      </c>
      <c r="N1023" s="6" t="s">
        <v>3268</v>
      </c>
      <c r="O1023" s="6" t="s">
        <v>7</v>
      </c>
      <c r="P1023" s="6" t="str">
        <f>VLOOKUP(Tableau1[[#This Row],[SITES NAMES]],[1]Feuil1!$1:$1048576,8,FALSE)</f>
        <v>OK</v>
      </c>
      <c r="Q1023" s="6" t="str">
        <f>VLOOKUP(Tableau1[[#This Row],[SITES NAMES]],[1]Feuil1!$1:$1048576,9,FALSE)</f>
        <v>NO</v>
      </c>
      <c r="R1023" s="6"/>
      <c r="S1023" s="6" t="s">
        <v>2469</v>
      </c>
      <c r="T1023" s="6" t="s">
        <v>2470</v>
      </c>
      <c r="U1023" s="6" t="s">
        <v>2471</v>
      </c>
      <c r="V1023" s="6" t="s">
        <v>2464</v>
      </c>
      <c r="W1023" s="6" t="s">
        <v>2531</v>
      </c>
      <c r="X1023" s="8"/>
      <c r="Y1023" s="6" t="s">
        <v>3238</v>
      </c>
      <c r="Z1023" s="6" t="s">
        <v>3254</v>
      </c>
      <c r="AA1023" s="37" t="s">
        <v>3672</v>
      </c>
      <c r="AB1023" s="39" t="s">
        <v>3665</v>
      </c>
      <c r="AC1023" s="37" t="s">
        <v>3673</v>
      </c>
      <c r="AD1023" s="37" t="s">
        <v>3674</v>
      </c>
      <c r="AE1023" s="37" t="s">
        <v>3675</v>
      </c>
      <c r="AF1023" s="39" t="s">
        <v>3676</v>
      </c>
      <c r="AG1023" s="37" t="s">
        <v>3670</v>
      </c>
      <c r="AH1023" s="37" t="s">
        <v>3677</v>
      </c>
    </row>
    <row r="1024" spans="1:34" ht="14.45" hidden="1" customHeight="1" x14ac:dyDescent="0.3">
      <c r="A1024" s="6" t="s">
        <v>819</v>
      </c>
      <c r="B1024" s="7">
        <v>0</v>
      </c>
      <c r="C1024" s="6" t="s">
        <v>818</v>
      </c>
      <c r="D1024" s="6" t="s">
        <v>657</v>
      </c>
      <c r="E1024" s="6" t="s">
        <v>3237</v>
      </c>
      <c r="F1024" s="6" t="s">
        <v>3229</v>
      </c>
      <c r="G1024" s="8">
        <v>1.3467469999999999</v>
      </c>
      <c r="H1024" s="8">
        <v>9.9050550000000008</v>
      </c>
      <c r="I1024" s="6" t="s">
        <v>2477</v>
      </c>
      <c r="J1024" s="6" t="s">
        <v>2459</v>
      </c>
      <c r="K1024" s="6" t="s">
        <v>2468</v>
      </c>
      <c r="L1024" s="6" t="s">
        <v>885</v>
      </c>
      <c r="M1024" s="6"/>
      <c r="N1024" s="6" t="s">
        <v>2468</v>
      </c>
      <c r="O1024" s="6" t="s">
        <v>40</v>
      </c>
      <c r="P1024" s="6" t="str">
        <f>VLOOKUP(Tableau1[[#This Row],[SITES NAMES]],[1]Feuil1!$1:$1048576,8,FALSE)</f>
        <v>OK</v>
      </c>
      <c r="Q1024" s="6" t="str">
        <f>VLOOKUP(Tableau1[[#This Row],[SITES NAMES]],[1]Feuil1!$1:$1048576,9,FALSE)</f>
        <v>NO</v>
      </c>
      <c r="R1024" s="6" t="str">
        <f>VLOOKUP(Tableau1[[#This Row],[SITES NAMES]],[1]Feuil1!$1:$1048576,10,FALSE)</f>
        <v>NO</v>
      </c>
      <c r="S1024" s="6" t="s">
        <v>2469</v>
      </c>
      <c r="T1024" s="6" t="s">
        <v>2470</v>
      </c>
      <c r="U1024" s="6" t="s">
        <v>2471</v>
      </c>
      <c r="V1024" s="6" t="s">
        <v>2472</v>
      </c>
      <c r="W1024" s="6" t="s">
        <v>2473</v>
      </c>
      <c r="X1024" s="8" t="s">
        <v>2777</v>
      </c>
      <c r="Y1024" s="6" t="s">
        <v>3239</v>
      </c>
      <c r="Z1024" s="6" t="s">
        <v>3253</v>
      </c>
      <c r="AA1024" s="37" t="s">
        <v>3692</v>
      </c>
      <c r="AB1024" s="38" t="s">
        <v>3683</v>
      </c>
      <c r="AC1024" s="39" t="s">
        <v>3693</v>
      </c>
      <c r="AD1024" s="39" t="s">
        <v>3694</v>
      </c>
      <c r="AE1024" s="37" t="s">
        <v>3695</v>
      </c>
      <c r="AF1024" s="39" t="s">
        <v>3696</v>
      </c>
      <c r="AG1024" s="40" t="s">
        <v>3685</v>
      </c>
      <c r="AH1024" s="37" t="s">
        <v>3697</v>
      </c>
    </row>
    <row r="1025" spans="1:34" ht="14.45" hidden="1" customHeight="1" x14ac:dyDescent="0.3">
      <c r="A1025" s="6" t="s">
        <v>2253</v>
      </c>
      <c r="B1025" s="7">
        <v>0</v>
      </c>
      <c r="C1025" s="6" t="s">
        <v>2252</v>
      </c>
      <c r="D1025" s="6" t="s">
        <v>320</v>
      </c>
      <c r="E1025" s="6" t="s">
        <v>2141</v>
      </c>
      <c r="F1025" s="6" t="s">
        <v>3229</v>
      </c>
      <c r="G1025" s="8">
        <v>1.1317329899999999</v>
      </c>
      <c r="H1025" s="8">
        <v>8.7744329899999993</v>
      </c>
      <c r="I1025" s="6" t="s">
        <v>2477</v>
      </c>
      <c r="J1025" s="6" t="s">
        <v>2459</v>
      </c>
      <c r="K1025" s="6" t="s">
        <v>2468</v>
      </c>
      <c r="L1025" s="6" t="s">
        <v>3583</v>
      </c>
      <c r="M1025" s="6"/>
      <c r="N1025" s="6" t="s">
        <v>2468</v>
      </c>
      <c r="O1025" s="6" t="s">
        <v>37</v>
      </c>
      <c r="P1025" s="6" t="str">
        <f>VLOOKUP(Tableau1[[#This Row],[SITES NAMES]],[1]Feuil1!$1:$1048576,8,FALSE)</f>
        <v>OK</v>
      </c>
      <c r="Q1025" s="6" t="str">
        <f>VLOOKUP(Tableau1[[#This Row],[SITES NAMES]],[1]Feuil1!$1:$1048576,9,FALSE)</f>
        <v>NO</v>
      </c>
      <c r="R1025" s="6" t="str">
        <f>VLOOKUP(Tableau1[[#This Row],[SITES NAMES]],[1]Feuil1!$1:$1048576,10,FALSE)</f>
        <v>YES</v>
      </c>
      <c r="S1025" s="6" t="s">
        <v>2461</v>
      </c>
      <c r="T1025" s="6" t="s">
        <v>2462</v>
      </c>
      <c r="U1025" s="6" t="s">
        <v>2463</v>
      </c>
      <c r="V1025" s="6" t="s">
        <v>2472</v>
      </c>
      <c r="W1025" s="6" t="s">
        <v>2473</v>
      </c>
      <c r="X1025" s="8" t="s">
        <v>3168</v>
      </c>
      <c r="Y1025" s="6" t="s">
        <v>3238</v>
      </c>
      <c r="Z1025" s="6" t="s">
        <v>3254</v>
      </c>
      <c r="AA1025" s="37" t="s">
        <v>3672</v>
      </c>
      <c r="AB1025" s="39" t="s">
        <v>3665</v>
      </c>
      <c r="AC1025" s="37" t="s">
        <v>3673</v>
      </c>
      <c r="AD1025" s="37" t="s">
        <v>3674</v>
      </c>
      <c r="AE1025" s="37" t="s">
        <v>3675</v>
      </c>
      <c r="AF1025" s="39" t="s">
        <v>3676</v>
      </c>
      <c r="AG1025" s="37" t="s">
        <v>3670</v>
      </c>
      <c r="AH1025" s="37" t="s">
        <v>3677</v>
      </c>
    </row>
    <row r="1026" spans="1:34" ht="14.45" hidden="1" customHeight="1" x14ac:dyDescent="0.25">
      <c r="A1026" s="6" t="s">
        <v>1948</v>
      </c>
      <c r="B1026" s="7">
        <v>0</v>
      </c>
      <c r="C1026" s="6" t="s">
        <v>1947</v>
      </c>
      <c r="D1026" s="6" t="s">
        <v>66</v>
      </c>
      <c r="E1026" s="6" t="s">
        <v>3232</v>
      </c>
      <c r="F1026" s="6" t="s">
        <v>3229</v>
      </c>
      <c r="G1026" s="8">
        <v>1.2070890000000001</v>
      </c>
      <c r="H1026" s="8">
        <v>6.1556636749999996</v>
      </c>
      <c r="I1026" s="6" t="s">
        <v>2497</v>
      </c>
      <c r="J1026" s="6" t="s">
        <v>2459</v>
      </c>
      <c r="K1026" s="6" t="s">
        <v>2460</v>
      </c>
      <c r="L1026" s="6"/>
      <c r="M1026" s="6"/>
      <c r="N1026" s="6" t="s">
        <v>3268</v>
      </c>
      <c r="O1026" s="6" t="s">
        <v>7</v>
      </c>
      <c r="P1026" s="6" t="str">
        <f>VLOOKUP(Tableau1[[#This Row],[SITES NAMES]],[1]Feuil1!$1:$1048576,8,FALSE)</f>
        <v>OK</v>
      </c>
      <c r="Q1026" s="6" t="str">
        <f>VLOOKUP(Tableau1[[#This Row],[SITES NAMES]],[1]Feuil1!$1:$1048576,9,FALSE)</f>
        <v>NO</v>
      </c>
      <c r="R1026" s="6" t="str">
        <f>VLOOKUP(Tableau1[[#This Row],[SITES NAMES]],[1]Feuil1!$1:$1048576,10,FALSE)</f>
        <v>NO</v>
      </c>
      <c r="S1026" s="6" t="s">
        <v>2469</v>
      </c>
      <c r="T1026" s="6" t="s">
        <v>2470</v>
      </c>
      <c r="U1026" s="6" t="s">
        <v>2471</v>
      </c>
      <c r="V1026" s="6" t="s">
        <v>2464</v>
      </c>
      <c r="W1026" s="6" t="s">
        <v>2476</v>
      </c>
      <c r="X1026" s="8" t="s">
        <v>3060</v>
      </c>
      <c r="Y1026" s="6" t="s">
        <v>3238</v>
      </c>
      <c r="Z1026" s="6" t="s">
        <v>3262</v>
      </c>
      <c r="AA1026" s="35" t="s">
        <v>3621</v>
      </c>
      <c r="AB1026" s="35" t="s">
        <v>3608</v>
      </c>
      <c r="AC1026" s="35" t="s">
        <v>3624</v>
      </c>
      <c r="AD1026" s="35" t="s">
        <v>3610</v>
      </c>
      <c r="AE1026" s="35" t="s">
        <v>3610</v>
      </c>
      <c r="AF1026" s="35" t="s">
        <v>3611</v>
      </c>
      <c r="AG1026" s="35" t="s">
        <v>3612</v>
      </c>
      <c r="AH1026" s="35" t="s">
        <v>3625</v>
      </c>
    </row>
    <row r="1027" spans="1:34" ht="14.45" hidden="1" customHeight="1" x14ac:dyDescent="0.25">
      <c r="A1027" s="6" t="s">
        <v>1296</v>
      </c>
      <c r="B1027" s="7">
        <v>0</v>
      </c>
      <c r="C1027" s="6" t="s">
        <v>1295</v>
      </c>
      <c r="D1027" s="6" t="s">
        <v>66</v>
      </c>
      <c r="E1027" s="6" t="s">
        <v>1924</v>
      </c>
      <c r="F1027" s="18" t="s">
        <v>3230</v>
      </c>
      <c r="G1027" s="8">
        <v>1.2261690000000001</v>
      </c>
      <c r="H1027" s="8">
        <v>6.2531819999999998</v>
      </c>
      <c r="I1027" s="6" t="s">
        <v>2497</v>
      </c>
      <c r="J1027" s="6" t="s">
        <v>2459</v>
      </c>
      <c r="K1027" s="6" t="s">
        <v>2460</v>
      </c>
      <c r="L1027" s="6"/>
      <c r="M1027" s="6"/>
      <c r="N1027" s="6" t="s">
        <v>3268</v>
      </c>
      <c r="O1027" s="6" t="s">
        <v>7</v>
      </c>
      <c r="P1027" s="6" t="str">
        <f>VLOOKUP(Tableau1[[#This Row],[SITES NAMES]],[1]Feuil1!$1:$1048576,8,FALSE)</f>
        <v>OK</v>
      </c>
      <c r="Q1027" s="6" t="str">
        <f>VLOOKUP(Tableau1[[#This Row],[SITES NAMES]],[1]Feuil1!$1:$1048576,9,FALSE)</f>
        <v>YES</v>
      </c>
      <c r="R1027" s="6" t="str">
        <f>VLOOKUP(Tableau1[[#This Row],[SITES NAMES]],[1]Feuil1!$1:$1048576,10,FALSE)</f>
        <v>NO</v>
      </c>
      <c r="S1027" s="6" t="s">
        <v>2461</v>
      </c>
      <c r="T1027" s="6" t="s">
        <v>2462</v>
      </c>
      <c r="U1027" s="6" t="s">
        <v>2463</v>
      </c>
      <c r="V1027" s="6" t="s">
        <v>2478</v>
      </c>
      <c r="W1027" s="6" t="s">
        <v>2476</v>
      </c>
      <c r="X1027" s="8" t="s">
        <v>2921</v>
      </c>
      <c r="Y1027" s="6" t="s">
        <v>3238</v>
      </c>
      <c r="Z1027" s="6" t="s">
        <v>3261</v>
      </c>
      <c r="AA1027" s="35" t="s">
        <v>3607</v>
      </c>
      <c r="AB1027" s="35" t="s">
        <v>3608</v>
      </c>
      <c r="AC1027" s="35" t="s">
        <v>3609</v>
      </c>
      <c r="AD1027" s="35" t="s">
        <v>3610</v>
      </c>
      <c r="AE1027" s="35" t="s">
        <v>3610</v>
      </c>
      <c r="AF1027" s="35" t="s">
        <v>3611</v>
      </c>
      <c r="AG1027" s="35" t="s">
        <v>3612</v>
      </c>
      <c r="AH1027" s="35" t="s">
        <v>3613</v>
      </c>
    </row>
    <row r="1028" spans="1:34" ht="14.45" hidden="1" customHeight="1" x14ac:dyDescent="0.25">
      <c r="A1028" s="6" t="s">
        <v>1950</v>
      </c>
      <c r="B1028" s="7">
        <v>0</v>
      </c>
      <c r="C1028" s="6" t="s">
        <v>1949</v>
      </c>
      <c r="D1028" s="6" t="s">
        <v>66</v>
      </c>
      <c r="E1028" s="6" t="s">
        <v>3232</v>
      </c>
      <c r="F1028" s="6" t="s">
        <v>3229</v>
      </c>
      <c r="G1028" s="8">
        <v>1.2211689999999999</v>
      </c>
      <c r="H1028" s="8">
        <v>6.1527103580000002</v>
      </c>
      <c r="I1028" s="6" t="s">
        <v>2497</v>
      </c>
      <c r="J1028" s="6" t="s">
        <v>2459</v>
      </c>
      <c r="K1028" s="6" t="s">
        <v>2460</v>
      </c>
      <c r="L1028" s="6"/>
      <c r="M1028" s="6"/>
      <c r="N1028" s="6" t="s">
        <v>3268</v>
      </c>
      <c r="O1028" s="6" t="s">
        <v>1206</v>
      </c>
      <c r="P1028" s="6"/>
      <c r="Q1028" s="6" t="str">
        <f>VLOOKUP(Tableau1[[#This Row],[SITES NAMES]],[1]Feuil1!$1:$1048576,9,FALSE)</f>
        <v>YES</v>
      </c>
      <c r="R1028" s="6" t="str">
        <f>VLOOKUP(Tableau1[[#This Row],[SITES NAMES]],[1]Feuil1!$1:$1048576,10,FALSE)</f>
        <v>YES</v>
      </c>
      <c r="S1028" s="6" t="s">
        <v>2469</v>
      </c>
      <c r="T1028" s="6" t="s">
        <v>2470</v>
      </c>
      <c r="U1028" s="6" t="s">
        <v>2471</v>
      </c>
      <c r="V1028" s="6" t="s">
        <v>2464</v>
      </c>
      <c r="W1028" s="6" t="s">
        <v>2476</v>
      </c>
      <c r="X1028" s="8" t="s">
        <v>3061</v>
      </c>
      <c r="Y1028" s="6" t="s">
        <v>3238</v>
      </c>
      <c r="Z1028" s="6" t="s">
        <v>3262</v>
      </c>
      <c r="AA1028" s="35" t="s">
        <v>3621</v>
      </c>
      <c r="AB1028" s="35" t="s">
        <v>3608</v>
      </c>
      <c r="AC1028" s="35" t="s">
        <v>3624</v>
      </c>
      <c r="AD1028" s="35" t="s">
        <v>3610</v>
      </c>
      <c r="AE1028" s="35" t="s">
        <v>3610</v>
      </c>
      <c r="AF1028" s="35" t="s">
        <v>3611</v>
      </c>
      <c r="AG1028" s="35" t="s">
        <v>3612</v>
      </c>
      <c r="AH1028" s="35" t="s">
        <v>3625</v>
      </c>
    </row>
    <row r="1029" spans="1:34" ht="15.75" hidden="1" x14ac:dyDescent="0.3">
      <c r="A1029" s="6" t="s">
        <v>2255</v>
      </c>
      <c r="B1029" s="7">
        <v>0</v>
      </c>
      <c r="C1029" s="6" t="s">
        <v>2254</v>
      </c>
      <c r="D1029" s="6" t="s">
        <v>320</v>
      </c>
      <c r="E1029" s="6" t="s">
        <v>2141</v>
      </c>
      <c r="F1029" s="18" t="s">
        <v>3230</v>
      </c>
      <c r="G1029" s="8">
        <v>0.99491399999999997</v>
      </c>
      <c r="H1029" s="8">
        <v>8.5591899999999992</v>
      </c>
      <c r="I1029" s="6" t="s">
        <v>2497</v>
      </c>
      <c r="J1029" s="6" t="s">
        <v>2459</v>
      </c>
      <c r="K1029" s="6" t="s">
        <v>2460</v>
      </c>
      <c r="L1029" s="6"/>
      <c r="M1029" s="6"/>
      <c r="N1029" s="21" t="s">
        <v>3269</v>
      </c>
      <c r="O1029" s="6" t="s">
        <v>7</v>
      </c>
      <c r="P1029" s="6" t="str">
        <f>VLOOKUP(Tableau1[[#This Row],[SITES NAMES]],[1]Feuil1!$1:$1048576,8,FALSE)</f>
        <v>OK</v>
      </c>
      <c r="Q1029" s="6" t="str">
        <f>VLOOKUP(Tableau1[[#This Row],[SITES NAMES]],[1]Feuil1!$1:$1048576,9,FALSE)</f>
        <v>NO</v>
      </c>
      <c r="R1029" s="6" t="str">
        <f>VLOOKUP(Tableau1[[#This Row],[SITES NAMES]],[1]Feuil1!$1:$1048576,10,FALSE)</f>
        <v>YES</v>
      </c>
      <c r="S1029" s="6" t="s">
        <v>2461</v>
      </c>
      <c r="T1029" s="6" t="s">
        <v>2462</v>
      </c>
      <c r="U1029" s="6" t="s">
        <v>2463</v>
      </c>
      <c r="V1029" s="6" t="s">
        <v>2478</v>
      </c>
      <c r="W1029" s="6" t="s">
        <v>2476</v>
      </c>
      <c r="X1029" s="8" t="s">
        <v>3169</v>
      </c>
      <c r="Y1029" s="6" t="s">
        <v>3238</v>
      </c>
      <c r="Z1029" s="6" t="s">
        <v>3254</v>
      </c>
      <c r="AA1029" s="37" t="s">
        <v>3672</v>
      </c>
      <c r="AB1029" s="39" t="s">
        <v>3665</v>
      </c>
      <c r="AC1029" s="37" t="s">
        <v>3673</v>
      </c>
      <c r="AD1029" s="37" t="s">
        <v>3674</v>
      </c>
      <c r="AE1029" s="37" t="s">
        <v>3675</v>
      </c>
      <c r="AF1029" s="39" t="s">
        <v>3676</v>
      </c>
      <c r="AG1029" s="37" t="s">
        <v>3670</v>
      </c>
      <c r="AH1029" s="37" t="s">
        <v>3677</v>
      </c>
    </row>
    <row r="1030" spans="1:34" ht="14.45" hidden="1" customHeight="1" x14ac:dyDescent="0.3">
      <c r="A1030" s="6" t="s">
        <v>2257</v>
      </c>
      <c r="B1030" s="7">
        <v>46022</v>
      </c>
      <c r="C1030" s="6" t="s">
        <v>2256</v>
      </c>
      <c r="D1030" s="6" t="s">
        <v>320</v>
      </c>
      <c r="E1030" s="6" t="s">
        <v>2141</v>
      </c>
      <c r="F1030" s="6" t="s">
        <v>3229</v>
      </c>
      <c r="G1030" s="8">
        <v>1.0106999999999999</v>
      </c>
      <c r="H1030" s="8">
        <v>8.5508000000000006</v>
      </c>
      <c r="I1030" s="6" t="e">
        <v>#N/A</v>
      </c>
      <c r="J1030" s="6" t="s">
        <v>2459</v>
      </c>
      <c r="K1030" s="6" t="s">
        <v>2460</v>
      </c>
      <c r="L1030" s="6"/>
      <c r="M1030" s="6"/>
      <c r="N1030" s="6" t="s">
        <v>3268</v>
      </c>
      <c r="O1030" s="6" t="s">
        <v>7</v>
      </c>
      <c r="P1030" s="6"/>
      <c r="Q1030" s="6"/>
      <c r="R1030" s="6"/>
      <c r="S1030" s="6"/>
      <c r="T1030" s="6"/>
      <c r="U1030" s="6"/>
      <c r="V1030" s="6"/>
      <c r="W1030" s="6"/>
      <c r="X1030" s="8"/>
      <c r="Y1030" s="6" t="s">
        <v>3238</v>
      </c>
      <c r="Z1030" s="6" t="s">
        <v>3254</v>
      </c>
      <c r="AA1030" s="37" t="s">
        <v>3672</v>
      </c>
      <c r="AB1030" s="39" t="s">
        <v>3665</v>
      </c>
      <c r="AC1030" s="37" t="s">
        <v>3673</v>
      </c>
      <c r="AD1030" s="37" t="s">
        <v>3674</v>
      </c>
      <c r="AE1030" s="37" t="s">
        <v>3675</v>
      </c>
      <c r="AF1030" s="39" t="s">
        <v>3676</v>
      </c>
      <c r="AG1030" s="37" t="s">
        <v>3670</v>
      </c>
      <c r="AH1030" s="37" t="s">
        <v>3677</v>
      </c>
    </row>
    <row r="1031" spans="1:34" ht="14.45" hidden="1" customHeight="1" x14ac:dyDescent="0.3">
      <c r="A1031" s="6" t="s">
        <v>2259</v>
      </c>
      <c r="B1031" s="7">
        <v>44711</v>
      </c>
      <c r="C1031" s="6" t="s">
        <v>2258</v>
      </c>
      <c r="D1031" s="6" t="s">
        <v>320</v>
      </c>
      <c r="E1031" s="6" t="s">
        <v>2141</v>
      </c>
      <c r="F1031" s="6" t="s">
        <v>3229</v>
      </c>
      <c r="G1031" s="8">
        <v>0.98223000000000005</v>
      </c>
      <c r="H1031" s="8">
        <v>8.5581200000000006</v>
      </c>
      <c r="I1031" s="6" t="s">
        <v>2497</v>
      </c>
      <c r="J1031" s="6" t="s">
        <v>2459</v>
      </c>
      <c r="K1031" s="6" t="s">
        <v>2460</v>
      </c>
      <c r="L1031" s="6"/>
      <c r="M1031" s="6"/>
      <c r="N1031" s="6" t="s">
        <v>3268</v>
      </c>
      <c r="O1031" s="6" t="s">
        <v>7</v>
      </c>
      <c r="P1031" s="6" t="str">
        <f>VLOOKUP(Tableau1[[#This Row],[SITES NAMES]],[1]Feuil1!$1:$1048576,8,FALSE)</f>
        <v>OK</v>
      </c>
      <c r="Q1031" s="6" t="str">
        <f>VLOOKUP(Tableau1[[#This Row],[SITES NAMES]],[1]Feuil1!$1:$1048576,9,FALSE)</f>
        <v>NO</v>
      </c>
      <c r="R1031" s="6" t="str">
        <f>VLOOKUP(Tableau1[[#This Row],[SITES NAMES]],[1]Feuil1!$1:$1048576,10,FALSE)</f>
        <v>YES</v>
      </c>
      <c r="S1031" s="6" t="s">
        <v>2469</v>
      </c>
      <c r="T1031" s="6" t="s">
        <v>2470</v>
      </c>
      <c r="U1031" s="6" t="s">
        <v>2480</v>
      </c>
      <c r="V1031" s="6" t="s">
        <v>2464</v>
      </c>
      <c r="W1031" s="6" t="s">
        <v>2465</v>
      </c>
      <c r="X1031" s="8" t="s">
        <v>3170</v>
      </c>
      <c r="Y1031" s="6" t="s">
        <v>3238</v>
      </c>
      <c r="Z1031" s="6" t="s">
        <v>3254</v>
      </c>
      <c r="AA1031" s="37" t="s">
        <v>3672</v>
      </c>
      <c r="AB1031" s="39" t="s">
        <v>3665</v>
      </c>
      <c r="AC1031" s="37" t="s">
        <v>3673</v>
      </c>
      <c r="AD1031" s="37" t="s">
        <v>3674</v>
      </c>
      <c r="AE1031" s="37" t="s">
        <v>3675</v>
      </c>
      <c r="AF1031" s="39" t="s">
        <v>3676</v>
      </c>
      <c r="AG1031" s="37" t="s">
        <v>3670</v>
      </c>
      <c r="AH1031" s="37" t="s">
        <v>3677</v>
      </c>
    </row>
    <row r="1032" spans="1:34" ht="14.45" hidden="1" customHeight="1" x14ac:dyDescent="0.3">
      <c r="A1032" s="6" t="s">
        <v>2261</v>
      </c>
      <c r="B1032" s="7">
        <v>0</v>
      </c>
      <c r="C1032" s="6" t="s">
        <v>2260</v>
      </c>
      <c r="D1032" s="6" t="s">
        <v>320</v>
      </c>
      <c r="E1032" s="6" t="s">
        <v>2141</v>
      </c>
      <c r="F1032" s="6" t="s">
        <v>3229</v>
      </c>
      <c r="G1032" s="8">
        <v>0.96844399999999997</v>
      </c>
      <c r="H1032" s="8">
        <v>8.5474700000000006</v>
      </c>
      <c r="I1032" s="6" t="s">
        <v>2497</v>
      </c>
      <c r="J1032" s="6" t="s">
        <v>2459</v>
      </c>
      <c r="K1032" s="6" t="s">
        <v>2460</v>
      </c>
      <c r="L1032" s="6"/>
      <c r="M1032" s="6"/>
      <c r="N1032" s="6" t="s">
        <v>3268</v>
      </c>
      <c r="O1032" s="6" t="s">
        <v>7</v>
      </c>
      <c r="P1032" s="6" t="str">
        <f>VLOOKUP(Tableau1[[#This Row],[SITES NAMES]],[1]Feuil1!$1:$1048576,8,FALSE)</f>
        <v>OK</v>
      </c>
      <c r="Q1032" s="6" t="str">
        <f>VLOOKUP(Tableau1[[#This Row],[SITES NAMES]],[1]Feuil1!$1:$1048576,9,FALSE)</f>
        <v>NO</v>
      </c>
      <c r="R1032" s="6" t="str">
        <f>VLOOKUP(Tableau1[[#This Row],[SITES NAMES]],[1]Feuil1!$1:$1048576,10,FALSE)</f>
        <v>NO</v>
      </c>
      <c r="S1032" s="6" t="s">
        <v>2469</v>
      </c>
      <c r="T1032" s="6" t="s">
        <v>2470</v>
      </c>
      <c r="U1032" s="6" t="s">
        <v>2471</v>
      </c>
      <c r="V1032" s="6" t="s">
        <v>2464</v>
      </c>
      <c r="W1032" s="6" t="s">
        <v>2476</v>
      </c>
      <c r="X1032" s="8" t="s">
        <v>3171</v>
      </c>
      <c r="Y1032" s="6" t="s">
        <v>3238</v>
      </c>
      <c r="Z1032" s="6" t="s">
        <v>3254</v>
      </c>
      <c r="AA1032" s="37" t="s">
        <v>3672</v>
      </c>
      <c r="AB1032" s="39" t="s">
        <v>3665</v>
      </c>
      <c r="AC1032" s="37" t="s">
        <v>3673</v>
      </c>
      <c r="AD1032" s="37" t="s">
        <v>3674</v>
      </c>
      <c r="AE1032" s="37" t="s">
        <v>3675</v>
      </c>
      <c r="AF1032" s="39" t="s">
        <v>3676</v>
      </c>
      <c r="AG1032" s="37" t="s">
        <v>3670</v>
      </c>
      <c r="AH1032" s="37" t="s">
        <v>3677</v>
      </c>
    </row>
    <row r="1033" spans="1:34" ht="14.45" hidden="1" customHeight="1" x14ac:dyDescent="0.3">
      <c r="A1033" s="6" t="s">
        <v>2263</v>
      </c>
      <c r="B1033" s="7">
        <v>43921</v>
      </c>
      <c r="C1033" s="6" t="s">
        <v>2262</v>
      </c>
      <c r="D1033" s="6" t="s">
        <v>320</v>
      </c>
      <c r="E1033" s="6" t="s">
        <v>2141</v>
      </c>
      <c r="F1033" s="6" t="s">
        <v>3229</v>
      </c>
      <c r="G1033" s="8">
        <v>0.96965999999999997</v>
      </c>
      <c r="H1033" s="8">
        <v>8.5631900000000005</v>
      </c>
      <c r="I1033" s="6" t="s">
        <v>2486</v>
      </c>
      <c r="J1033" s="6" t="s">
        <v>2459</v>
      </c>
      <c r="K1033" s="6" t="s">
        <v>2460</v>
      </c>
      <c r="L1033" s="6"/>
      <c r="M1033" s="6"/>
      <c r="N1033" s="6" t="s">
        <v>3268</v>
      </c>
      <c r="O1033" s="6" t="s">
        <v>7</v>
      </c>
      <c r="P1033" s="6" t="str">
        <f>VLOOKUP(Tableau1[[#This Row],[SITES NAMES]],[1]Feuil1!$1:$1048576,8,FALSE)</f>
        <v>OK</v>
      </c>
      <c r="Q1033" s="6" t="str">
        <f>VLOOKUP(Tableau1[[#This Row],[SITES NAMES]],[1]Feuil1!$1:$1048576,9,FALSE)</f>
        <v>NO</v>
      </c>
      <c r="R1033" s="6" t="str">
        <f>VLOOKUP(Tableau1[[#This Row],[SITES NAMES]],[1]Feuil1!$1:$1048576,10,FALSE)</f>
        <v>NO</v>
      </c>
      <c r="S1033" s="6" t="s">
        <v>2469</v>
      </c>
      <c r="T1033" s="6" t="s">
        <v>2470</v>
      </c>
      <c r="U1033" s="6" t="s">
        <v>2471</v>
      </c>
      <c r="V1033" s="6" t="s">
        <v>2472</v>
      </c>
      <c r="W1033" s="6" t="s">
        <v>2476</v>
      </c>
      <c r="X1033" s="8" t="s">
        <v>3172</v>
      </c>
      <c r="Y1033" s="6" t="s">
        <v>3238</v>
      </c>
      <c r="Z1033" s="6" t="s">
        <v>3254</v>
      </c>
      <c r="AA1033" s="37" t="s">
        <v>3672</v>
      </c>
      <c r="AB1033" s="39" t="s">
        <v>3665</v>
      </c>
      <c r="AC1033" s="37" t="s">
        <v>3673</v>
      </c>
      <c r="AD1033" s="37" t="s">
        <v>3674</v>
      </c>
      <c r="AE1033" s="37" t="s">
        <v>3675</v>
      </c>
      <c r="AF1033" s="39" t="s">
        <v>3676</v>
      </c>
      <c r="AG1033" s="37" t="s">
        <v>3670</v>
      </c>
      <c r="AH1033" s="37" t="s">
        <v>3677</v>
      </c>
    </row>
    <row r="1034" spans="1:34" ht="14.45" hidden="1" customHeight="1" x14ac:dyDescent="0.3">
      <c r="A1034" s="6" t="s">
        <v>2151</v>
      </c>
      <c r="B1034" s="7">
        <v>0</v>
      </c>
      <c r="C1034" s="6" t="s">
        <v>2150</v>
      </c>
      <c r="D1034" s="6" t="s">
        <v>320</v>
      </c>
      <c r="E1034" s="6" t="s">
        <v>2141</v>
      </c>
      <c r="F1034" s="6" t="s">
        <v>3229</v>
      </c>
      <c r="G1034" s="8">
        <v>1.01474</v>
      </c>
      <c r="H1034" s="8">
        <v>8.5521580000000004</v>
      </c>
      <c r="I1034" s="6" t="s">
        <v>2488</v>
      </c>
      <c r="J1034" s="6" t="s">
        <v>2459</v>
      </c>
      <c r="K1034" s="6" t="s">
        <v>2460</v>
      </c>
      <c r="L1034" s="6"/>
      <c r="M1034" s="6"/>
      <c r="N1034" s="6" t="s">
        <v>3268</v>
      </c>
      <c r="O1034" s="6" t="s">
        <v>40</v>
      </c>
      <c r="P1034" s="6" t="str">
        <f>VLOOKUP(Tableau1[[#This Row],[SITES NAMES]],[1]Feuil1!$1:$1048576,8,FALSE)</f>
        <v>OK</v>
      </c>
      <c r="Q1034" s="6" t="str">
        <f>VLOOKUP(Tableau1[[#This Row],[SITES NAMES]],[1]Feuil1!$1:$1048576,9,FALSE)</f>
        <v>NO</v>
      </c>
      <c r="R1034" s="6" t="str">
        <f>VLOOKUP(Tableau1[[#This Row],[SITES NAMES]],[1]Feuil1!$1:$1048576,10,FALSE)</f>
        <v>YES</v>
      </c>
      <c r="S1034" s="6" t="s">
        <v>2469</v>
      </c>
      <c r="T1034" s="6" t="s">
        <v>2470</v>
      </c>
      <c r="U1034" s="6" t="s">
        <v>2471</v>
      </c>
      <c r="V1034" s="6" t="s">
        <v>2472</v>
      </c>
      <c r="W1034" s="6" t="s">
        <v>2476</v>
      </c>
      <c r="X1034" s="8" t="s">
        <v>3137</v>
      </c>
      <c r="Y1034" s="6" t="s">
        <v>3238</v>
      </c>
      <c r="Z1034" s="6" t="s">
        <v>3254</v>
      </c>
      <c r="AA1034" s="37" t="s">
        <v>3672</v>
      </c>
      <c r="AB1034" s="39" t="s">
        <v>3665</v>
      </c>
      <c r="AC1034" s="37" t="s">
        <v>3673</v>
      </c>
      <c r="AD1034" s="37" t="s">
        <v>3674</v>
      </c>
      <c r="AE1034" s="37" t="s">
        <v>3675</v>
      </c>
      <c r="AF1034" s="39" t="s">
        <v>3676</v>
      </c>
      <c r="AG1034" s="37" t="s">
        <v>3670</v>
      </c>
      <c r="AH1034" s="37" t="s">
        <v>3677</v>
      </c>
    </row>
    <row r="1035" spans="1:34" ht="14.45" hidden="1" customHeight="1" x14ac:dyDescent="0.3">
      <c r="A1035" s="6" t="s">
        <v>991</v>
      </c>
      <c r="B1035" s="7">
        <v>0</v>
      </c>
      <c r="C1035" s="6" t="s">
        <v>990</v>
      </c>
      <c r="D1035" s="6" t="s">
        <v>657</v>
      </c>
      <c r="E1035" s="6" t="s">
        <v>3235</v>
      </c>
      <c r="F1035" s="6" t="s">
        <v>3229</v>
      </c>
      <c r="G1035" s="8">
        <v>1.3463000000000001</v>
      </c>
      <c r="H1035" s="8">
        <v>9.3544300000000007</v>
      </c>
      <c r="I1035" s="6" t="s">
        <v>2479</v>
      </c>
      <c r="J1035" s="6" t="s">
        <v>2459</v>
      </c>
      <c r="K1035" s="6" t="s">
        <v>2468</v>
      </c>
      <c r="L1035" s="6" t="s">
        <v>3531</v>
      </c>
      <c r="M1035" s="6"/>
      <c r="N1035" s="6" t="s">
        <v>2468</v>
      </c>
      <c r="O1035" s="6" t="s">
        <v>40</v>
      </c>
      <c r="P1035" s="6" t="str">
        <f>VLOOKUP(Tableau1[[#This Row],[SITES NAMES]],[1]Feuil1!$1:$1048576,8,FALSE)</f>
        <v>OK</v>
      </c>
      <c r="Q1035" s="6" t="str">
        <f>VLOOKUP(Tableau1[[#This Row],[SITES NAMES]],[1]Feuil1!$1:$1048576,9,FALSE)</f>
        <v>NO</v>
      </c>
      <c r="R1035" s="6" t="str">
        <f>VLOOKUP(Tableau1[[#This Row],[SITES NAMES]],[1]Feuil1!$1:$1048576,10,FALSE)</f>
        <v>NO</v>
      </c>
      <c r="S1035" s="6" t="s">
        <v>2469</v>
      </c>
      <c r="T1035" s="6" t="s">
        <v>2470</v>
      </c>
      <c r="U1035" s="6" t="s">
        <v>2471</v>
      </c>
      <c r="V1035" s="6" t="s">
        <v>2464</v>
      </c>
      <c r="W1035" s="6" t="s">
        <v>2473</v>
      </c>
      <c r="X1035" s="8" t="s">
        <v>2833</v>
      </c>
      <c r="Y1035" s="6" t="s">
        <v>3239</v>
      </c>
      <c r="Z1035" s="6" t="s">
        <v>3253</v>
      </c>
      <c r="AA1035" s="37" t="s">
        <v>3698</v>
      </c>
      <c r="AB1035" s="38" t="s">
        <v>3683</v>
      </c>
      <c r="AC1035" s="39" t="s">
        <v>3699</v>
      </c>
      <c r="AD1035" s="39" t="s">
        <v>3700</v>
      </c>
      <c r="AE1035" s="37" t="s">
        <v>3701</v>
      </c>
      <c r="AF1035" s="39" t="s">
        <v>3702</v>
      </c>
      <c r="AG1035" s="40" t="s">
        <v>3685</v>
      </c>
      <c r="AH1035" s="37" t="s">
        <v>3703</v>
      </c>
    </row>
    <row r="1036" spans="1:34" ht="14.45" hidden="1" customHeight="1" x14ac:dyDescent="0.3">
      <c r="A1036" s="6" t="s">
        <v>993</v>
      </c>
      <c r="B1036" s="7">
        <v>46022</v>
      </c>
      <c r="C1036" s="6" t="s">
        <v>992</v>
      </c>
      <c r="D1036" s="6" t="s">
        <v>657</v>
      </c>
      <c r="E1036" s="6" t="s">
        <v>3235</v>
      </c>
      <c r="F1036" s="6" t="s">
        <v>3229</v>
      </c>
      <c r="G1036" s="8">
        <v>1.36442222</v>
      </c>
      <c r="H1036" s="8">
        <v>9.3446805600000005</v>
      </c>
      <c r="I1036" s="6" t="e">
        <v>#N/A</v>
      </c>
      <c r="J1036" s="6" t="s">
        <v>2459</v>
      </c>
      <c r="K1036" s="6" t="s">
        <v>2468</v>
      </c>
      <c r="L1036" s="6"/>
      <c r="M1036" s="6"/>
      <c r="N1036" s="6" t="s">
        <v>2468</v>
      </c>
      <c r="O1036" s="6" t="s">
        <v>994</v>
      </c>
      <c r="P1036" s="6"/>
      <c r="Q1036" s="6"/>
      <c r="R1036" s="6"/>
      <c r="S1036" s="6"/>
      <c r="T1036" s="6"/>
      <c r="U1036" s="6"/>
      <c r="V1036" s="6"/>
      <c r="W1036" s="6"/>
      <c r="X1036" s="8" t="e">
        <f>VLOOKUP(Tableau1[[#This Row],[SITES NAMES]],[2]Feuil1!$1:$1048576,5,FALSE)</f>
        <v>#N/A</v>
      </c>
      <c r="Y1036" s="6" t="s">
        <v>3239</v>
      </c>
      <c r="Z1036" s="6" t="s">
        <v>3253</v>
      </c>
      <c r="AA1036" s="37" t="s">
        <v>3698</v>
      </c>
      <c r="AB1036" s="38" t="s">
        <v>3683</v>
      </c>
      <c r="AC1036" s="39" t="s">
        <v>3699</v>
      </c>
      <c r="AD1036" s="39" t="s">
        <v>3700</v>
      </c>
      <c r="AE1036" s="37" t="s">
        <v>3701</v>
      </c>
      <c r="AF1036" s="39" t="s">
        <v>3702</v>
      </c>
      <c r="AG1036" s="40" t="s">
        <v>3685</v>
      </c>
      <c r="AH1036" s="37" t="s">
        <v>3703</v>
      </c>
    </row>
    <row r="1037" spans="1:34" ht="14.45" hidden="1" customHeight="1" x14ac:dyDescent="0.3">
      <c r="A1037" s="6" t="s">
        <v>996</v>
      </c>
      <c r="B1037" s="7">
        <v>0</v>
      </c>
      <c r="C1037" s="6" t="s">
        <v>995</v>
      </c>
      <c r="D1037" s="6" t="s">
        <v>657</v>
      </c>
      <c r="E1037" s="6" t="s">
        <v>3235</v>
      </c>
      <c r="F1037" s="6" t="s">
        <v>3229</v>
      </c>
      <c r="G1037" s="8">
        <v>1.210464</v>
      </c>
      <c r="H1037" s="8">
        <v>9.4747299999999992</v>
      </c>
      <c r="I1037" s="6" t="s">
        <v>2475</v>
      </c>
      <c r="J1037" s="6" t="s">
        <v>2459</v>
      </c>
      <c r="K1037" s="6" t="s">
        <v>2460</v>
      </c>
      <c r="L1037" s="6"/>
      <c r="M1037" s="6"/>
      <c r="N1037" s="6" t="s">
        <v>3268</v>
      </c>
      <c r="O1037" s="6" t="s">
        <v>7</v>
      </c>
      <c r="P1037" s="6" t="str">
        <f>VLOOKUP(Tableau1[[#This Row],[SITES NAMES]],[1]Feuil1!$1:$1048576,8,FALSE)</f>
        <v>OK</v>
      </c>
      <c r="Q1037" s="6" t="str">
        <f>VLOOKUP(Tableau1[[#This Row],[SITES NAMES]],[1]Feuil1!$1:$1048576,9,FALSE)</f>
        <v>NO</v>
      </c>
      <c r="R1037" s="6" t="str">
        <f>VLOOKUP(Tableau1[[#This Row],[SITES NAMES]],[1]Feuil1!$1:$1048576,10,FALSE)</f>
        <v>NO</v>
      </c>
      <c r="S1037" s="6" t="s">
        <v>2469</v>
      </c>
      <c r="T1037" s="6" t="s">
        <v>2470</v>
      </c>
      <c r="U1037" s="6" t="s">
        <v>2471</v>
      </c>
      <c r="V1037" s="6" t="s">
        <v>2464</v>
      </c>
      <c r="W1037" s="6" t="s">
        <v>2465</v>
      </c>
      <c r="X1037" s="8" t="s">
        <v>2834</v>
      </c>
      <c r="Y1037" s="6" t="s">
        <v>3239</v>
      </c>
      <c r="Z1037" s="6" t="s">
        <v>3253</v>
      </c>
      <c r="AA1037" s="37" t="s">
        <v>3698</v>
      </c>
      <c r="AB1037" s="38" t="s">
        <v>3683</v>
      </c>
      <c r="AC1037" s="39" t="s">
        <v>3699</v>
      </c>
      <c r="AD1037" s="39" t="s">
        <v>3700</v>
      </c>
      <c r="AE1037" s="37" t="s">
        <v>3701</v>
      </c>
      <c r="AF1037" s="39" t="s">
        <v>3702</v>
      </c>
      <c r="AG1037" s="40" t="s">
        <v>3685</v>
      </c>
      <c r="AH1037" s="37" t="s">
        <v>3703</v>
      </c>
    </row>
    <row r="1038" spans="1:34" ht="14.45" hidden="1" customHeight="1" x14ac:dyDescent="0.3">
      <c r="A1038" s="6" t="s">
        <v>897</v>
      </c>
      <c r="B1038" s="7">
        <v>0</v>
      </c>
      <c r="C1038" s="6" t="s">
        <v>896</v>
      </c>
      <c r="D1038" s="6" t="s">
        <v>657</v>
      </c>
      <c r="E1038" s="6" t="s">
        <v>3237</v>
      </c>
      <c r="F1038" s="6" t="s">
        <v>3229</v>
      </c>
      <c r="G1038" s="8">
        <v>1.21218</v>
      </c>
      <c r="H1038" s="8">
        <v>9.6651199999999999</v>
      </c>
      <c r="I1038" s="6" t="s">
        <v>2479</v>
      </c>
      <c r="J1038" s="6" t="s">
        <v>2459</v>
      </c>
      <c r="K1038" s="6" t="s">
        <v>2468</v>
      </c>
      <c r="L1038" s="6"/>
      <c r="M1038" s="6"/>
      <c r="N1038" s="6" t="s">
        <v>2468</v>
      </c>
      <c r="O1038" s="6" t="s">
        <v>7</v>
      </c>
      <c r="P1038" s="6" t="str">
        <f>VLOOKUP(Tableau1[[#This Row],[SITES NAMES]],[1]Feuil1!$1:$1048576,8,FALSE)</f>
        <v>OK</v>
      </c>
      <c r="Q1038" s="6" t="str">
        <f>VLOOKUP(Tableau1[[#This Row],[SITES NAMES]],[1]Feuil1!$1:$1048576,9,FALSE)</f>
        <v>NO</v>
      </c>
      <c r="R1038" s="6" t="str">
        <f>VLOOKUP(Tableau1[[#This Row],[SITES NAMES]],[1]Feuil1!$1:$1048576,10,FALSE)</f>
        <v>NO</v>
      </c>
      <c r="S1038" s="6" t="s">
        <v>2469</v>
      </c>
      <c r="T1038" s="6" t="s">
        <v>2470</v>
      </c>
      <c r="U1038" s="6" t="s">
        <v>2471</v>
      </c>
      <c r="V1038" s="6" t="s">
        <v>2464</v>
      </c>
      <c r="W1038" s="6" t="s">
        <v>2465</v>
      </c>
      <c r="X1038" s="8" t="s">
        <v>2803</v>
      </c>
      <c r="Y1038" s="6" t="s">
        <v>3239</v>
      </c>
      <c r="Z1038" s="6" t="s">
        <v>3253</v>
      </c>
      <c r="AA1038" s="37" t="s">
        <v>3692</v>
      </c>
      <c r="AB1038" s="38" t="s">
        <v>3683</v>
      </c>
      <c r="AC1038" s="39" t="s">
        <v>3693</v>
      </c>
      <c r="AD1038" s="39" t="s">
        <v>3694</v>
      </c>
      <c r="AE1038" s="37" t="s">
        <v>3695</v>
      </c>
      <c r="AF1038" s="39" t="s">
        <v>3696</v>
      </c>
      <c r="AG1038" s="40" t="s">
        <v>3685</v>
      </c>
      <c r="AH1038" s="37" t="s">
        <v>3697</v>
      </c>
    </row>
    <row r="1039" spans="1:34" ht="14.45" hidden="1" customHeight="1" x14ac:dyDescent="0.3">
      <c r="A1039" s="6" t="s">
        <v>745</v>
      </c>
      <c r="B1039" s="7">
        <v>0</v>
      </c>
      <c r="C1039" s="6" t="s">
        <v>744</v>
      </c>
      <c r="D1039" s="6" t="s">
        <v>657</v>
      </c>
      <c r="E1039" s="6" t="s">
        <v>658</v>
      </c>
      <c r="F1039" s="6" t="s">
        <v>3229</v>
      </c>
      <c r="G1039" s="8">
        <v>0.9657</v>
      </c>
      <c r="H1039" s="8">
        <v>9.4852900000000009</v>
      </c>
      <c r="I1039" s="6" t="s">
        <v>2477</v>
      </c>
      <c r="J1039" s="6" t="s">
        <v>2459</v>
      </c>
      <c r="K1039" s="6" t="s">
        <v>2460</v>
      </c>
      <c r="L1039" s="6"/>
      <c r="M1039" s="6"/>
      <c r="N1039" s="6" t="s">
        <v>3268</v>
      </c>
      <c r="O1039" s="6" t="s">
        <v>40</v>
      </c>
      <c r="P1039" s="6" t="str">
        <f>VLOOKUP(Tableau1[[#This Row],[SITES NAMES]],[1]Feuil1!$1:$1048576,8,FALSE)</f>
        <v>OK</v>
      </c>
      <c r="Q1039" s="6" t="str">
        <f>VLOOKUP(Tableau1[[#This Row],[SITES NAMES]],[1]Feuil1!$1:$1048576,9,FALSE)</f>
        <v>NO</v>
      </c>
      <c r="R1039" s="6" t="str">
        <f>VLOOKUP(Tableau1[[#This Row],[SITES NAMES]],[1]Feuil1!$1:$1048576,10,FALSE)</f>
        <v>NO</v>
      </c>
      <c r="S1039" s="6" t="s">
        <v>2469</v>
      </c>
      <c r="T1039" s="6" t="s">
        <v>2470</v>
      </c>
      <c r="U1039" s="6" t="s">
        <v>2471</v>
      </c>
      <c r="V1039" s="6" t="s">
        <v>2472</v>
      </c>
      <c r="W1039" s="6" t="s">
        <v>2473</v>
      </c>
      <c r="X1039" s="8" t="s">
        <v>2748</v>
      </c>
      <c r="Y1039" s="6" t="s">
        <v>3239</v>
      </c>
      <c r="Z1039" s="6" t="s">
        <v>3253</v>
      </c>
      <c r="AA1039" s="38" t="s">
        <v>3682</v>
      </c>
      <c r="AB1039" s="38" t="s">
        <v>3683</v>
      </c>
      <c r="AC1039" s="38" t="s">
        <v>3684</v>
      </c>
      <c r="AD1039" s="38" t="s">
        <v>3682</v>
      </c>
      <c r="AE1039" s="38" t="s">
        <v>3682</v>
      </c>
      <c r="AF1039" s="38" t="s">
        <v>3682</v>
      </c>
      <c r="AG1039" s="40" t="s">
        <v>3685</v>
      </c>
      <c r="AH1039" s="37" t="s">
        <v>3686</v>
      </c>
    </row>
    <row r="1040" spans="1:34" ht="14.45" hidden="1" customHeight="1" x14ac:dyDescent="0.3">
      <c r="A1040" s="6" t="s">
        <v>899</v>
      </c>
      <c r="B1040" s="7">
        <v>43715</v>
      </c>
      <c r="C1040" s="6" t="s">
        <v>898</v>
      </c>
      <c r="D1040" s="6" t="s">
        <v>657</v>
      </c>
      <c r="E1040" s="6" t="s">
        <v>3237</v>
      </c>
      <c r="F1040" s="6" t="s">
        <v>3229</v>
      </c>
      <c r="G1040" s="8">
        <v>1.2522500000000001</v>
      </c>
      <c r="H1040" s="8">
        <v>9.6332000000000004</v>
      </c>
      <c r="I1040" s="6" t="s">
        <v>2497</v>
      </c>
      <c r="J1040" s="6" t="s">
        <v>2459</v>
      </c>
      <c r="K1040" s="6" t="s">
        <v>2468</v>
      </c>
      <c r="L1040" s="6" t="s">
        <v>875</v>
      </c>
      <c r="M1040" s="6"/>
      <c r="N1040" s="6" t="s">
        <v>2468</v>
      </c>
      <c r="O1040" s="6" t="s">
        <v>7</v>
      </c>
      <c r="P1040" s="6" t="str">
        <f>VLOOKUP(Tableau1[[#This Row],[SITES NAMES]],[1]Feuil1!$1:$1048576,8,FALSE)</f>
        <v>NOK</v>
      </c>
      <c r="Q1040" s="6" t="str">
        <f>VLOOKUP(Tableau1[[#This Row],[SITES NAMES]],[1]Feuil1!$1:$1048576,9,FALSE)</f>
        <v>NO</v>
      </c>
      <c r="R1040" s="6" t="str">
        <f>VLOOKUP(Tableau1[[#This Row],[SITES NAMES]],[1]Feuil1!$1:$1048576,10,FALSE)</f>
        <v>NO</v>
      </c>
      <c r="S1040" s="6" t="s">
        <v>2461</v>
      </c>
      <c r="T1040" s="6" t="s">
        <v>2462</v>
      </c>
      <c r="U1040" s="6" t="s">
        <v>2463</v>
      </c>
      <c r="V1040" s="6" t="s">
        <v>2472</v>
      </c>
      <c r="W1040" s="6" t="s">
        <v>2476</v>
      </c>
      <c r="X1040" s="8">
        <v>70997137</v>
      </c>
      <c r="Y1040" s="6" t="s">
        <v>3239</v>
      </c>
      <c r="Z1040" s="6" t="s">
        <v>3253</v>
      </c>
      <c r="AA1040" s="37" t="s">
        <v>3692</v>
      </c>
      <c r="AB1040" s="38" t="s">
        <v>3683</v>
      </c>
      <c r="AC1040" s="39" t="s">
        <v>3693</v>
      </c>
      <c r="AD1040" s="39" t="s">
        <v>3694</v>
      </c>
      <c r="AE1040" s="37" t="s">
        <v>3695</v>
      </c>
      <c r="AF1040" s="39" t="s">
        <v>3696</v>
      </c>
      <c r="AG1040" s="40" t="s">
        <v>3685</v>
      </c>
      <c r="AH1040" s="37" t="s">
        <v>3697</v>
      </c>
    </row>
    <row r="1041" spans="1:34" ht="14.45" hidden="1" customHeight="1" x14ac:dyDescent="0.3">
      <c r="A1041" s="6" t="s">
        <v>2322</v>
      </c>
      <c r="B1041" s="7">
        <v>44607</v>
      </c>
      <c r="C1041" s="6" t="s">
        <v>2321</v>
      </c>
      <c r="D1041" s="6" t="s">
        <v>320</v>
      </c>
      <c r="E1041" s="6" t="s">
        <v>2274</v>
      </c>
      <c r="F1041" s="6" t="s">
        <v>3229</v>
      </c>
      <c r="G1041" s="8">
        <v>1.48544999</v>
      </c>
      <c r="H1041" s="8">
        <v>8.7850169999999999</v>
      </c>
      <c r="I1041" s="6" t="s">
        <v>2477</v>
      </c>
      <c r="J1041" s="6" t="s">
        <v>2459</v>
      </c>
      <c r="K1041" s="6" t="s">
        <v>2468</v>
      </c>
      <c r="L1041" s="6" t="s">
        <v>2312</v>
      </c>
      <c r="M1041" s="6"/>
      <c r="N1041" s="6" t="s">
        <v>2468</v>
      </c>
      <c r="O1041" s="6" t="s">
        <v>40</v>
      </c>
      <c r="P1041" s="6" t="str">
        <f>VLOOKUP(Tableau1[[#This Row],[SITES NAMES]],[1]Feuil1!$1:$1048576,8,FALSE)</f>
        <v>NOK</v>
      </c>
      <c r="Q1041" s="6" t="str">
        <f>VLOOKUP(Tableau1[[#This Row],[SITES NAMES]],[1]Feuil1!$1:$1048576,9,FALSE)</f>
        <v>NO</v>
      </c>
      <c r="R1041" s="6" t="str">
        <f>VLOOKUP(Tableau1[[#This Row],[SITES NAMES]],[1]Feuil1!$1:$1048576,10,FALSE)</f>
        <v>YES</v>
      </c>
      <c r="S1041" s="6" t="s">
        <v>2469</v>
      </c>
      <c r="T1041" s="6" t="s">
        <v>2470</v>
      </c>
      <c r="U1041" s="6" t="s">
        <v>2471</v>
      </c>
      <c r="V1041" s="6" t="s">
        <v>2472</v>
      </c>
      <c r="W1041" s="6" t="s">
        <v>2473</v>
      </c>
      <c r="X1041" s="8"/>
      <c r="Y1041" s="6" t="s">
        <v>3238</v>
      </c>
      <c r="Z1041" s="6" t="s">
        <v>3254</v>
      </c>
      <c r="AA1041" s="37" t="s">
        <v>3678</v>
      </c>
      <c r="AB1041" s="39" t="s">
        <v>3665</v>
      </c>
      <c r="AC1041" s="37" t="s">
        <v>3679</v>
      </c>
      <c r="AD1041" s="37" t="s">
        <v>3678</v>
      </c>
      <c r="AE1041" s="37" t="s">
        <v>3680</v>
      </c>
      <c r="AF1041" s="39" t="s">
        <v>3676</v>
      </c>
      <c r="AG1041" s="37" t="s">
        <v>3670</v>
      </c>
      <c r="AH1041" s="37" t="s">
        <v>3681</v>
      </c>
    </row>
    <row r="1042" spans="1:34" ht="14.45" customHeight="1" x14ac:dyDescent="0.25">
      <c r="A1042" s="6" t="s">
        <v>1952</v>
      </c>
      <c r="B1042" s="7">
        <v>0</v>
      </c>
      <c r="C1042" s="6" t="s">
        <v>1951</v>
      </c>
      <c r="D1042" s="6" t="s">
        <v>66</v>
      </c>
      <c r="E1042" s="6" t="s">
        <v>3232</v>
      </c>
      <c r="F1042" s="6" t="s">
        <v>3229</v>
      </c>
      <c r="G1042" s="8">
        <v>1.245769444</v>
      </c>
      <c r="H1042" s="8">
        <v>6.1363529339999996</v>
      </c>
      <c r="I1042" s="6" t="s">
        <v>2497</v>
      </c>
      <c r="J1042" s="6" t="s">
        <v>2459</v>
      </c>
      <c r="K1042" s="6" t="s">
        <v>2460</v>
      </c>
      <c r="L1042" s="6"/>
      <c r="M1042" s="6"/>
      <c r="N1042" s="6" t="s">
        <v>3268</v>
      </c>
      <c r="O1042" s="6" t="s">
        <v>1206</v>
      </c>
      <c r="P1042" s="6"/>
      <c r="Q1042" s="6" t="str">
        <f>VLOOKUP(Tableau1[[#This Row],[SITES NAMES]],[1]Feuil1!$1:$1048576,9,FALSE)</f>
        <v>YES</v>
      </c>
      <c r="R1042" s="6" t="str">
        <f>VLOOKUP(Tableau1[[#This Row],[SITES NAMES]],[1]Feuil1!$1:$1048576,10,FALSE)</f>
        <v>YES</v>
      </c>
      <c r="S1042" s="6" t="s">
        <v>2461</v>
      </c>
      <c r="T1042" s="6" t="s">
        <v>2462</v>
      </c>
      <c r="U1042" s="6" t="s">
        <v>2463</v>
      </c>
      <c r="V1042" s="6" t="s">
        <v>2472</v>
      </c>
      <c r="W1042" s="6" t="s">
        <v>2476</v>
      </c>
      <c r="X1042" s="8"/>
      <c r="Y1042" s="6" t="s">
        <v>3238</v>
      </c>
      <c r="Z1042" s="6" t="s">
        <v>3262</v>
      </c>
      <c r="AA1042" s="35" t="s">
        <v>3621</v>
      </c>
      <c r="AB1042" s="35" t="s">
        <v>3608</v>
      </c>
      <c r="AC1042" s="35" t="s">
        <v>3624</v>
      </c>
      <c r="AD1042" s="35" t="s">
        <v>3610</v>
      </c>
      <c r="AE1042" s="35" t="s">
        <v>3610</v>
      </c>
      <c r="AF1042" s="35" t="s">
        <v>3611</v>
      </c>
      <c r="AG1042" s="35" t="s">
        <v>3612</v>
      </c>
      <c r="AH1042" s="35" t="s">
        <v>3625</v>
      </c>
    </row>
    <row r="1043" spans="1:34" ht="14.45" hidden="1" customHeight="1" x14ac:dyDescent="0.25">
      <c r="A1043" s="6" t="s">
        <v>1821</v>
      </c>
      <c r="B1043" s="7">
        <v>0</v>
      </c>
      <c r="C1043" s="6" t="s">
        <v>1820</v>
      </c>
      <c r="D1043" s="6" t="s">
        <v>66</v>
      </c>
      <c r="E1043" s="6" t="s">
        <v>3234</v>
      </c>
      <c r="F1043" s="18" t="s">
        <v>3230</v>
      </c>
      <c r="G1043" s="8">
        <v>1.181395</v>
      </c>
      <c r="H1043" s="8">
        <v>6.1786791479999996</v>
      </c>
      <c r="I1043" s="6" t="s">
        <v>2497</v>
      </c>
      <c r="J1043" s="6" t="s">
        <v>2459</v>
      </c>
      <c r="K1043" s="6" t="s">
        <v>2460</v>
      </c>
      <c r="L1043" s="6"/>
      <c r="M1043" s="6"/>
      <c r="N1043" s="6" t="s">
        <v>3268</v>
      </c>
      <c r="O1043" s="6" t="s">
        <v>7</v>
      </c>
      <c r="P1043" s="6" t="str">
        <f>VLOOKUP(Tableau1[[#This Row],[SITES NAMES]],[1]Feuil1!$1:$1048576,8,FALSE)</f>
        <v>OK</v>
      </c>
      <c r="Q1043" s="6" t="str">
        <f>VLOOKUP(Tableau1[[#This Row],[SITES NAMES]],[1]Feuil1!$1:$1048576,9,FALSE)</f>
        <v>NO</v>
      </c>
      <c r="R1043" s="6" t="str">
        <f>VLOOKUP(Tableau1[[#This Row],[SITES NAMES]],[1]Feuil1!$1:$1048576,10,FALSE)</f>
        <v>NO</v>
      </c>
      <c r="S1043" s="6" t="s">
        <v>2469</v>
      </c>
      <c r="T1043" s="6" t="s">
        <v>2470</v>
      </c>
      <c r="U1043" s="6" t="s">
        <v>2471</v>
      </c>
      <c r="V1043" s="6" t="s">
        <v>2464</v>
      </c>
      <c r="W1043" s="6" t="s">
        <v>2476</v>
      </c>
      <c r="X1043" s="8" t="s">
        <v>3035</v>
      </c>
      <c r="Y1043" s="6" t="s">
        <v>3238</v>
      </c>
      <c r="Z1043" s="6" t="s">
        <v>3265</v>
      </c>
      <c r="AA1043" s="35" t="s">
        <v>3607</v>
      </c>
      <c r="AB1043" s="35" t="s">
        <v>3608</v>
      </c>
      <c r="AC1043" s="35" t="s">
        <v>3614</v>
      </c>
      <c r="AD1043" s="35" t="s">
        <v>3610</v>
      </c>
      <c r="AE1043" s="35" t="s">
        <v>3610</v>
      </c>
      <c r="AF1043" s="35" t="s">
        <v>3611</v>
      </c>
      <c r="AG1043" s="35" t="s">
        <v>3612</v>
      </c>
      <c r="AH1043" s="35" t="s">
        <v>3615</v>
      </c>
    </row>
    <row r="1044" spans="1:34" ht="14.45" hidden="1" customHeight="1" x14ac:dyDescent="0.25">
      <c r="A1044" s="6" t="s">
        <v>1558</v>
      </c>
      <c r="B1044" s="7">
        <v>44066</v>
      </c>
      <c r="C1044" s="6" t="s">
        <v>1557</v>
      </c>
      <c r="D1044" s="6" t="s">
        <v>66</v>
      </c>
      <c r="E1044" s="6" t="s">
        <v>3233</v>
      </c>
      <c r="F1044" s="6" t="s">
        <v>3229</v>
      </c>
      <c r="G1044" s="8">
        <v>1.2008799999999999</v>
      </c>
      <c r="H1044" s="8">
        <v>6.1959400000000002</v>
      </c>
      <c r="I1044" s="6" t="s">
        <v>2497</v>
      </c>
      <c r="J1044" s="6" t="s">
        <v>2459</v>
      </c>
      <c r="K1044" s="6" t="s">
        <v>2460</v>
      </c>
      <c r="L1044" s="6"/>
      <c r="M1044" s="6"/>
      <c r="N1044" s="6" t="s">
        <v>3268</v>
      </c>
      <c r="O1044" s="6" t="s">
        <v>1206</v>
      </c>
      <c r="P1044" s="6"/>
      <c r="Q1044" s="6" t="str">
        <f>VLOOKUP(Tableau1[[#This Row],[SITES NAMES]],[1]Feuil1!$1:$1048576,9,FALSE)</f>
        <v>YES</v>
      </c>
      <c r="R1044" s="6" t="str">
        <f>VLOOKUP(Tableau1[[#This Row],[SITES NAMES]],[1]Feuil1!$1:$1048576,10,FALSE)</f>
        <v>NO</v>
      </c>
      <c r="S1044" s="6" t="s">
        <v>2469</v>
      </c>
      <c r="T1044" s="6" t="s">
        <v>2470</v>
      </c>
      <c r="U1044" s="6" t="s">
        <v>2471</v>
      </c>
      <c r="V1044" s="6" t="s">
        <v>2478</v>
      </c>
      <c r="W1044" s="6" t="s">
        <v>2476</v>
      </c>
      <c r="X1044" s="8"/>
      <c r="Y1044" s="6" t="s">
        <v>3238</v>
      </c>
      <c r="Z1044" s="6" t="s">
        <v>3264</v>
      </c>
      <c r="AA1044" s="35" t="s">
        <v>3616</v>
      </c>
      <c r="AB1044" s="35" t="s">
        <v>3608</v>
      </c>
      <c r="AC1044" s="35" t="s">
        <v>3617</v>
      </c>
      <c r="AD1044" s="35" t="s">
        <v>3610</v>
      </c>
      <c r="AE1044" s="35" t="s">
        <v>3610</v>
      </c>
      <c r="AF1044" s="35" t="s">
        <v>3611</v>
      </c>
      <c r="AG1044" s="35" t="s">
        <v>3612</v>
      </c>
      <c r="AH1044" s="35" t="s">
        <v>3618</v>
      </c>
    </row>
    <row r="1045" spans="1:34" ht="14.45" hidden="1" customHeight="1" x14ac:dyDescent="0.25">
      <c r="A1045" s="6" t="s">
        <v>1954</v>
      </c>
      <c r="B1045" s="7">
        <v>0</v>
      </c>
      <c r="C1045" s="6" t="s">
        <v>1953</v>
      </c>
      <c r="D1045" s="6" t="s">
        <v>66</v>
      </c>
      <c r="E1045" s="6" t="s">
        <v>3232</v>
      </c>
      <c r="F1045" s="6" t="s">
        <v>3229</v>
      </c>
      <c r="G1045" s="8">
        <v>1.236583333</v>
      </c>
      <c r="H1045" s="8">
        <v>6.1500277780000001</v>
      </c>
      <c r="I1045" s="6" t="s">
        <v>2497</v>
      </c>
      <c r="J1045" s="6" t="s">
        <v>2459</v>
      </c>
      <c r="K1045" s="6" t="s">
        <v>2460</v>
      </c>
      <c r="L1045" s="6"/>
      <c r="M1045" s="6"/>
      <c r="N1045" s="6" t="s">
        <v>3268</v>
      </c>
      <c r="O1045" s="6" t="s">
        <v>7</v>
      </c>
      <c r="P1045" s="6" t="str">
        <f>VLOOKUP(Tableau1[[#This Row],[SITES NAMES]],[1]Feuil1!$1:$1048576,8,FALSE)</f>
        <v>OK</v>
      </c>
      <c r="Q1045" s="6" t="str">
        <f>VLOOKUP(Tableau1[[#This Row],[SITES NAMES]],[1]Feuil1!$1:$1048576,9,FALSE)</f>
        <v>NO</v>
      </c>
      <c r="R1045" s="6" t="str">
        <f>VLOOKUP(Tableau1[[#This Row],[SITES NAMES]],[1]Feuil1!$1:$1048576,10,FALSE)</f>
        <v>NO</v>
      </c>
      <c r="S1045" s="6" t="s">
        <v>2461</v>
      </c>
      <c r="T1045" s="6" t="s">
        <v>2462</v>
      </c>
      <c r="U1045" s="6" t="s">
        <v>2463</v>
      </c>
      <c r="V1045" s="6" t="s">
        <v>2464</v>
      </c>
      <c r="W1045" s="6" t="s">
        <v>2476</v>
      </c>
      <c r="X1045" s="8" t="s">
        <v>3062</v>
      </c>
      <c r="Y1045" s="6" t="s">
        <v>3238</v>
      </c>
      <c r="Z1045" s="6" t="s">
        <v>3262</v>
      </c>
      <c r="AA1045" s="35" t="s">
        <v>3621</v>
      </c>
      <c r="AB1045" s="35" t="s">
        <v>3608</v>
      </c>
      <c r="AC1045" s="35" t="s">
        <v>3624</v>
      </c>
      <c r="AD1045" s="35" t="s">
        <v>3610</v>
      </c>
      <c r="AE1045" s="35" t="s">
        <v>3610</v>
      </c>
      <c r="AF1045" s="35" t="s">
        <v>3611</v>
      </c>
      <c r="AG1045" s="35" t="s">
        <v>3612</v>
      </c>
      <c r="AH1045" s="35" t="s">
        <v>3625</v>
      </c>
    </row>
    <row r="1046" spans="1:34" ht="14.45" hidden="1" customHeight="1" x14ac:dyDescent="0.3">
      <c r="A1046" s="6" t="s">
        <v>2040</v>
      </c>
      <c r="B1046" s="7">
        <v>45029</v>
      </c>
      <c r="C1046" s="6" t="s">
        <v>2039</v>
      </c>
      <c r="D1046" s="6" t="s">
        <v>395</v>
      </c>
      <c r="E1046" s="6" t="s">
        <v>1965</v>
      </c>
      <c r="F1046" s="6" t="s">
        <v>3229</v>
      </c>
      <c r="G1046" s="8">
        <v>0.54557</v>
      </c>
      <c r="H1046" s="8">
        <v>10.081</v>
      </c>
      <c r="I1046" s="6" t="s">
        <v>2477</v>
      </c>
      <c r="J1046" s="6" t="s">
        <v>2459</v>
      </c>
      <c r="K1046" s="6" t="s">
        <v>2468</v>
      </c>
      <c r="L1046" s="6" t="s">
        <v>1985</v>
      </c>
      <c r="M1046" s="6"/>
      <c r="N1046" s="6" t="s">
        <v>2468</v>
      </c>
      <c r="O1046" s="6" t="s">
        <v>40</v>
      </c>
      <c r="P1046" s="6" t="str">
        <f>VLOOKUP(Tableau1[[#This Row],[SITES NAMES]],[1]Feuil1!$1:$1048576,8,FALSE)</f>
        <v>OK</v>
      </c>
      <c r="Q1046" s="6" t="str">
        <f>VLOOKUP(Tableau1[[#This Row],[SITES NAMES]],[1]Feuil1!$1:$1048576,9,FALSE)</f>
        <v>NO</v>
      </c>
      <c r="R1046" s="6" t="str">
        <f>VLOOKUP(Tableau1[[#This Row],[SITES NAMES]],[1]Feuil1!$1:$1048576,10,FALSE)</f>
        <v>YES</v>
      </c>
      <c r="S1046" s="6" t="s">
        <v>2469</v>
      </c>
      <c r="T1046" s="6" t="s">
        <v>2470</v>
      </c>
      <c r="U1046" s="6" t="s">
        <v>2480</v>
      </c>
      <c r="V1046" s="6" t="s">
        <v>2472</v>
      </c>
      <c r="W1046" s="6" t="s">
        <v>2473</v>
      </c>
      <c r="X1046" s="8">
        <v>70997275</v>
      </c>
      <c r="Y1046" s="6" t="s">
        <v>3240</v>
      </c>
      <c r="Z1046" s="6" t="s">
        <v>3255</v>
      </c>
      <c r="AA1046" s="37" t="s">
        <v>3712</v>
      </c>
      <c r="AB1046" s="39" t="s">
        <v>3705</v>
      </c>
      <c r="AC1046" s="37" t="s">
        <v>3713</v>
      </c>
      <c r="AD1046" s="37" t="s">
        <v>3712</v>
      </c>
      <c r="AE1046" s="37" t="s">
        <v>3712</v>
      </c>
      <c r="AF1046" s="37" t="s">
        <v>3712</v>
      </c>
      <c r="AG1046" s="40" t="s">
        <v>3714</v>
      </c>
      <c r="AH1046" s="37" t="s">
        <v>3715</v>
      </c>
    </row>
    <row r="1047" spans="1:34" ht="14.45" hidden="1" customHeight="1" x14ac:dyDescent="0.3">
      <c r="A1047" s="6" t="s">
        <v>107</v>
      </c>
      <c r="B1047" s="7" t="s">
        <v>2514</v>
      </c>
      <c r="C1047" s="6" t="s">
        <v>106</v>
      </c>
      <c r="D1047" s="6" t="s">
        <v>5</v>
      </c>
      <c r="E1047" s="6" t="s">
        <v>6</v>
      </c>
      <c r="F1047" s="18" t="s">
        <v>3230</v>
      </c>
      <c r="G1047" s="8">
        <v>1.50261</v>
      </c>
      <c r="H1047" s="8">
        <v>6.5933900000000003</v>
      </c>
      <c r="I1047" s="6" t="s">
        <v>2497</v>
      </c>
      <c r="J1047" s="6" t="s">
        <v>2459</v>
      </c>
      <c r="K1047" s="6" t="s">
        <v>2460</v>
      </c>
      <c r="L1047" s="6"/>
      <c r="M1047" s="6"/>
      <c r="N1047" s="6" t="s">
        <v>3268</v>
      </c>
      <c r="O1047" s="6" t="s">
        <v>7</v>
      </c>
      <c r="P1047" s="6" t="str">
        <f>VLOOKUP(Tableau1[[#This Row],[SITES NAMES]],[1]Feuil1!$1:$1048576,8,FALSE)</f>
        <v>OK</v>
      </c>
      <c r="Q1047" s="6" t="str">
        <f>VLOOKUP(Tableau1[[#This Row],[SITES NAMES]],[1]Feuil1!$1:$1048576,9,FALSE)</f>
        <v>NO</v>
      </c>
      <c r="R1047" s="6" t="str">
        <f>VLOOKUP(Tableau1[[#This Row],[SITES NAMES]],[1]Feuil1!$1:$1048576,10,FALSE)</f>
        <v>NO</v>
      </c>
      <c r="S1047" s="6" t="s">
        <v>2469</v>
      </c>
      <c r="T1047" s="6" t="s">
        <v>2470</v>
      </c>
      <c r="U1047" s="6" t="s">
        <v>2480</v>
      </c>
      <c r="V1047" s="6" t="s">
        <v>2464</v>
      </c>
      <c r="W1047" s="6" t="s">
        <v>2476</v>
      </c>
      <c r="X1047" s="8" t="s">
        <v>2515</v>
      </c>
      <c r="Y1047" s="6" t="s">
        <v>3241</v>
      </c>
      <c r="Z1047" s="6"/>
      <c r="AA1047" s="37" t="s">
        <v>3626</v>
      </c>
      <c r="AB1047" s="38" t="s">
        <v>3627</v>
      </c>
      <c r="AC1047" s="37" t="s">
        <v>3633</v>
      </c>
      <c r="AD1047" s="37" t="s">
        <v>3628</v>
      </c>
      <c r="AE1047" s="37" t="s">
        <v>3629</v>
      </c>
      <c r="AF1047" s="39" t="s">
        <v>3630</v>
      </c>
      <c r="AG1047" s="37" t="s">
        <v>3631</v>
      </c>
      <c r="AH1047" s="37" t="s">
        <v>3632</v>
      </c>
    </row>
    <row r="1048" spans="1:34" ht="14.45" hidden="1" customHeight="1" x14ac:dyDescent="0.3">
      <c r="A1048" s="6" t="s">
        <v>32</v>
      </c>
      <c r="B1048" s="7">
        <v>44786</v>
      </c>
      <c r="C1048" s="6" t="s">
        <v>31</v>
      </c>
      <c r="D1048" s="6" t="s">
        <v>5</v>
      </c>
      <c r="E1048" s="6" t="s">
        <v>6</v>
      </c>
      <c r="F1048" s="6" t="s">
        <v>3229</v>
      </c>
      <c r="G1048" s="8">
        <v>1.4906189999999999</v>
      </c>
      <c r="H1048" s="8">
        <v>6.5965420000000003</v>
      </c>
      <c r="I1048" s="6" t="s">
        <v>2479</v>
      </c>
      <c r="J1048" s="6" t="s">
        <v>2459</v>
      </c>
      <c r="K1048" s="6" t="s">
        <v>2460</v>
      </c>
      <c r="L1048" s="6"/>
      <c r="M1048" s="6"/>
      <c r="N1048" s="6" t="s">
        <v>3268</v>
      </c>
      <c r="O1048" s="6" t="s">
        <v>7</v>
      </c>
      <c r="P1048" s="6" t="str">
        <f>VLOOKUP(Tableau1[[#This Row],[SITES NAMES]],[1]Feuil1!$1:$1048576,8,FALSE)</f>
        <v>OK</v>
      </c>
      <c r="Q1048" s="6" t="str">
        <f>VLOOKUP(Tableau1[[#This Row],[SITES NAMES]],[1]Feuil1!$1:$1048576,9,FALSE)</f>
        <v>NO</v>
      </c>
      <c r="R1048" s="6" t="str">
        <f>VLOOKUP(Tableau1[[#This Row],[SITES NAMES]],[1]Feuil1!$1:$1048576,10,FALSE)</f>
        <v>YES</v>
      </c>
      <c r="S1048" s="6" t="s">
        <v>2461</v>
      </c>
      <c r="T1048" s="6" t="s">
        <v>2462</v>
      </c>
      <c r="U1048" s="6" t="s">
        <v>2463</v>
      </c>
      <c r="V1048" s="6" t="s">
        <v>2464</v>
      </c>
      <c r="W1048" s="6" t="s">
        <v>2476</v>
      </c>
      <c r="X1048" s="8"/>
      <c r="Y1048" s="6" t="s">
        <v>3241</v>
      </c>
      <c r="Z1048" s="6"/>
      <c r="AA1048" s="37" t="s">
        <v>3626</v>
      </c>
      <c r="AB1048" s="38" t="s">
        <v>3627</v>
      </c>
      <c r="AC1048" s="37" t="s">
        <v>3633</v>
      </c>
      <c r="AD1048" s="37" t="s">
        <v>3628</v>
      </c>
      <c r="AE1048" s="37" t="s">
        <v>3629</v>
      </c>
      <c r="AF1048" s="39" t="s">
        <v>3630</v>
      </c>
      <c r="AG1048" s="37" t="s">
        <v>3631</v>
      </c>
      <c r="AH1048" s="37" t="s">
        <v>3632</v>
      </c>
    </row>
    <row r="1049" spans="1:34" ht="14.45" hidden="1" customHeight="1" x14ac:dyDescent="0.3">
      <c r="A1049" s="6" t="s">
        <v>109</v>
      </c>
      <c r="B1049" s="7">
        <v>0</v>
      </c>
      <c r="C1049" s="6" t="s">
        <v>108</v>
      </c>
      <c r="D1049" s="6" t="s">
        <v>5</v>
      </c>
      <c r="E1049" s="6" t="s">
        <v>6</v>
      </c>
      <c r="F1049" s="6" t="s">
        <v>3229</v>
      </c>
      <c r="G1049" s="8">
        <v>1.4902599999999999</v>
      </c>
      <c r="H1049" s="8">
        <v>6.5846400000000003</v>
      </c>
      <c r="I1049" s="6" t="s">
        <v>2497</v>
      </c>
      <c r="J1049" s="6" t="s">
        <v>2459</v>
      </c>
      <c r="K1049" s="6" t="s">
        <v>2460</v>
      </c>
      <c r="L1049" s="6"/>
      <c r="M1049" s="6"/>
      <c r="N1049" s="6" t="s">
        <v>3268</v>
      </c>
      <c r="O1049" s="6" t="s">
        <v>7</v>
      </c>
      <c r="P1049" s="6" t="str">
        <f>VLOOKUP(Tableau1[[#This Row],[SITES NAMES]],[1]Feuil1!$1:$1048576,8,FALSE)</f>
        <v>OK</v>
      </c>
      <c r="Q1049" s="6" t="str">
        <f>VLOOKUP(Tableau1[[#This Row],[SITES NAMES]],[1]Feuil1!$1:$1048576,9,FALSE)</f>
        <v>NO</v>
      </c>
      <c r="R1049" s="6" t="str">
        <f>VLOOKUP(Tableau1[[#This Row],[SITES NAMES]],[1]Feuil1!$1:$1048576,10,FALSE)</f>
        <v>NO</v>
      </c>
      <c r="S1049" s="6" t="s">
        <v>2469</v>
      </c>
      <c r="T1049" s="6" t="s">
        <v>2470</v>
      </c>
      <c r="U1049" s="6" t="s">
        <v>2480</v>
      </c>
      <c r="V1049" s="6" t="s">
        <v>2464</v>
      </c>
      <c r="W1049" s="6" t="s">
        <v>2476</v>
      </c>
      <c r="X1049" s="8" t="s">
        <v>2516</v>
      </c>
      <c r="Y1049" s="6" t="s">
        <v>3241</v>
      </c>
      <c r="Z1049" s="6"/>
      <c r="AA1049" s="37" t="s">
        <v>3626</v>
      </c>
      <c r="AB1049" s="38" t="s">
        <v>3627</v>
      </c>
      <c r="AC1049" s="37" t="s">
        <v>3633</v>
      </c>
      <c r="AD1049" s="37" t="s">
        <v>3628</v>
      </c>
      <c r="AE1049" s="37" t="s">
        <v>3629</v>
      </c>
      <c r="AF1049" s="39" t="s">
        <v>3630</v>
      </c>
      <c r="AG1049" s="37" t="s">
        <v>3631</v>
      </c>
      <c r="AH1049" s="37" t="s">
        <v>3632</v>
      </c>
    </row>
    <row r="1050" spans="1:34" ht="14.45" hidden="1" customHeight="1" x14ac:dyDescent="0.3">
      <c r="A1050" s="6" t="s">
        <v>44</v>
      </c>
      <c r="B1050" s="7">
        <v>46022</v>
      </c>
      <c r="C1050" s="6" t="s">
        <v>43</v>
      </c>
      <c r="D1050" s="6" t="s">
        <v>5</v>
      </c>
      <c r="E1050" s="6" t="s">
        <v>6</v>
      </c>
      <c r="F1050" s="6" t="s">
        <v>3229</v>
      </c>
      <c r="G1050" s="8">
        <v>1.493676</v>
      </c>
      <c r="H1050" s="8">
        <v>6.5917180000000002</v>
      </c>
      <c r="I1050" s="15" t="s">
        <v>3227</v>
      </c>
      <c r="J1050" s="6" t="s">
        <v>2459</v>
      </c>
      <c r="K1050" s="6" t="s">
        <v>2460</v>
      </c>
      <c r="L1050" s="6"/>
      <c r="M1050" s="6"/>
      <c r="N1050" s="6" t="s">
        <v>3268</v>
      </c>
      <c r="O1050" s="6" t="s">
        <v>7</v>
      </c>
      <c r="P1050" s="6"/>
      <c r="Q1050" s="6"/>
      <c r="R1050" s="6"/>
      <c r="S1050" s="6"/>
      <c r="T1050" s="6"/>
      <c r="U1050" s="6"/>
      <c r="V1050" s="6"/>
      <c r="W1050" s="6"/>
      <c r="X1050" s="8"/>
      <c r="Y1050" s="6" t="s">
        <v>3241</v>
      </c>
      <c r="Z1050" s="6"/>
      <c r="AA1050" s="37" t="s">
        <v>3626</v>
      </c>
      <c r="AB1050" s="38" t="s">
        <v>3627</v>
      </c>
      <c r="AC1050" s="37" t="s">
        <v>3633</v>
      </c>
      <c r="AD1050" s="37" t="s">
        <v>3628</v>
      </c>
      <c r="AE1050" s="37" t="s">
        <v>3629</v>
      </c>
      <c r="AF1050" s="39" t="s">
        <v>3630</v>
      </c>
      <c r="AG1050" s="37" t="s">
        <v>3631</v>
      </c>
      <c r="AH1050" s="37" t="s">
        <v>3632</v>
      </c>
    </row>
    <row r="1051" spans="1:34" ht="14.45" hidden="1" customHeight="1" x14ac:dyDescent="0.3">
      <c r="A1051" s="6" t="s">
        <v>376</v>
      </c>
      <c r="B1051" s="7">
        <v>0</v>
      </c>
      <c r="C1051" s="6" t="s">
        <v>375</v>
      </c>
      <c r="D1051" s="6" t="s">
        <v>320</v>
      </c>
      <c r="E1051" s="6" t="s">
        <v>321</v>
      </c>
      <c r="F1051" s="6" t="s">
        <v>3229</v>
      </c>
      <c r="G1051" s="8">
        <v>0.81176999999999999</v>
      </c>
      <c r="H1051" s="8">
        <v>8.2205700000000004</v>
      </c>
      <c r="I1051" s="6" t="s">
        <v>2479</v>
      </c>
      <c r="J1051" s="6" t="s">
        <v>2459</v>
      </c>
      <c r="K1051" s="6" t="s">
        <v>2460</v>
      </c>
      <c r="L1051" s="6"/>
      <c r="M1051" s="6"/>
      <c r="N1051" s="6" t="s">
        <v>3268</v>
      </c>
      <c r="O1051" s="6" t="s">
        <v>18</v>
      </c>
      <c r="P1051" s="6" t="str">
        <f>VLOOKUP(Tableau1[[#This Row],[SITES NAMES]],[1]Feuil1!$1:$1048576,8,FALSE)</f>
        <v>NOK</v>
      </c>
      <c r="Q1051" s="6" t="str">
        <f>VLOOKUP(Tableau1[[#This Row],[SITES NAMES]],[1]Feuil1!$1:$1048576,9,FALSE)</f>
        <v>NO</v>
      </c>
      <c r="R1051" s="6" t="str">
        <f>VLOOKUP(Tableau1[[#This Row],[SITES NAMES]],[1]Feuil1!$1:$1048576,10,FALSE)</f>
        <v>NO</v>
      </c>
      <c r="S1051" s="6" t="s">
        <v>2469</v>
      </c>
      <c r="T1051" s="6" t="s">
        <v>2470</v>
      </c>
      <c r="U1051" s="6" t="s">
        <v>2471</v>
      </c>
      <c r="V1051" s="6" t="s">
        <v>2464</v>
      </c>
      <c r="W1051" s="6" t="s">
        <v>2473</v>
      </c>
      <c r="X1051" s="8" t="s">
        <v>2610</v>
      </c>
      <c r="Y1051" s="6" t="s">
        <v>3238</v>
      </c>
      <c r="Z1051" s="6" t="s">
        <v>3266</v>
      </c>
      <c r="AA1051" s="37" t="s">
        <v>3664</v>
      </c>
      <c r="AB1051" s="39" t="s">
        <v>3665</v>
      </c>
      <c r="AC1051" s="37" t="s">
        <v>3666</v>
      </c>
      <c r="AD1051" s="37" t="s">
        <v>3667</v>
      </c>
      <c r="AE1051" s="37" t="s">
        <v>3668</v>
      </c>
      <c r="AF1051" s="37" t="s">
        <v>3669</v>
      </c>
      <c r="AG1051" s="37" t="s">
        <v>3670</v>
      </c>
      <c r="AH1051" s="37" t="s">
        <v>3671</v>
      </c>
    </row>
    <row r="1052" spans="1:34" ht="14.45" hidden="1" customHeight="1" x14ac:dyDescent="0.3">
      <c r="A1052" s="6" t="s">
        <v>2126</v>
      </c>
      <c r="B1052" s="7">
        <v>0</v>
      </c>
      <c r="C1052" s="6" t="s">
        <v>2125</v>
      </c>
      <c r="D1052" s="6" t="s">
        <v>132</v>
      </c>
      <c r="E1052" s="6" t="s">
        <v>2049</v>
      </c>
      <c r="F1052" s="6" t="s">
        <v>3229</v>
      </c>
      <c r="G1052" s="8">
        <v>1.58656</v>
      </c>
      <c r="H1052" s="8">
        <v>7.14785</v>
      </c>
      <c r="I1052" s="6" t="s">
        <v>2467</v>
      </c>
      <c r="J1052" s="6" t="s">
        <v>2459</v>
      </c>
      <c r="K1052" s="6" t="s">
        <v>2460</v>
      </c>
      <c r="L1052" s="6" t="s">
        <v>3460</v>
      </c>
      <c r="M1052" s="6"/>
      <c r="N1052" s="6" t="s">
        <v>3268</v>
      </c>
      <c r="O1052" s="6" t="s">
        <v>18</v>
      </c>
      <c r="P1052" s="6" t="str">
        <f>VLOOKUP(Tableau1[[#This Row],[SITES NAMES]],[1]Feuil1!$1:$1048576,8,FALSE)</f>
        <v>NOK</v>
      </c>
      <c r="Q1052" s="6" t="str">
        <f>VLOOKUP(Tableau1[[#This Row],[SITES NAMES]],[1]Feuil1!$1:$1048576,9,FALSE)</f>
        <v>NO</v>
      </c>
      <c r="R1052" s="6" t="str">
        <f>VLOOKUP(Tableau1[[#This Row],[SITES NAMES]],[1]Feuil1!$1:$1048576,10,FALSE)</f>
        <v>NO</v>
      </c>
      <c r="S1052" s="6" t="s">
        <v>2469</v>
      </c>
      <c r="T1052" s="6" t="s">
        <v>2470</v>
      </c>
      <c r="U1052" s="6" t="s">
        <v>2471</v>
      </c>
      <c r="V1052" s="6" t="s">
        <v>2472</v>
      </c>
      <c r="W1052" s="6" t="s">
        <v>2473</v>
      </c>
      <c r="X1052" s="8" t="s">
        <v>3125</v>
      </c>
      <c r="Y1052" s="6" t="s">
        <v>3238</v>
      </c>
      <c r="Z1052" s="6" t="s">
        <v>3257</v>
      </c>
      <c r="AA1052" s="45" t="s">
        <v>3656</v>
      </c>
      <c r="AB1052" s="39" t="s">
        <v>3644</v>
      </c>
      <c r="AC1052" s="45" t="s">
        <v>3657</v>
      </c>
      <c r="AD1052" s="37" t="s">
        <v>3658</v>
      </c>
      <c r="AE1052" s="37" t="s">
        <v>3647</v>
      </c>
      <c r="AF1052" s="39" t="s">
        <v>3648</v>
      </c>
      <c r="AG1052" s="37" t="s">
        <v>3649</v>
      </c>
      <c r="AH1052" s="37" t="s">
        <v>3659</v>
      </c>
    </row>
    <row r="1053" spans="1:34" ht="14.45" hidden="1" customHeight="1" x14ac:dyDescent="0.3">
      <c r="A1053" s="6" t="s">
        <v>1145</v>
      </c>
      <c r="B1053" s="7">
        <v>46022</v>
      </c>
      <c r="C1053" s="6" t="s">
        <v>1144</v>
      </c>
      <c r="D1053" s="6" t="s">
        <v>5</v>
      </c>
      <c r="E1053" s="6" t="s">
        <v>1003</v>
      </c>
      <c r="F1053" s="6" t="s">
        <v>3229</v>
      </c>
      <c r="G1053" s="8">
        <v>0.80511999999999995</v>
      </c>
      <c r="H1053" s="8">
        <v>6.5293900000000002</v>
      </c>
      <c r="I1053" s="6" t="e">
        <v>#N/A</v>
      </c>
      <c r="J1053" s="6" t="s">
        <v>2459</v>
      </c>
      <c r="K1053" s="6" t="s">
        <v>2468</v>
      </c>
      <c r="L1053" s="6" t="s">
        <v>1153</v>
      </c>
      <c r="M1053" s="6"/>
      <c r="N1053" s="6" t="s">
        <v>2468</v>
      </c>
      <c r="O1053" s="6" t="s">
        <v>40</v>
      </c>
      <c r="P1053" s="6"/>
      <c r="Q1053" s="6"/>
      <c r="R1053" s="6"/>
      <c r="S1053" s="6"/>
      <c r="T1053" s="6"/>
      <c r="U1053" s="6"/>
      <c r="V1053" s="6"/>
      <c r="W1053" s="6"/>
      <c r="X1053" s="8"/>
      <c r="Y1053" s="6" t="s">
        <v>3241</v>
      </c>
      <c r="Z1053" s="6"/>
      <c r="AA1053" s="37" t="s">
        <v>3634</v>
      </c>
      <c r="AB1053" s="38" t="s">
        <v>3627</v>
      </c>
      <c r="AC1053" s="37" t="s">
        <v>3635</v>
      </c>
      <c r="AD1053" s="37" t="s">
        <v>3636</v>
      </c>
      <c r="AE1053" s="37" t="s">
        <v>3637</v>
      </c>
      <c r="AF1053" s="37" t="s">
        <v>3636</v>
      </c>
      <c r="AG1053" s="37" t="s">
        <v>3638</v>
      </c>
      <c r="AH1053" s="37" t="s">
        <v>3639</v>
      </c>
    </row>
    <row r="1054" spans="1:34" ht="14.45" hidden="1" customHeight="1" x14ac:dyDescent="0.3">
      <c r="A1054" s="6" t="s">
        <v>1987</v>
      </c>
      <c r="B1054" s="7">
        <v>0</v>
      </c>
      <c r="C1054" s="6" t="s">
        <v>1986</v>
      </c>
      <c r="D1054" s="6" t="s">
        <v>395</v>
      </c>
      <c r="E1054" s="6" t="s">
        <v>1965</v>
      </c>
      <c r="F1054" s="6" t="s">
        <v>3229</v>
      </c>
      <c r="G1054" s="8">
        <v>0.58252300000000001</v>
      </c>
      <c r="H1054" s="8">
        <v>9.9697169999999993</v>
      </c>
      <c r="I1054" s="6" t="s">
        <v>2477</v>
      </c>
      <c r="J1054" s="6" t="s">
        <v>2459</v>
      </c>
      <c r="K1054" s="6" t="s">
        <v>2460</v>
      </c>
      <c r="L1054" s="6"/>
      <c r="M1054" s="6"/>
      <c r="N1054" s="6" t="s">
        <v>3268</v>
      </c>
      <c r="O1054" s="6" t="s">
        <v>18</v>
      </c>
      <c r="P1054" s="6" t="str">
        <f>VLOOKUP(Tableau1[[#This Row],[SITES NAMES]],[1]Feuil1!$1:$1048576,8,FALSE)</f>
        <v>OK</v>
      </c>
      <c r="Q1054" s="6" t="str">
        <f>VLOOKUP(Tableau1[[#This Row],[SITES NAMES]],[1]Feuil1!$1:$1048576,9,FALSE)</f>
        <v>NO</v>
      </c>
      <c r="R1054" s="6" t="str">
        <f>VLOOKUP(Tableau1[[#This Row],[SITES NAMES]],[1]Feuil1!$1:$1048576,10,FALSE)</f>
        <v>NO</v>
      </c>
      <c r="S1054" s="6" t="s">
        <v>2469</v>
      </c>
      <c r="T1054" s="6" t="s">
        <v>2470</v>
      </c>
      <c r="U1054" s="6" t="s">
        <v>2471</v>
      </c>
      <c r="V1054" s="6" t="s">
        <v>2472</v>
      </c>
      <c r="W1054" s="6" t="s">
        <v>2473</v>
      </c>
      <c r="X1054" s="8" t="s">
        <v>3074</v>
      </c>
      <c r="Y1054" s="6" t="s">
        <v>3240</v>
      </c>
      <c r="Z1054" s="6" t="s">
        <v>3255</v>
      </c>
      <c r="AA1054" s="37" t="s">
        <v>3712</v>
      </c>
      <c r="AB1054" s="39" t="s">
        <v>3705</v>
      </c>
      <c r="AC1054" s="37" t="s">
        <v>3713</v>
      </c>
      <c r="AD1054" s="37" t="s">
        <v>3712</v>
      </c>
      <c r="AE1054" s="37" t="s">
        <v>3712</v>
      </c>
      <c r="AF1054" s="37" t="s">
        <v>3712</v>
      </c>
      <c r="AG1054" s="40" t="s">
        <v>3714</v>
      </c>
      <c r="AH1054" s="37" t="s">
        <v>3715</v>
      </c>
    </row>
    <row r="1055" spans="1:34" ht="14.45" hidden="1" customHeight="1" x14ac:dyDescent="0.3">
      <c r="A1055" s="6" t="s">
        <v>801</v>
      </c>
      <c r="B1055" s="7">
        <v>0</v>
      </c>
      <c r="C1055" s="6" t="s">
        <v>800</v>
      </c>
      <c r="D1055" s="6" t="s">
        <v>657</v>
      </c>
      <c r="E1055" s="6" t="s">
        <v>758</v>
      </c>
      <c r="F1055" s="6" t="s">
        <v>3229</v>
      </c>
      <c r="G1055" s="8">
        <v>0.86987999999999999</v>
      </c>
      <c r="H1055" s="8">
        <v>10.249079999999999</v>
      </c>
      <c r="I1055" s="6" t="s">
        <v>2467</v>
      </c>
      <c r="J1055" s="6" t="s">
        <v>2459</v>
      </c>
      <c r="K1055" s="6" t="s">
        <v>2468</v>
      </c>
      <c r="L1055" s="6"/>
      <c r="M1055" s="6"/>
      <c r="N1055" s="6" t="s">
        <v>2468</v>
      </c>
      <c r="O1055" s="6" t="s">
        <v>18</v>
      </c>
      <c r="P1055" s="6" t="str">
        <f>VLOOKUP(Tableau1[[#This Row],[SITES NAMES]],[1]Feuil1!$1:$1048576,8,FALSE)</f>
        <v>OK</v>
      </c>
      <c r="Q1055" s="6" t="str">
        <f>VLOOKUP(Tableau1[[#This Row],[SITES NAMES]],[1]Feuil1!$1:$1048576,9,FALSE)</f>
        <v>NO</v>
      </c>
      <c r="R1055" s="6" t="str">
        <f>VLOOKUP(Tableau1[[#This Row],[SITES NAMES]],[1]Feuil1!$1:$1048576,10,FALSE)</f>
        <v>NO</v>
      </c>
      <c r="S1055" s="6" t="s">
        <v>2469</v>
      </c>
      <c r="T1055" s="6" t="s">
        <v>2470</v>
      </c>
      <c r="U1055" s="6" t="s">
        <v>2471</v>
      </c>
      <c r="V1055" s="6" t="s">
        <v>2472</v>
      </c>
      <c r="W1055" s="6" t="s">
        <v>2473</v>
      </c>
      <c r="X1055" s="8">
        <v>70996896</v>
      </c>
      <c r="Y1055" s="6" t="s">
        <v>3239</v>
      </c>
      <c r="Z1055" s="6" t="s">
        <v>3253</v>
      </c>
      <c r="AA1055" s="37" t="s">
        <v>3687</v>
      </c>
      <c r="AB1055" s="38" t="s">
        <v>3683</v>
      </c>
      <c r="AC1055" s="37" t="s">
        <v>3688</v>
      </c>
      <c r="AD1055" s="37" t="s">
        <v>3687</v>
      </c>
      <c r="AE1055" s="37" t="s">
        <v>3689</v>
      </c>
      <c r="AF1055" s="39" t="s">
        <v>3690</v>
      </c>
      <c r="AG1055" s="40" t="s">
        <v>3685</v>
      </c>
      <c r="AH1055" s="37" t="s">
        <v>3691</v>
      </c>
    </row>
    <row r="1056" spans="1:34" ht="14.45" hidden="1" customHeight="1" x14ac:dyDescent="0.3">
      <c r="A1056" s="6" t="s">
        <v>550</v>
      </c>
      <c r="B1056" s="7">
        <v>0</v>
      </c>
      <c r="C1056" s="6" t="s">
        <v>549</v>
      </c>
      <c r="D1056" s="6" t="s">
        <v>395</v>
      </c>
      <c r="E1056" s="6" t="s">
        <v>396</v>
      </c>
      <c r="F1056" s="6" t="s">
        <v>3229</v>
      </c>
      <c r="G1056" s="8">
        <v>7.5249999999999996E-3</v>
      </c>
      <c r="H1056" s="8">
        <v>10.904306999999999</v>
      </c>
      <c r="I1056" s="6" t="s">
        <v>2467</v>
      </c>
      <c r="J1056" s="6" t="s">
        <v>2459</v>
      </c>
      <c r="K1056" s="6" t="s">
        <v>2468</v>
      </c>
      <c r="L1056" s="6" t="s">
        <v>436</v>
      </c>
      <c r="M1056" s="6"/>
      <c r="N1056" s="6" t="s">
        <v>2468</v>
      </c>
      <c r="O1056" s="6" t="s">
        <v>40</v>
      </c>
      <c r="P1056" s="6" t="str">
        <f>VLOOKUP(Tableau1[[#This Row],[SITES NAMES]],[1]Feuil1!$1:$1048576,8,FALSE)</f>
        <v>OK</v>
      </c>
      <c r="Q1056" s="6" t="str">
        <f>VLOOKUP(Tableau1[[#This Row],[SITES NAMES]],[1]Feuil1!$1:$1048576,9,FALSE)</f>
        <v>NO</v>
      </c>
      <c r="R1056" s="6" t="str">
        <f>VLOOKUP(Tableau1[[#This Row],[SITES NAMES]],[1]Feuil1!$1:$1048576,10,FALSE)</f>
        <v>YES</v>
      </c>
      <c r="S1056" s="6" t="s">
        <v>2461</v>
      </c>
      <c r="T1056" s="6" t="s">
        <v>2462</v>
      </c>
      <c r="U1056" s="6" t="s">
        <v>2463</v>
      </c>
      <c r="V1056" s="6" t="s">
        <v>2472</v>
      </c>
      <c r="W1056" s="6" t="s">
        <v>2473</v>
      </c>
      <c r="X1056" s="8" t="s">
        <v>2674</v>
      </c>
      <c r="Y1056" s="6" t="s">
        <v>3240</v>
      </c>
      <c r="Z1056" s="6" t="s">
        <v>3255</v>
      </c>
      <c r="AA1056" s="37" t="s">
        <v>3704</v>
      </c>
      <c r="AB1056" s="39" t="s">
        <v>3705</v>
      </c>
      <c r="AC1056" s="37" t="s">
        <v>3706</v>
      </c>
      <c r="AD1056" s="37" t="s">
        <v>3707</v>
      </c>
      <c r="AE1056" s="37" t="s">
        <v>3708</v>
      </c>
      <c r="AF1056" s="37" t="s">
        <v>3709</v>
      </c>
      <c r="AG1056" s="46" t="s">
        <v>3710</v>
      </c>
      <c r="AH1056" s="37" t="s">
        <v>3711</v>
      </c>
    </row>
    <row r="1057" spans="1:34" ht="14.45" hidden="1" customHeight="1" x14ac:dyDescent="0.3">
      <c r="A1057" s="6" t="s">
        <v>552</v>
      </c>
      <c r="B1057" s="7">
        <v>45103</v>
      </c>
      <c r="C1057" s="6" t="s">
        <v>551</v>
      </c>
      <c r="D1057" s="6" t="s">
        <v>395</v>
      </c>
      <c r="E1057" s="6" t="s">
        <v>396</v>
      </c>
      <c r="F1057" s="6" t="s">
        <v>3229</v>
      </c>
      <c r="G1057" s="8">
        <v>-4.5738899999999999E-2</v>
      </c>
      <c r="H1057" s="8">
        <v>10.638622099999999</v>
      </c>
      <c r="I1057" s="6" t="s">
        <v>2477</v>
      </c>
      <c r="J1057" s="6" t="s">
        <v>2459</v>
      </c>
      <c r="K1057" s="6" t="s">
        <v>2468</v>
      </c>
      <c r="L1057" s="6"/>
      <c r="M1057" s="6"/>
      <c r="N1057" s="6" t="s">
        <v>2468</v>
      </c>
      <c r="O1057" s="6" t="s">
        <v>40</v>
      </c>
      <c r="P1057" s="6" t="str">
        <f>VLOOKUP(Tableau1[[#This Row],[SITES NAMES]],[1]Feuil1!$1:$1048576,8,FALSE)</f>
        <v>OK</v>
      </c>
      <c r="Q1057" s="6" t="str">
        <f>VLOOKUP(Tableau1[[#This Row],[SITES NAMES]],[1]Feuil1!$1:$1048576,9,FALSE)</f>
        <v>NO</v>
      </c>
      <c r="R1057" s="6" t="str">
        <f>VLOOKUP(Tableau1[[#This Row],[SITES NAMES]],[1]Feuil1!$1:$1048576,10,FALSE)</f>
        <v>NO</v>
      </c>
      <c r="S1057" s="6" t="s">
        <v>2469</v>
      </c>
      <c r="T1057" s="6" t="s">
        <v>2470</v>
      </c>
      <c r="U1057" s="6" t="s">
        <v>2480</v>
      </c>
      <c r="V1057" s="6" t="s">
        <v>2472</v>
      </c>
      <c r="W1057" s="6" t="s">
        <v>2473</v>
      </c>
      <c r="X1057" s="8"/>
      <c r="Y1057" s="6" t="s">
        <v>3240</v>
      </c>
      <c r="Z1057" s="6" t="s">
        <v>3255</v>
      </c>
      <c r="AA1057" s="37" t="s">
        <v>3704</v>
      </c>
      <c r="AB1057" s="39" t="s">
        <v>3705</v>
      </c>
      <c r="AC1057" s="37" t="s">
        <v>3706</v>
      </c>
      <c r="AD1057" s="37" t="s">
        <v>3707</v>
      </c>
      <c r="AE1057" s="37" t="s">
        <v>3708</v>
      </c>
      <c r="AF1057" s="37" t="s">
        <v>3709</v>
      </c>
      <c r="AG1057" s="46" t="s">
        <v>3710</v>
      </c>
      <c r="AH1057" s="37" t="s">
        <v>3711</v>
      </c>
    </row>
    <row r="1058" spans="1:34" ht="14.45" hidden="1" customHeight="1" x14ac:dyDescent="0.3">
      <c r="A1058" s="6" t="s">
        <v>414</v>
      </c>
      <c r="B1058" s="7">
        <v>0</v>
      </c>
      <c r="C1058" s="6" t="s">
        <v>413</v>
      </c>
      <c r="D1058" s="6" t="s">
        <v>395</v>
      </c>
      <c r="E1058" s="6" t="s">
        <v>396</v>
      </c>
      <c r="F1058" s="6" t="s">
        <v>3229</v>
      </c>
      <c r="G1058" s="8">
        <v>0.44262200000000002</v>
      </c>
      <c r="H1058" s="8">
        <v>10.949904</v>
      </c>
      <c r="I1058" s="6" t="s">
        <v>2477</v>
      </c>
      <c r="J1058" s="6" t="s">
        <v>2459</v>
      </c>
      <c r="K1058" s="6" t="s">
        <v>2468</v>
      </c>
      <c r="L1058" s="6" t="s">
        <v>3565</v>
      </c>
      <c r="M1058" s="6"/>
      <c r="N1058" s="6" t="s">
        <v>2468</v>
      </c>
      <c r="O1058" s="6" t="s">
        <v>40</v>
      </c>
      <c r="P1058" s="6" t="str">
        <f>VLOOKUP(Tableau1[[#This Row],[SITES NAMES]],[1]Feuil1!$1:$1048576,8,FALSE)</f>
        <v>OK</v>
      </c>
      <c r="Q1058" s="6" t="str">
        <f>VLOOKUP(Tableau1[[#This Row],[SITES NAMES]],[1]Feuil1!$1:$1048576,9,FALSE)</f>
        <v>NO</v>
      </c>
      <c r="R1058" s="6" t="str">
        <f>VLOOKUP(Tableau1[[#This Row],[SITES NAMES]],[1]Feuil1!$1:$1048576,10,FALSE)</f>
        <v>YES</v>
      </c>
      <c r="S1058" s="6" t="s">
        <v>2469</v>
      </c>
      <c r="T1058" s="6" t="s">
        <v>2470</v>
      </c>
      <c r="U1058" s="6" t="s">
        <v>2480</v>
      </c>
      <c r="V1058" s="6" t="s">
        <v>2472</v>
      </c>
      <c r="W1058" s="6" t="s">
        <v>2473</v>
      </c>
      <c r="X1058" s="8" t="s">
        <v>2625</v>
      </c>
      <c r="Y1058" s="6" t="s">
        <v>3240</v>
      </c>
      <c r="Z1058" s="6" t="s">
        <v>3255</v>
      </c>
      <c r="AA1058" s="37" t="s">
        <v>3704</v>
      </c>
      <c r="AB1058" s="39" t="s">
        <v>3705</v>
      </c>
      <c r="AC1058" s="37" t="s">
        <v>3706</v>
      </c>
      <c r="AD1058" s="37" t="s">
        <v>3707</v>
      </c>
      <c r="AE1058" s="37" t="s">
        <v>3708</v>
      </c>
      <c r="AF1058" s="37" t="s">
        <v>3709</v>
      </c>
      <c r="AG1058" s="46" t="s">
        <v>3710</v>
      </c>
      <c r="AH1058" s="37" t="s">
        <v>3711</v>
      </c>
    </row>
    <row r="1059" spans="1:34" ht="14.45" hidden="1" customHeight="1" x14ac:dyDescent="0.3">
      <c r="A1059" s="6" t="s">
        <v>472</v>
      </c>
      <c r="B1059" s="7">
        <v>44806</v>
      </c>
      <c r="C1059" s="6" t="s">
        <v>471</v>
      </c>
      <c r="D1059" s="6" t="s">
        <v>395</v>
      </c>
      <c r="E1059" s="6" t="s">
        <v>396</v>
      </c>
      <c r="F1059" s="6" t="s">
        <v>3229</v>
      </c>
      <c r="G1059" s="8">
        <v>8.0120198428630801E-2</v>
      </c>
      <c r="H1059" s="8">
        <v>10.807000160217299</v>
      </c>
      <c r="I1059" s="6" t="s">
        <v>2477</v>
      </c>
      <c r="J1059" s="6" t="s">
        <v>2459</v>
      </c>
      <c r="K1059" s="6" t="s">
        <v>2468</v>
      </c>
      <c r="L1059" s="6" t="s">
        <v>3584</v>
      </c>
      <c r="M1059" s="6"/>
      <c r="N1059" s="6" t="s">
        <v>2468</v>
      </c>
      <c r="O1059" s="6" t="s">
        <v>7</v>
      </c>
      <c r="P1059" s="6" t="str">
        <f>VLOOKUP(Tableau1[[#This Row],[SITES NAMES]],[1]Feuil1!$1:$1048576,8,FALSE)</f>
        <v>OK</v>
      </c>
      <c r="Q1059" s="6" t="str">
        <f>VLOOKUP(Tableau1[[#This Row],[SITES NAMES]],[1]Feuil1!$1:$1048576,9,FALSE)</f>
        <v>NO</v>
      </c>
      <c r="R1059" s="6" t="str">
        <f>VLOOKUP(Tableau1[[#This Row],[SITES NAMES]],[1]Feuil1!$1:$1048576,10,FALSE)</f>
        <v>YES</v>
      </c>
      <c r="S1059" s="6" t="s">
        <v>2469</v>
      </c>
      <c r="T1059" s="6" t="s">
        <v>2470</v>
      </c>
      <c r="U1059" s="6" t="s">
        <v>2480</v>
      </c>
      <c r="V1059" s="6" t="s">
        <v>2472</v>
      </c>
      <c r="W1059" s="6" t="s">
        <v>2473</v>
      </c>
      <c r="X1059" s="8"/>
      <c r="Y1059" s="6" t="s">
        <v>3240</v>
      </c>
      <c r="Z1059" s="6" t="s">
        <v>3255</v>
      </c>
      <c r="AA1059" s="37" t="s">
        <v>3704</v>
      </c>
      <c r="AB1059" s="39" t="s">
        <v>3705</v>
      </c>
      <c r="AC1059" s="37" t="s">
        <v>3706</v>
      </c>
      <c r="AD1059" s="37" t="s">
        <v>3707</v>
      </c>
      <c r="AE1059" s="37" t="s">
        <v>3708</v>
      </c>
      <c r="AF1059" s="37" t="s">
        <v>3709</v>
      </c>
      <c r="AG1059" s="46" t="s">
        <v>3710</v>
      </c>
      <c r="AH1059" s="37" t="s">
        <v>3711</v>
      </c>
    </row>
    <row r="1060" spans="1:34" ht="14.45" hidden="1" customHeight="1" x14ac:dyDescent="0.3">
      <c r="A1060" s="6" t="s">
        <v>2042</v>
      </c>
      <c r="B1060" s="7">
        <v>43808</v>
      </c>
      <c r="C1060" s="6" t="s">
        <v>2041</v>
      </c>
      <c r="D1060" s="6" t="s">
        <v>395</v>
      </c>
      <c r="E1060" s="6" t="s">
        <v>1965</v>
      </c>
      <c r="F1060" s="6" t="s">
        <v>3229</v>
      </c>
      <c r="G1060" s="8">
        <v>0.17272499999999999</v>
      </c>
      <c r="H1060" s="8">
        <v>10.599011000000001</v>
      </c>
      <c r="I1060" s="6" t="s">
        <v>2467</v>
      </c>
      <c r="J1060" s="6" t="s">
        <v>2459</v>
      </c>
      <c r="K1060" s="6" t="s">
        <v>2468</v>
      </c>
      <c r="L1060" s="6" t="s">
        <v>3585</v>
      </c>
      <c r="M1060" s="6"/>
      <c r="N1060" s="6" t="s">
        <v>2468</v>
      </c>
      <c r="O1060" s="6" t="s">
        <v>40</v>
      </c>
      <c r="P1060" s="6" t="str">
        <f>VLOOKUP(Tableau1[[#This Row],[SITES NAMES]],[1]Feuil1!$1:$1048576,8,FALSE)</f>
        <v>OK</v>
      </c>
      <c r="Q1060" s="6" t="str">
        <f>VLOOKUP(Tableau1[[#This Row],[SITES NAMES]],[1]Feuil1!$1:$1048576,9,FALSE)</f>
        <v>NO</v>
      </c>
      <c r="R1060" s="6" t="str">
        <f>VLOOKUP(Tableau1[[#This Row],[SITES NAMES]],[1]Feuil1!$1:$1048576,10,FALSE)</f>
        <v>NO</v>
      </c>
      <c r="S1060" s="6" t="s">
        <v>2461</v>
      </c>
      <c r="T1060" s="6" t="s">
        <v>2462</v>
      </c>
      <c r="U1060" s="6" t="s">
        <v>2463</v>
      </c>
      <c r="V1060" s="6" t="s">
        <v>2472</v>
      </c>
      <c r="W1060" s="6" t="s">
        <v>2473</v>
      </c>
      <c r="X1060" s="8" t="s">
        <v>3091</v>
      </c>
      <c r="Y1060" s="6" t="s">
        <v>3240</v>
      </c>
      <c r="Z1060" s="6" t="s">
        <v>3255</v>
      </c>
      <c r="AA1060" s="37" t="s">
        <v>3712</v>
      </c>
      <c r="AB1060" s="39" t="s">
        <v>3705</v>
      </c>
      <c r="AC1060" s="37" t="s">
        <v>3713</v>
      </c>
      <c r="AD1060" s="37" t="s">
        <v>3712</v>
      </c>
      <c r="AE1060" s="37" t="s">
        <v>3712</v>
      </c>
      <c r="AF1060" s="37" t="s">
        <v>3712</v>
      </c>
      <c r="AG1060" s="40" t="s">
        <v>3714</v>
      </c>
      <c r="AH1060" s="37" t="s">
        <v>3715</v>
      </c>
    </row>
    <row r="1061" spans="1:34" ht="14.45" hidden="1" customHeight="1" x14ac:dyDescent="0.3">
      <c r="A1061" s="6" t="s">
        <v>554</v>
      </c>
      <c r="B1061" s="7">
        <v>0</v>
      </c>
      <c r="C1061" s="6" t="s">
        <v>553</v>
      </c>
      <c r="D1061" s="6" t="s">
        <v>395</v>
      </c>
      <c r="E1061" s="6" t="s">
        <v>396</v>
      </c>
      <c r="F1061" s="6" t="s">
        <v>3229</v>
      </c>
      <c r="G1061" s="8">
        <v>6.6400000000000001E-3</v>
      </c>
      <c r="H1061" s="8">
        <v>10.745279999999999</v>
      </c>
      <c r="I1061" s="6" t="s">
        <v>2467</v>
      </c>
      <c r="J1061" s="6" t="s">
        <v>2459</v>
      </c>
      <c r="K1061" s="6" t="s">
        <v>2468</v>
      </c>
      <c r="L1061" s="6" t="s">
        <v>440</v>
      </c>
      <c r="M1061" s="6"/>
      <c r="N1061" s="6" t="s">
        <v>2468</v>
      </c>
      <c r="O1061" s="6" t="s">
        <v>40</v>
      </c>
      <c r="P1061" s="6" t="str">
        <f>VLOOKUP(Tableau1[[#This Row],[SITES NAMES]],[1]Feuil1!$1:$1048576,8,FALSE)</f>
        <v>OK</v>
      </c>
      <c r="Q1061" s="6" t="str">
        <f>VLOOKUP(Tableau1[[#This Row],[SITES NAMES]],[1]Feuil1!$1:$1048576,9,FALSE)</f>
        <v>NO</v>
      </c>
      <c r="R1061" s="6" t="str">
        <f>VLOOKUP(Tableau1[[#This Row],[SITES NAMES]],[1]Feuil1!$1:$1048576,10,FALSE)</f>
        <v>NO</v>
      </c>
      <c r="S1061" s="6" t="s">
        <v>2469</v>
      </c>
      <c r="T1061" s="6" t="s">
        <v>2470</v>
      </c>
      <c r="U1061" s="6" t="s">
        <v>2480</v>
      </c>
      <c r="V1061" s="6" t="s">
        <v>2472</v>
      </c>
      <c r="W1061" s="6" t="s">
        <v>2473</v>
      </c>
      <c r="X1061" s="8" t="s">
        <v>2675</v>
      </c>
      <c r="Y1061" s="6" t="s">
        <v>3240</v>
      </c>
      <c r="Z1061" s="6" t="s">
        <v>3255</v>
      </c>
      <c r="AA1061" s="37" t="s">
        <v>3704</v>
      </c>
      <c r="AB1061" s="39" t="s">
        <v>3705</v>
      </c>
      <c r="AC1061" s="37" t="s">
        <v>3706</v>
      </c>
      <c r="AD1061" s="37" t="s">
        <v>3707</v>
      </c>
      <c r="AE1061" s="37" t="s">
        <v>3708</v>
      </c>
      <c r="AF1061" s="37" t="s">
        <v>3709</v>
      </c>
      <c r="AG1061" s="46" t="s">
        <v>3710</v>
      </c>
      <c r="AH1061" s="37" t="s">
        <v>3711</v>
      </c>
    </row>
    <row r="1062" spans="1:34" ht="14.45" hidden="1" customHeight="1" x14ac:dyDescent="0.3">
      <c r="A1062" s="6" t="s">
        <v>448</v>
      </c>
      <c r="B1062" s="7">
        <v>0</v>
      </c>
      <c r="C1062" s="6" t="s">
        <v>447</v>
      </c>
      <c r="D1062" s="6" t="s">
        <v>395</v>
      </c>
      <c r="E1062" s="6" t="s">
        <v>396</v>
      </c>
      <c r="F1062" s="6" t="s">
        <v>3229</v>
      </c>
      <c r="G1062" s="8">
        <v>0.19866700000000001</v>
      </c>
      <c r="H1062" s="8">
        <v>10.662860999999999</v>
      </c>
      <c r="I1062" s="6" t="s">
        <v>2488</v>
      </c>
      <c r="J1062" s="6" t="s">
        <v>2459</v>
      </c>
      <c r="K1062" s="6" t="s">
        <v>2468</v>
      </c>
      <c r="L1062" s="6" t="s">
        <v>428</v>
      </c>
      <c r="M1062" s="6"/>
      <c r="N1062" s="6" t="s">
        <v>2468</v>
      </c>
      <c r="O1062" s="6" t="s">
        <v>18</v>
      </c>
      <c r="P1062" s="6" t="str">
        <f>VLOOKUP(Tableau1[[#This Row],[SITES NAMES]],[1]Feuil1!$1:$1048576,8,FALSE)</f>
        <v>NOK</v>
      </c>
      <c r="Q1062" s="6" t="str">
        <f>VLOOKUP(Tableau1[[#This Row],[SITES NAMES]],[1]Feuil1!$1:$1048576,9,FALSE)</f>
        <v>NO</v>
      </c>
      <c r="R1062" s="6" t="str">
        <f>VLOOKUP(Tableau1[[#This Row],[SITES NAMES]],[1]Feuil1!$1:$1048576,10,FALSE)</f>
        <v>YES</v>
      </c>
      <c r="S1062" s="6" t="s">
        <v>2469</v>
      </c>
      <c r="T1062" s="6" t="s">
        <v>2470</v>
      </c>
      <c r="U1062" s="6" t="s">
        <v>2480</v>
      </c>
      <c r="V1062" s="6" t="s">
        <v>2464</v>
      </c>
      <c r="W1062" s="6" t="s">
        <v>2465</v>
      </c>
      <c r="X1062" s="8" t="s">
        <v>2642</v>
      </c>
      <c r="Y1062" s="6" t="s">
        <v>3240</v>
      </c>
      <c r="Z1062" s="6" t="s">
        <v>3255</v>
      </c>
      <c r="AA1062" s="37" t="s">
        <v>3704</v>
      </c>
      <c r="AB1062" s="39" t="s">
        <v>3705</v>
      </c>
      <c r="AC1062" s="37" t="s">
        <v>3706</v>
      </c>
      <c r="AD1062" s="37" t="s">
        <v>3707</v>
      </c>
      <c r="AE1062" s="37" t="s">
        <v>3708</v>
      </c>
      <c r="AF1062" s="37" t="s">
        <v>3709</v>
      </c>
      <c r="AG1062" s="46" t="s">
        <v>3710</v>
      </c>
      <c r="AH1062" s="37" t="s">
        <v>3711</v>
      </c>
    </row>
    <row r="1063" spans="1:34" ht="14.45" hidden="1" customHeight="1" x14ac:dyDescent="0.3">
      <c r="A1063" s="6" t="s">
        <v>747</v>
      </c>
      <c r="B1063" s="7">
        <v>43791</v>
      </c>
      <c r="C1063" s="6" t="s">
        <v>746</v>
      </c>
      <c r="D1063" s="6" t="s">
        <v>657</v>
      </c>
      <c r="E1063" s="6" t="s">
        <v>658</v>
      </c>
      <c r="F1063" s="6" t="s">
        <v>3229</v>
      </c>
      <c r="G1063" s="8">
        <v>0.69947000000000004</v>
      </c>
      <c r="H1063" s="8">
        <v>9.4385200000000005</v>
      </c>
      <c r="I1063" s="6" t="s">
        <v>2467</v>
      </c>
      <c r="J1063" s="6" t="s">
        <v>2459</v>
      </c>
      <c r="K1063" s="6" t="s">
        <v>2468</v>
      </c>
      <c r="L1063" s="6" t="s">
        <v>658</v>
      </c>
      <c r="M1063" s="6"/>
      <c r="N1063" s="6" t="s">
        <v>2468</v>
      </c>
      <c r="O1063" s="6" t="s">
        <v>40</v>
      </c>
      <c r="P1063" s="6" t="str">
        <f>VLOOKUP(Tableau1[[#This Row],[SITES NAMES]],[1]Feuil1!$1:$1048576,8,FALSE)</f>
        <v>OK</v>
      </c>
      <c r="Q1063" s="6" t="str">
        <f>VLOOKUP(Tableau1[[#This Row],[SITES NAMES]],[1]Feuil1!$1:$1048576,9,FALSE)</f>
        <v>NO</v>
      </c>
      <c r="R1063" s="6" t="str">
        <f>VLOOKUP(Tableau1[[#This Row],[SITES NAMES]],[1]Feuil1!$1:$1048576,10,FALSE)</f>
        <v>NO</v>
      </c>
      <c r="S1063" s="6" t="s">
        <v>2469</v>
      </c>
      <c r="T1063" s="6" t="s">
        <v>2470</v>
      </c>
      <c r="U1063" s="6" t="s">
        <v>2480</v>
      </c>
      <c r="V1063" s="6" t="s">
        <v>2472</v>
      </c>
      <c r="W1063" s="6" t="s">
        <v>2473</v>
      </c>
      <c r="X1063" s="8" t="s">
        <v>2749</v>
      </c>
      <c r="Y1063" s="6" t="s">
        <v>3239</v>
      </c>
      <c r="Z1063" s="6" t="s">
        <v>3253</v>
      </c>
      <c r="AA1063" s="38" t="s">
        <v>3682</v>
      </c>
      <c r="AB1063" s="38" t="s">
        <v>3683</v>
      </c>
      <c r="AC1063" s="38" t="s">
        <v>3684</v>
      </c>
      <c r="AD1063" s="38" t="s">
        <v>3682</v>
      </c>
      <c r="AE1063" s="38" t="s">
        <v>3682</v>
      </c>
      <c r="AF1063" s="38" t="s">
        <v>3682</v>
      </c>
      <c r="AG1063" s="40" t="s">
        <v>3685</v>
      </c>
      <c r="AH1063" s="37" t="s">
        <v>3686</v>
      </c>
    </row>
    <row r="1064" spans="1:34" ht="14.45" hidden="1" customHeight="1" x14ac:dyDescent="0.3">
      <c r="A1064" s="6" t="s">
        <v>580</v>
      </c>
      <c r="B1064" s="7">
        <v>43913</v>
      </c>
      <c r="C1064" s="6" t="s">
        <v>579</v>
      </c>
      <c r="D1064" s="6" t="s">
        <v>132</v>
      </c>
      <c r="E1064" s="6" t="s">
        <v>565</v>
      </c>
      <c r="F1064" s="6" t="s">
        <v>3229</v>
      </c>
      <c r="G1064" s="8">
        <v>1.528427</v>
      </c>
      <c r="H1064" s="8">
        <v>7.8164059999999997</v>
      </c>
      <c r="I1064" s="6" t="s">
        <v>2467</v>
      </c>
      <c r="J1064" s="6" t="s">
        <v>2459</v>
      </c>
      <c r="K1064" s="6" t="s">
        <v>2468</v>
      </c>
      <c r="L1064" s="6"/>
      <c r="M1064" s="6"/>
      <c r="N1064" s="6" t="s">
        <v>2468</v>
      </c>
      <c r="O1064" s="6" t="s">
        <v>40</v>
      </c>
      <c r="P1064" s="6" t="str">
        <f>VLOOKUP(Tableau1[[#This Row],[SITES NAMES]],[1]Feuil1!$1:$1048576,8,FALSE)</f>
        <v>OK</v>
      </c>
      <c r="Q1064" s="6" t="str">
        <f>VLOOKUP(Tableau1[[#This Row],[SITES NAMES]],[1]Feuil1!$1:$1048576,9,FALSE)</f>
        <v>NO</v>
      </c>
      <c r="R1064" s="6" t="str">
        <f>VLOOKUP(Tableau1[[#This Row],[SITES NAMES]],[1]Feuil1!$1:$1048576,10,FALSE)</f>
        <v>YES</v>
      </c>
      <c r="S1064" s="6" t="s">
        <v>2461</v>
      </c>
      <c r="T1064" s="6" t="s">
        <v>2462</v>
      </c>
      <c r="U1064" s="6" t="s">
        <v>2463</v>
      </c>
      <c r="V1064" s="6" t="s">
        <v>2472</v>
      </c>
      <c r="W1064" s="6" t="s">
        <v>2473</v>
      </c>
      <c r="X1064" s="8"/>
      <c r="Y1064" s="6" t="s">
        <v>3238</v>
      </c>
      <c r="Z1064" s="6"/>
      <c r="AA1064" s="37" t="s">
        <v>3660</v>
      </c>
      <c r="AB1064" s="39" t="s">
        <v>3644</v>
      </c>
      <c r="AC1064" s="37" t="s">
        <v>3661</v>
      </c>
      <c r="AD1064" s="39" t="s">
        <v>3646</v>
      </c>
      <c r="AE1064" s="39" t="s">
        <v>3647</v>
      </c>
      <c r="AF1064" s="39" t="s">
        <v>3662</v>
      </c>
      <c r="AG1064" s="37" t="s">
        <v>3649</v>
      </c>
      <c r="AH1064" s="37" t="s">
        <v>3663</v>
      </c>
    </row>
    <row r="1065" spans="1:34" ht="14.45" hidden="1" customHeight="1" x14ac:dyDescent="0.3">
      <c r="A1065" s="6" t="s">
        <v>2265</v>
      </c>
      <c r="B1065" s="7">
        <v>0</v>
      </c>
      <c r="C1065" s="6" t="s">
        <v>2264</v>
      </c>
      <c r="D1065" s="6" t="s">
        <v>320</v>
      </c>
      <c r="E1065" s="6" t="s">
        <v>2141</v>
      </c>
      <c r="F1065" s="6" t="s">
        <v>3229</v>
      </c>
      <c r="G1065" s="8">
        <v>1.1052222220000001</v>
      </c>
      <c r="H1065" s="8">
        <v>8.9198538979999995</v>
      </c>
      <c r="I1065" s="6" t="s">
        <v>2479</v>
      </c>
      <c r="J1065" s="6" t="s">
        <v>2459</v>
      </c>
      <c r="K1065" s="6" t="s">
        <v>2460</v>
      </c>
      <c r="L1065" s="6"/>
      <c r="M1065" s="6"/>
      <c r="N1065" s="6" t="s">
        <v>3268</v>
      </c>
      <c r="O1065" s="6" t="s">
        <v>7</v>
      </c>
      <c r="P1065" s="6" t="str">
        <f>VLOOKUP(Tableau1[[#This Row],[SITES NAMES]],[1]Feuil1!$1:$1048576,8,FALSE)</f>
        <v>OK</v>
      </c>
      <c r="Q1065" s="6" t="str">
        <f>VLOOKUP(Tableau1[[#This Row],[SITES NAMES]],[1]Feuil1!$1:$1048576,9,FALSE)</f>
        <v>NO</v>
      </c>
      <c r="R1065" s="6" t="str">
        <f>VLOOKUP(Tableau1[[#This Row],[SITES NAMES]],[1]Feuil1!$1:$1048576,10,FALSE)</f>
        <v>NO</v>
      </c>
      <c r="S1065" s="6" t="s">
        <v>2461</v>
      </c>
      <c r="T1065" s="6" t="s">
        <v>2462</v>
      </c>
      <c r="U1065" s="6" t="s">
        <v>2463</v>
      </c>
      <c r="V1065" s="6" t="s">
        <v>2472</v>
      </c>
      <c r="W1065" s="6" t="s">
        <v>2465</v>
      </c>
      <c r="X1065" s="8" t="s">
        <v>3173</v>
      </c>
      <c r="Y1065" s="6" t="s">
        <v>3238</v>
      </c>
      <c r="Z1065" s="6" t="s">
        <v>3254</v>
      </c>
      <c r="AA1065" s="37" t="s">
        <v>3672</v>
      </c>
      <c r="AB1065" s="39" t="s">
        <v>3665</v>
      </c>
      <c r="AC1065" s="37" t="s">
        <v>3673</v>
      </c>
      <c r="AD1065" s="37" t="s">
        <v>3674</v>
      </c>
      <c r="AE1065" s="37" t="s">
        <v>3675</v>
      </c>
      <c r="AF1065" s="39" t="s">
        <v>3676</v>
      </c>
      <c r="AG1065" s="37" t="s">
        <v>3670</v>
      </c>
      <c r="AH1065" s="37" t="s">
        <v>3677</v>
      </c>
    </row>
    <row r="1066" spans="1:34" ht="14.45" hidden="1" customHeight="1" x14ac:dyDescent="0.3">
      <c r="A1066" s="6" t="s">
        <v>2294</v>
      </c>
      <c r="B1066" s="7">
        <v>46022</v>
      </c>
      <c r="C1066" s="6" t="s">
        <v>2293</v>
      </c>
      <c r="D1066" s="6" t="s">
        <v>320</v>
      </c>
      <c r="E1066" s="6" t="s">
        <v>2274</v>
      </c>
      <c r="F1066" s="6" t="s">
        <v>3229</v>
      </c>
      <c r="G1066" s="8">
        <v>1.41662</v>
      </c>
      <c r="H1066" s="8">
        <v>8.9940099999999994</v>
      </c>
      <c r="I1066" s="6" t="e">
        <v>#N/A</v>
      </c>
      <c r="J1066" s="6" t="s">
        <v>2459</v>
      </c>
      <c r="K1066" s="6" t="s">
        <v>2468</v>
      </c>
      <c r="L1066" s="6"/>
      <c r="M1066" s="6"/>
      <c r="N1066" s="6" t="s">
        <v>2468</v>
      </c>
      <c r="O1066" s="6" t="s">
        <v>47</v>
      </c>
      <c r="P1066" s="6"/>
      <c r="Q1066" s="6"/>
      <c r="R1066" s="6"/>
      <c r="S1066" s="6"/>
      <c r="T1066" s="6"/>
      <c r="U1066" s="6"/>
      <c r="V1066" s="6"/>
      <c r="W1066" s="6"/>
      <c r="X1066" s="8"/>
      <c r="Y1066" s="6" t="s">
        <v>3238</v>
      </c>
      <c r="Z1066" s="6" t="s">
        <v>3254</v>
      </c>
      <c r="AA1066" s="37" t="s">
        <v>3678</v>
      </c>
      <c r="AB1066" s="39" t="s">
        <v>3665</v>
      </c>
      <c r="AC1066" s="37" t="s">
        <v>3679</v>
      </c>
      <c r="AD1066" s="37" t="s">
        <v>3678</v>
      </c>
      <c r="AE1066" s="37" t="s">
        <v>3680</v>
      </c>
      <c r="AF1066" s="39" t="s">
        <v>3676</v>
      </c>
      <c r="AG1066" s="37" t="s">
        <v>3670</v>
      </c>
      <c r="AH1066" s="37" t="s">
        <v>3681</v>
      </c>
    </row>
    <row r="1067" spans="1:34" ht="14.45" hidden="1" customHeight="1" x14ac:dyDescent="0.3">
      <c r="A1067" s="6" t="s">
        <v>2324</v>
      </c>
      <c r="B1067" s="7">
        <v>44711</v>
      </c>
      <c r="C1067" s="6" t="s">
        <v>2323</v>
      </c>
      <c r="D1067" s="6" t="s">
        <v>320</v>
      </c>
      <c r="E1067" s="6" t="s">
        <v>2274</v>
      </c>
      <c r="F1067" s="6" t="s">
        <v>3229</v>
      </c>
      <c r="G1067" s="8">
        <v>1.416779</v>
      </c>
      <c r="H1067" s="8">
        <v>9.0300480000000007</v>
      </c>
      <c r="I1067" s="6" t="s">
        <v>2475</v>
      </c>
      <c r="J1067" s="6" t="s">
        <v>2459</v>
      </c>
      <c r="K1067" s="6" t="s">
        <v>2460</v>
      </c>
      <c r="L1067" s="6"/>
      <c r="M1067" s="6"/>
      <c r="N1067" s="6" t="s">
        <v>3268</v>
      </c>
      <c r="O1067" s="6" t="s">
        <v>7</v>
      </c>
      <c r="P1067" s="6" t="str">
        <f>VLOOKUP(Tableau1[[#This Row],[SITES NAMES]],[1]Feuil1!$1:$1048576,8,FALSE)</f>
        <v>OK</v>
      </c>
      <c r="Q1067" s="6" t="str">
        <f>VLOOKUP(Tableau1[[#This Row],[SITES NAMES]],[1]Feuil1!$1:$1048576,9,FALSE)</f>
        <v>NO</v>
      </c>
      <c r="R1067" s="6" t="str">
        <f>VLOOKUP(Tableau1[[#This Row],[SITES NAMES]],[1]Feuil1!$1:$1048576,10,FALSE)</f>
        <v>YES</v>
      </c>
      <c r="S1067" s="6" t="s">
        <v>2469</v>
      </c>
      <c r="T1067" s="6" t="s">
        <v>2470</v>
      </c>
      <c r="U1067" s="6" t="s">
        <v>2480</v>
      </c>
      <c r="V1067" s="6" t="s">
        <v>2478</v>
      </c>
      <c r="W1067" s="6" t="s">
        <v>2476</v>
      </c>
      <c r="X1067" s="8">
        <v>70996494</v>
      </c>
      <c r="Y1067" s="6" t="s">
        <v>3238</v>
      </c>
      <c r="Z1067" s="6" t="s">
        <v>3254</v>
      </c>
      <c r="AA1067" s="37" t="s">
        <v>3678</v>
      </c>
      <c r="AB1067" s="39" t="s">
        <v>3665</v>
      </c>
      <c r="AC1067" s="37" t="s">
        <v>3679</v>
      </c>
      <c r="AD1067" s="37" t="s">
        <v>3678</v>
      </c>
      <c r="AE1067" s="37" t="s">
        <v>3680</v>
      </c>
      <c r="AF1067" s="39" t="s">
        <v>3676</v>
      </c>
      <c r="AG1067" s="37" t="s">
        <v>3670</v>
      </c>
      <c r="AH1067" s="37" t="s">
        <v>3681</v>
      </c>
    </row>
    <row r="1068" spans="1:34" ht="14.45" hidden="1" customHeight="1" x14ac:dyDescent="0.3">
      <c r="A1068" s="6" t="s">
        <v>2326</v>
      </c>
      <c r="B1068" s="7">
        <v>46022</v>
      </c>
      <c r="C1068" s="6" t="s">
        <v>2325</v>
      </c>
      <c r="D1068" s="6" t="s">
        <v>320</v>
      </c>
      <c r="E1068" s="6" t="s">
        <v>2274</v>
      </c>
      <c r="F1068" s="6" t="s">
        <v>3229</v>
      </c>
      <c r="G1068" s="8">
        <v>1.41133</v>
      </c>
      <c r="H1068" s="8">
        <v>9.0237499999999997</v>
      </c>
      <c r="I1068" s="6" t="e">
        <v>#N/A</v>
      </c>
      <c r="J1068" s="6" t="s">
        <v>2459</v>
      </c>
      <c r="K1068" s="6" t="s">
        <v>2460</v>
      </c>
      <c r="L1068" s="6" t="s">
        <v>2318</v>
      </c>
      <c r="M1068" s="6"/>
      <c r="N1068" s="6" t="s">
        <v>3268</v>
      </c>
      <c r="O1068" s="6" t="s">
        <v>7</v>
      </c>
      <c r="P1068" s="6"/>
      <c r="Q1068" s="6"/>
      <c r="R1068" s="6"/>
      <c r="S1068" s="6"/>
      <c r="T1068" s="6"/>
      <c r="U1068" s="6"/>
      <c r="V1068" s="6"/>
      <c r="W1068" s="6"/>
      <c r="X1068" s="8"/>
      <c r="Y1068" s="6" t="s">
        <v>3238</v>
      </c>
      <c r="Z1068" s="6" t="s">
        <v>3254</v>
      </c>
      <c r="AA1068" s="37" t="s">
        <v>3678</v>
      </c>
      <c r="AB1068" s="39" t="s">
        <v>3665</v>
      </c>
      <c r="AC1068" s="37" t="s">
        <v>3679</v>
      </c>
      <c r="AD1068" s="37" t="s">
        <v>3678</v>
      </c>
      <c r="AE1068" s="37" t="s">
        <v>3680</v>
      </c>
      <c r="AF1068" s="39" t="s">
        <v>3676</v>
      </c>
      <c r="AG1068" s="37" t="s">
        <v>3670</v>
      </c>
      <c r="AH1068" s="37" t="s">
        <v>3681</v>
      </c>
    </row>
    <row r="1069" spans="1:34" ht="14.45" hidden="1" customHeight="1" x14ac:dyDescent="0.3">
      <c r="A1069" s="6" t="s">
        <v>2292</v>
      </c>
      <c r="B1069" s="7">
        <v>46022</v>
      </c>
      <c r="C1069" s="6" t="s">
        <v>2291</v>
      </c>
      <c r="D1069" s="6" t="s">
        <v>320</v>
      </c>
      <c r="E1069" s="6" t="s">
        <v>2274</v>
      </c>
      <c r="F1069" s="6" t="s">
        <v>3229</v>
      </c>
      <c r="G1069" s="8">
        <v>1.4252289</v>
      </c>
      <c r="H1069" s="8">
        <v>9.0412429999999997</v>
      </c>
      <c r="I1069" s="15" t="s">
        <v>3227</v>
      </c>
      <c r="J1069" s="6" t="s">
        <v>2459</v>
      </c>
      <c r="K1069" s="6" t="s">
        <v>2460</v>
      </c>
      <c r="L1069" s="6"/>
      <c r="M1069" s="6"/>
      <c r="N1069" s="6" t="s">
        <v>3268</v>
      </c>
      <c r="O1069" s="6" t="s">
        <v>7</v>
      </c>
      <c r="P1069" s="6"/>
      <c r="Q1069" s="6"/>
      <c r="R1069" s="6"/>
      <c r="S1069" s="6"/>
      <c r="T1069" s="6"/>
      <c r="U1069" s="6"/>
      <c r="V1069" s="6"/>
      <c r="W1069" s="6"/>
      <c r="X1069" s="8"/>
      <c r="Y1069" s="6" t="s">
        <v>3238</v>
      </c>
      <c r="Z1069" s="6" t="s">
        <v>3254</v>
      </c>
      <c r="AA1069" s="37" t="s">
        <v>3678</v>
      </c>
      <c r="AB1069" s="39" t="s">
        <v>3665</v>
      </c>
      <c r="AC1069" s="37" t="s">
        <v>3679</v>
      </c>
      <c r="AD1069" s="37" t="s">
        <v>3678</v>
      </c>
      <c r="AE1069" s="37" t="s">
        <v>3680</v>
      </c>
      <c r="AF1069" s="39" t="s">
        <v>3676</v>
      </c>
      <c r="AG1069" s="37" t="s">
        <v>3670</v>
      </c>
      <c r="AH1069" s="37" t="s">
        <v>3681</v>
      </c>
    </row>
    <row r="1070" spans="1:34" ht="14.45" hidden="1" customHeight="1" x14ac:dyDescent="0.3">
      <c r="A1070" s="6" t="s">
        <v>2328</v>
      </c>
      <c r="B1070" s="7">
        <v>43639</v>
      </c>
      <c r="C1070" s="6" t="s">
        <v>2327</v>
      </c>
      <c r="D1070" s="6" t="s">
        <v>320</v>
      </c>
      <c r="E1070" s="6" t="s">
        <v>2274</v>
      </c>
      <c r="F1070" s="18" t="s">
        <v>3230</v>
      </c>
      <c r="G1070" s="8">
        <v>1.4307000000000001</v>
      </c>
      <c r="H1070" s="8">
        <v>9.0237999999999996</v>
      </c>
      <c r="I1070" s="16" t="s">
        <v>2497</v>
      </c>
      <c r="J1070" s="6" t="s">
        <v>2459</v>
      </c>
      <c r="K1070" s="6" t="s">
        <v>2460</v>
      </c>
      <c r="L1070" s="6"/>
      <c r="M1070" s="6"/>
      <c r="N1070" s="6" t="s">
        <v>3268</v>
      </c>
      <c r="O1070" s="6" t="s">
        <v>7</v>
      </c>
      <c r="P1070" s="6" t="str">
        <f>VLOOKUP(Tableau1[[#This Row],[SITES NAMES]],[1]Feuil1!$1:$1048576,8,FALSE)</f>
        <v>OK</v>
      </c>
      <c r="Q1070" s="6" t="str">
        <f>VLOOKUP(Tableau1[[#This Row],[SITES NAMES]],[1]Feuil1!$1:$1048576,9,FALSE)</f>
        <v>NO</v>
      </c>
      <c r="R1070" s="6" t="str">
        <f>VLOOKUP(Tableau1[[#This Row],[SITES NAMES]],[1]Feuil1!$1:$1048576,10,FALSE)</f>
        <v>NO</v>
      </c>
      <c r="S1070" s="6" t="s">
        <v>2469</v>
      </c>
      <c r="T1070" s="6" t="s">
        <v>2470</v>
      </c>
      <c r="U1070" s="6" t="s">
        <v>2471</v>
      </c>
      <c r="V1070" s="6" t="s">
        <v>2464</v>
      </c>
      <c r="W1070" s="6" t="s">
        <v>2476</v>
      </c>
      <c r="X1070" s="8"/>
      <c r="Y1070" s="6" t="s">
        <v>3238</v>
      </c>
      <c r="Z1070" s="6" t="s">
        <v>3254</v>
      </c>
      <c r="AA1070" s="37" t="s">
        <v>3678</v>
      </c>
      <c r="AB1070" s="39" t="s">
        <v>3665</v>
      </c>
      <c r="AC1070" s="37" t="s">
        <v>3679</v>
      </c>
      <c r="AD1070" s="37" t="s">
        <v>3678</v>
      </c>
      <c r="AE1070" s="37" t="s">
        <v>3680</v>
      </c>
      <c r="AF1070" s="39" t="s">
        <v>3676</v>
      </c>
      <c r="AG1070" s="37" t="s">
        <v>3670</v>
      </c>
      <c r="AH1070" s="37" t="s">
        <v>3681</v>
      </c>
    </row>
    <row r="1071" spans="1:34" ht="14.45" hidden="1" customHeight="1" x14ac:dyDescent="0.3">
      <c r="A1071" s="6" t="s">
        <v>1969</v>
      </c>
      <c r="B1071" s="7">
        <v>0</v>
      </c>
      <c r="C1071" s="6" t="s">
        <v>1968</v>
      </c>
      <c r="D1071" s="6" t="s">
        <v>395</v>
      </c>
      <c r="E1071" s="6" t="s">
        <v>1965</v>
      </c>
      <c r="F1071" s="6" t="s">
        <v>3229</v>
      </c>
      <c r="G1071" s="8">
        <v>0.72980999999999996</v>
      </c>
      <c r="H1071" s="8">
        <v>10.555289999999999</v>
      </c>
      <c r="I1071" s="6" t="s">
        <v>2467</v>
      </c>
      <c r="J1071" s="6" t="s">
        <v>2459</v>
      </c>
      <c r="K1071" s="6" t="s">
        <v>2468</v>
      </c>
      <c r="L1071" s="6" t="s">
        <v>2020</v>
      </c>
      <c r="M1071" s="6"/>
      <c r="N1071" s="6" t="s">
        <v>2468</v>
      </c>
      <c r="O1071" s="6" t="s">
        <v>40</v>
      </c>
      <c r="P1071" s="6" t="str">
        <f>VLOOKUP(Tableau1[[#This Row],[SITES NAMES]],[1]Feuil1!$1:$1048576,8,FALSE)</f>
        <v>OK</v>
      </c>
      <c r="Q1071" s="6" t="str">
        <f>VLOOKUP(Tableau1[[#This Row],[SITES NAMES]],[1]Feuil1!$1:$1048576,9,FALSE)</f>
        <v>NO</v>
      </c>
      <c r="R1071" s="6" t="str">
        <f>VLOOKUP(Tableau1[[#This Row],[SITES NAMES]],[1]Feuil1!$1:$1048576,10,FALSE)</f>
        <v>NO</v>
      </c>
      <c r="S1071" s="6" t="s">
        <v>2469</v>
      </c>
      <c r="T1071" s="6" t="s">
        <v>2470</v>
      </c>
      <c r="U1071" s="6" t="s">
        <v>2471</v>
      </c>
      <c r="V1071" s="6" t="s">
        <v>2472</v>
      </c>
      <c r="W1071" s="6" t="s">
        <v>2473</v>
      </c>
      <c r="X1071" s="8" t="s">
        <v>3066</v>
      </c>
      <c r="Y1071" s="6" t="s">
        <v>3240</v>
      </c>
      <c r="Z1071" s="6" t="s">
        <v>3255</v>
      </c>
      <c r="AA1071" s="37" t="s">
        <v>3712</v>
      </c>
      <c r="AB1071" s="39" t="s">
        <v>3705</v>
      </c>
      <c r="AC1071" s="37" t="s">
        <v>3713</v>
      </c>
      <c r="AD1071" s="37" t="s">
        <v>3712</v>
      </c>
      <c r="AE1071" s="37" t="s">
        <v>3712</v>
      </c>
      <c r="AF1071" s="37" t="s">
        <v>3712</v>
      </c>
      <c r="AG1071" s="40" t="s">
        <v>3714</v>
      </c>
      <c r="AH1071" s="37" t="s">
        <v>3715</v>
      </c>
    </row>
    <row r="1072" spans="1:34" ht="14.45" hidden="1" customHeight="1" x14ac:dyDescent="0.3">
      <c r="A1072" s="6" t="s">
        <v>2044</v>
      </c>
      <c r="B1072" s="7">
        <v>0</v>
      </c>
      <c r="C1072" s="6" t="s">
        <v>2043</v>
      </c>
      <c r="D1072" s="6" t="s">
        <v>395</v>
      </c>
      <c r="E1072" s="6" t="s">
        <v>1965</v>
      </c>
      <c r="F1072" s="6" t="s">
        <v>3229</v>
      </c>
      <c r="G1072" s="8">
        <v>0.49241099999999999</v>
      </c>
      <c r="H1072" s="8">
        <v>10.500838</v>
      </c>
      <c r="I1072" s="6" t="s">
        <v>2467</v>
      </c>
      <c r="J1072" s="6" t="s">
        <v>2459</v>
      </c>
      <c r="K1072" s="6" t="s">
        <v>2468</v>
      </c>
      <c r="L1072" s="6" t="s">
        <v>3586</v>
      </c>
      <c r="M1072" s="6"/>
      <c r="N1072" s="6" t="s">
        <v>2468</v>
      </c>
      <c r="O1072" s="6" t="s">
        <v>18</v>
      </c>
      <c r="P1072" s="6" t="str">
        <f>VLOOKUP(Tableau1[[#This Row],[SITES NAMES]],[1]Feuil1!$1:$1048576,8,FALSE)</f>
        <v>OK</v>
      </c>
      <c r="Q1072" s="6" t="str">
        <f>VLOOKUP(Tableau1[[#This Row],[SITES NAMES]],[1]Feuil1!$1:$1048576,9,FALSE)</f>
        <v>NO</v>
      </c>
      <c r="R1072" s="6" t="str">
        <f>VLOOKUP(Tableau1[[#This Row],[SITES NAMES]],[1]Feuil1!$1:$1048576,10,FALSE)</f>
        <v>NO</v>
      </c>
      <c r="S1072" s="6" t="s">
        <v>2461</v>
      </c>
      <c r="T1072" s="6" t="s">
        <v>2462</v>
      </c>
      <c r="U1072" s="6" t="s">
        <v>2463</v>
      </c>
      <c r="V1072" s="6" t="s">
        <v>2472</v>
      </c>
      <c r="W1072" s="6" t="s">
        <v>2473</v>
      </c>
      <c r="X1072" s="8" t="s">
        <v>3092</v>
      </c>
      <c r="Y1072" s="6" t="s">
        <v>3240</v>
      </c>
      <c r="Z1072" s="6" t="s">
        <v>3255</v>
      </c>
      <c r="AA1072" s="37" t="s">
        <v>3712</v>
      </c>
      <c r="AB1072" s="39" t="s">
        <v>3705</v>
      </c>
      <c r="AC1072" s="37" t="s">
        <v>3713</v>
      </c>
      <c r="AD1072" s="37" t="s">
        <v>3712</v>
      </c>
      <c r="AE1072" s="37" t="s">
        <v>3712</v>
      </c>
      <c r="AF1072" s="37" t="s">
        <v>3712</v>
      </c>
      <c r="AG1072" s="40" t="s">
        <v>3714</v>
      </c>
      <c r="AH1072" s="37" t="s">
        <v>3715</v>
      </c>
    </row>
    <row r="1073" spans="1:34" ht="14.45" hidden="1" customHeight="1" x14ac:dyDescent="0.3">
      <c r="A1073" s="6" t="s">
        <v>1989</v>
      </c>
      <c r="B1073" s="7">
        <v>0</v>
      </c>
      <c r="C1073" s="6" t="s">
        <v>1988</v>
      </c>
      <c r="D1073" s="6" t="s">
        <v>395</v>
      </c>
      <c r="E1073" s="6" t="s">
        <v>1965</v>
      </c>
      <c r="F1073" s="6" t="s">
        <v>3229</v>
      </c>
      <c r="G1073" s="8">
        <v>0.54932999999999998</v>
      </c>
      <c r="H1073" s="8">
        <v>10.278722200000001</v>
      </c>
      <c r="I1073" s="6" t="s">
        <v>2477</v>
      </c>
      <c r="J1073" s="6" t="s">
        <v>2459</v>
      </c>
      <c r="K1073" s="6" t="s">
        <v>2468</v>
      </c>
      <c r="L1073" s="6" t="s">
        <v>1975</v>
      </c>
      <c r="M1073" s="6"/>
      <c r="N1073" s="6" t="s">
        <v>2468</v>
      </c>
      <c r="O1073" s="6" t="s">
        <v>40</v>
      </c>
      <c r="P1073" s="6" t="str">
        <f>VLOOKUP(Tableau1[[#This Row],[SITES NAMES]],[1]Feuil1!$1:$1048576,8,FALSE)</f>
        <v>OK</v>
      </c>
      <c r="Q1073" s="6" t="str">
        <f>VLOOKUP(Tableau1[[#This Row],[SITES NAMES]],[1]Feuil1!$1:$1048576,9,FALSE)</f>
        <v>NO</v>
      </c>
      <c r="R1073" s="6" t="str">
        <f>VLOOKUP(Tableau1[[#This Row],[SITES NAMES]],[1]Feuil1!$1:$1048576,10,FALSE)</f>
        <v>NO</v>
      </c>
      <c r="S1073" s="6" t="s">
        <v>2469</v>
      </c>
      <c r="T1073" s="6" t="s">
        <v>2470</v>
      </c>
      <c r="U1073" s="6" t="s">
        <v>2471</v>
      </c>
      <c r="V1073" s="6" t="s">
        <v>2472</v>
      </c>
      <c r="W1073" s="6" t="s">
        <v>2473</v>
      </c>
      <c r="X1073" s="8" t="s">
        <v>3075</v>
      </c>
      <c r="Y1073" s="6" t="s">
        <v>3240</v>
      </c>
      <c r="Z1073" s="6" t="s">
        <v>3255</v>
      </c>
      <c r="AA1073" s="37" t="s">
        <v>3712</v>
      </c>
      <c r="AB1073" s="39" t="s">
        <v>3705</v>
      </c>
      <c r="AC1073" s="37" t="s">
        <v>3713</v>
      </c>
      <c r="AD1073" s="37" t="s">
        <v>3712</v>
      </c>
      <c r="AE1073" s="37" t="s">
        <v>3712</v>
      </c>
      <c r="AF1073" s="37" t="s">
        <v>3712</v>
      </c>
      <c r="AG1073" s="40" t="s">
        <v>3714</v>
      </c>
      <c r="AH1073" s="37" t="s">
        <v>3715</v>
      </c>
    </row>
    <row r="1074" spans="1:34" ht="14.45" hidden="1" customHeight="1" x14ac:dyDescent="0.3">
      <c r="A1074" s="6" t="s">
        <v>998</v>
      </c>
      <c r="B1074" s="7">
        <v>0</v>
      </c>
      <c r="C1074" s="6" t="s">
        <v>997</v>
      </c>
      <c r="D1074" s="6" t="s">
        <v>657</v>
      </c>
      <c r="E1074" s="6" t="s">
        <v>3235</v>
      </c>
      <c r="F1074" s="6" t="s">
        <v>3229</v>
      </c>
      <c r="G1074" s="8">
        <v>1.2711699999999999</v>
      </c>
      <c r="H1074" s="8">
        <v>9.3543900000000004</v>
      </c>
      <c r="I1074" s="6" t="s">
        <v>2486</v>
      </c>
      <c r="J1074" s="6" t="s">
        <v>2459</v>
      </c>
      <c r="K1074" s="6" t="s">
        <v>2468</v>
      </c>
      <c r="L1074" s="6" t="s">
        <v>3531</v>
      </c>
      <c r="M1074" s="6"/>
      <c r="N1074" s="6" t="s">
        <v>2468</v>
      </c>
      <c r="O1074" s="6" t="s">
        <v>7</v>
      </c>
      <c r="P1074" s="6" t="str">
        <f>VLOOKUP(Tableau1[[#This Row],[SITES NAMES]],[1]Feuil1!$1:$1048576,8,FALSE)</f>
        <v>OK</v>
      </c>
      <c r="Q1074" s="6" t="str">
        <f>VLOOKUP(Tableau1[[#This Row],[SITES NAMES]],[1]Feuil1!$1:$1048576,9,FALSE)</f>
        <v>NO</v>
      </c>
      <c r="R1074" s="6" t="str">
        <f>VLOOKUP(Tableau1[[#This Row],[SITES NAMES]],[1]Feuil1!$1:$1048576,10,FALSE)</f>
        <v>NO</v>
      </c>
      <c r="S1074" s="6" t="s">
        <v>2469</v>
      </c>
      <c r="T1074" s="6" t="s">
        <v>2470</v>
      </c>
      <c r="U1074" s="6" t="s">
        <v>2471</v>
      </c>
      <c r="V1074" s="6" t="s">
        <v>2472</v>
      </c>
      <c r="W1074" s="6" t="s">
        <v>2465</v>
      </c>
      <c r="X1074" s="8" t="s">
        <v>2835</v>
      </c>
      <c r="Y1074" s="6" t="s">
        <v>3239</v>
      </c>
      <c r="Z1074" s="6" t="s">
        <v>3253</v>
      </c>
      <c r="AA1074" s="37" t="s">
        <v>3698</v>
      </c>
      <c r="AB1074" s="38" t="s">
        <v>3683</v>
      </c>
      <c r="AC1074" s="39" t="s">
        <v>3699</v>
      </c>
      <c r="AD1074" s="39" t="s">
        <v>3700</v>
      </c>
      <c r="AE1074" s="37" t="s">
        <v>3701</v>
      </c>
      <c r="AF1074" s="39" t="s">
        <v>3702</v>
      </c>
      <c r="AG1074" s="40" t="s">
        <v>3685</v>
      </c>
      <c r="AH1074" s="37" t="s">
        <v>3703</v>
      </c>
    </row>
    <row r="1075" spans="1:34" ht="14.45" hidden="1" customHeight="1" x14ac:dyDescent="0.3">
      <c r="A1075" s="6" t="s">
        <v>749</v>
      </c>
      <c r="B1075" s="7">
        <v>43945</v>
      </c>
      <c r="C1075" s="6" t="s">
        <v>748</v>
      </c>
      <c r="D1075" s="6" t="s">
        <v>657</v>
      </c>
      <c r="E1075" s="6" t="s">
        <v>658</v>
      </c>
      <c r="F1075" s="6" t="s">
        <v>3229</v>
      </c>
      <c r="G1075" s="8">
        <v>0.61372199999999999</v>
      </c>
      <c r="H1075" s="8">
        <v>9.0587230000000005</v>
      </c>
      <c r="I1075" s="6" t="s">
        <v>2477</v>
      </c>
      <c r="J1075" s="6" t="s">
        <v>2459</v>
      </c>
      <c r="K1075" s="6" t="s">
        <v>2468</v>
      </c>
      <c r="L1075" s="6" t="s">
        <v>698</v>
      </c>
      <c r="M1075" s="6"/>
      <c r="N1075" s="6" t="s">
        <v>2468</v>
      </c>
      <c r="O1075" s="6" t="s">
        <v>40</v>
      </c>
      <c r="P1075" s="6" t="str">
        <f>VLOOKUP(Tableau1[[#This Row],[SITES NAMES]],[1]Feuil1!$1:$1048576,8,FALSE)</f>
        <v>OK</v>
      </c>
      <c r="Q1075" s="6" t="str">
        <f>VLOOKUP(Tableau1[[#This Row],[SITES NAMES]],[1]Feuil1!$1:$1048576,9,FALSE)</f>
        <v>NO</v>
      </c>
      <c r="R1075" s="6" t="str">
        <f>VLOOKUP(Tableau1[[#This Row],[SITES NAMES]],[1]Feuil1!$1:$1048576,10,FALSE)</f>
        <v>NO</v>
      </c>
      <c r="S1075" s="6" t="s">
        <v>2461</v>
      </c>
      <c r="T1075" s="6" t="s">
        <v>2462</v>
      </c>
      <c r="U1075" s="6" t="s">
        <v>2463</v>
      </c>
      <c r="V1075" s="6" t="s">
        <v>2472</v>
      </c>
      <c r="W1075" s="6" t="s">
        <v>2473</v>
      </c>
      <c r="X1075" s="8" t="s">
        <v>2750</v>
      </c>
      <c r="Y1075" s="6" t="s">
        <v>3239</v>
      </c>
      <c r="Z1075" s="6" t="s">
        <v>3253</v>
      </c>
      <c r="AA1075" s="38" t="s">
        <v>3682</v>
      </c>
      <c r="AB1075" s="38" t="s">
        <v>3683</v>
      </c>
      <c r="AC1075" s="38" t="s">
        <v>3684</v>
      </c>
      <c r="AD1075" s="38" t="s">
        <v>3682</v>
      </c>
      <c r="AE1075" s="38" t="s">
        <v>3682</v>
      </c>
      <c r="AF1075" s="38" t="s">
        <v>3682</v>
      </c>
      <c r="AG1075" s="40" t="s">
        <v>3685</v>
      </c>
      <c r="AH1075" s="37" t="s">
        <v>3686</v>
      </c>
    </row>
    <row r="1076" spans="1:34" ht="14.45" hidden="1" customHeight="1" x14ac:dyDescent="0.3">
      <c r="A1076" s="6" t="s">
        <v>378</v>
      </c>
      <c r="B1076" s="7">
        <v>0</v>
      </c>
      <c r="C1076" s="6" t="s">
        <v>377</v>
      </c>
      <c r="D1076" s="6" t="s">
        <v>320</v>
      </c>
      <c r="E1076" s="6" t="s">
        <v>321</v>
      </c>
      <c r="F1076" s="6" t="s">
        <v>3229</v>
      </c>
      <c r="G1076" s="8">
        <v>1.02362</v>
      </c>
      <c r="H1076" s="8">
        <v>8.05654</v>
      </c>
      <c r="I1076" s="6" t="s">
        <v>2477</v>
      </c>
      <c r="J1076" s="6" t="s">
        <v>2459</v>
      </c>
      <c r="K1076" s="6" t="s">
        <v>2468</v>
      </c>
      <c r="L1076" s="6"/>
      <c r="M1076" s="6"/>
      <c r="N1076" s="6" t="s">
        <v>2468</v>
      </c>
      <c r="O1076" s="6" t="s">
        <v>40</v>
      </c>
      <c r="P1076" s="6" t="str">
        <f>VLOOKUP(Tableau1[[#This Row],[SITES NAMES]],[1]Feuil1!$1:$1048576,8,FALSE)</f>
        <v>OK</v>
      </c>
      <c r="Q1076" s="6" t="str">
        <f>VLOOKUP(Tableau1[[#This Row],[SITES NAMES]],[1]Feuil1!$1:$1048576,9,FALSE)</f>
        <v>NO</v>
      </c>
      <c r="R1076" s="6" t="str">
        <f>VLOOKUP(Tableau1[[#This Row],[SITES NAMES]],[1]Feuil1!$1:$1048576,10,FALSE)</f>
        <v>NO</v>
      </c>
      <c r="S1076" s="6" t="s">
        <v>2469</v>
      </c>
      <c r="T1076" s="6" t="s">
        <v>2470</v>
      </c>
      <c r="U1076" s="6" t="s">
        <v>2471</v>
      </c>
      <c r="V1076" s="6" t="s">
        <v>2472</v>
      </c>
      <c r="W1076" s="6" t="s">
        <v>2473</v>
      </c>
      <c r="X1076" s="8" t="s">
        <v>2611</v>
      </c>
      <c r="Y1076" s="6" t="s">
        <v>3238</v>
      </c>
      <c r="Z1076" s="6" t="s">
        <v>3266</v>
      </c>
      <c r="AA1076" s="37" t="s">
        <v>3664</v>
      </c>
      <c r="AB1076" s="39" t="s">
        <v>3665</v>
      </c>
      <c r="AC1076" s="37" t="s">
        <v>3666</v>
      </c>
      <c r="AD1076" s="37" t="s">
        <v>3667</v>
      </c>
      <c r="AE1076" s="37" t="s">
        <v>3668</v>
      </c>
      <c r="AF1076" s="37" t="s">
        <v>3669</v>
      </c>
      <c r="AG1076" s="37" t="s">
        <v>3670</v>
      </c>
      <c r="AH1076" s="37" t="s">
        <v>3671</v>
      </c>
    </row>
    <row r="1077" spans="1:34" ht="14.45" hidden="1" customHeight="1" x14ac:dyDescent="0.3">
      <c r="A1077" s="6" t="s">
        <v>901</v>
      </c>
      <c r="B1077" s="7" t="s">
        <v>2804</v>
      </c>
      <c r="C1077" s="6" t="s">
        <v>900</v>
      </c>
      <c r="D1077" s="6" t="s">
        <v>657</v>
      </c>
      <c r="E1077" s="6" t="s">
        <v>3237</v>
      </c>
      <c r="F1077" s="6" t="s">
        <v>3229</v>
      </c>
      <c r="G1077" s="8">
        <v>1.1868099999999999</v>
      </c>
      <c r="H1077" s="8">
        <v>9.6606500000000004</v>
      </c>
      <c r="I1077" s="6" t="s">
        <v>2477</v>
      </c>
      <c r="J1077" s="6" t="s">
        <v>2459</v>
      </c>
      <c r="K1077" s="6" t="s">
        <v>2468</v>
      </c>
      <c r="L1077" s="6"/>
      <c r="M1077" s="6"/>
      <c r="N1077" s="6" t="s">
        <v>2468</v>
      </c>
      <c r="O1077" s="6" t="s">
        <v>7</v>
      </c>
      <c r="P1077" s="6" t="str">
        <f>VLOOKUP(Tableau1[[#This Row],[SITES NAMES]],[1]Feuil1!$1:$1048576,8,FALSE)</f>
        <v>NOK</v>
      </c>
      <c r="Q1077" s="6" t="str">
        <f>VLOOKUP(Tableau1[[#This Row],[SITES NAMES]],[1]Feuil1!$1:$1048576,9,FALSE)</f>
        <v>NO</v>
      </c>
      <c r="R1077" s="6" t="str">
        <f>VLOOKUP(Tableau1[[#This Row],[SITES NAMES]],[1]Feuil1!$1:$1048576,10,FALSE)</f>
        <v>NO</v>
      </c>
      <c r="S1077" s="6" t="s">
        <v>2461</v>
      </c>
      <c r="T1077" s="6" t="s">
        <v>2462</v>
      </c>
      <c r="U1077" s="6" t="s">
        <v>2463</v>
      </c>
      <c r="V1077" s="6" t="s">
        <v>2472</v>
      </c>
      <c r="W1077" s="6" t="s">
        <v>2473</v>
      </c>
      <c r="X1077" s="8" t="s">
        <v>2805</v>
      </c>
      <c r="Y1077" s="6" t="s">
        <v>3239</v>
      </c>
      <c r="Z1077" s="6" t="s">
        <v>3253</v>
      </c>
      <c r="AA1077" s="37" t="s">
        <v>3692</v>
      </c>
      <c r="AB1077" s="38" t="s">
        <v>3683</v>
      </c>
      <c r="AC1077" s="39" t="s">
        <v>3693</v>
      </c>
      <c r="AD1077" s="39" t="s">
        <v>3694</v>
      </c>
      <c r="AE1077" s="37" t="s">
        <v>3695</v>
      </c>
      <c r="AF1077" s="39" t="s">
        <v>3696</v>
      </c>
      <c r="AG1077" s="40" t="s">
        <v>3685</v>
      </c>
      <c r="AH1077" s="37" t="s">
        <v>3697</v>
      </c>
    </row>
    <row r="1078" spans="1:34" ht="14.45" hidden="1" customHeight="1" x14ac:dyDescent="0.3">
      <c r="A1078" s="6" t="s">
        <v>2267</v>
      </c>
      <c r="B1078" s="7">
        <v>44719</v>
      </c>
      <c r="C1078" s="6" t="s">
        <v>2266</v>
      </c>
      <c r="D1078" s="6" t="s">
        <v>320</v>
      </c>
      <c r="E1078" s="6" t="s">
        <v>2141</v>
      </c>
      <c r="F1078" s="6" t="s">
        <v>3229</v>
      </c>
      <c r="G1078" s="8">
        <v>1.02909999</v>
      </c>
      <c r="H1078" s="8">
        <v>9.1204330000000002</v>
      </c>
      <c r="I1078" s="6" t="s">
        <v>2477</v>
      </c>
      <c r="J1078" s="6" t="s">
        <v>2459</v>
      </c>
      <c r="K1078" s="6" t="s">
        <v>2460</v>
      </c>
      <c r="L1078" s="6" t="s">
        <v>2159</v>
      </c>
      <c r="M1078" s="6"/>
      <c r="N1078" s="6" t="s">
        <v>3268</v>
      </c>
      <c r="O1078" s="6" t="s">
        <v>37</v>
      </c>
      <c r="P1078" s="6" t="str">
        <f>VLOOKUP(Tableau1[[#This Row],[SITES NAMES]],[1]Feuil1!$1:$1048576,8,FALSE)</f>
        <v>OK</v>
      </c>
      <c r="Q1078" s="6" t="str">
        <f>VLOOKUP(Tableau1[[#This Row],[SITES NAMES]],[1]Feuil1!$1:$1048576,9,FALSE)</f>
        <v>YES</v>
      </c>
      <c r="R1078" s="6" t="str">
        <f>VLOOKUP(Tableau1[[#This Row],[SITES NAMES]],[1]Feuil1!$1:$1048576,10,FALSE)</f>
        <v>YES</v>
      </c>
      <c r="S1078" s="6" t="s">
        <v>2461</v>
      </c>
      <c r="T1078" s="6" t="s">
        <v>2462</v>
      </c>
      <c r="U1078" s="6" t="s">
        <v>2463</v>
      </c>
      <c r="V1078" s="6" t="s">
        <v>2472</v>
      </c>
      <c r="W1078" s="6" t="s">
        <v>2473</v>
      </c>
      <c r="X1078" s="8" t="s">
        <v>3174</v>
      </c>
      <c r="Y1078" s="6" t="s">
        <v>3238</v>
      </c>
      <c r="Z1078" s="6" t="s">
        <v>3254</v>
      </c>
      <c r="AA1078" s="37" t="s">
        <v>3672</v>
      </c>
      <c r="AB1078" s="39" t="s">
        <v>3665</v>
      </c>
      <c r="AC1078" s="37" t="s">
        <v>3673</v>
      </c>
      <c r="AD1078" s="37" t="s">
        <v>3674</v>
      </c>
      <c r="AE1078" s="37" t="s">
        <v>3675</v>
      </c>
      <c r="AF1078" s="39" t="s">
        <v>3676</v>
      </c>
      <c r="AG1078" s="37" t="s">
        <v>3670</v>
      </c>
      <c r="AH1078" s="37" t="s">
        <v>3677</v>
      </c>
    </row>
    <row r="1079" spans="1:34" ht="14.45" hidden="1" customHeight="1" x14ac:dyDescent="0.3">
      <c r="A1079" s="6" t="s">
        <v>751</v>
      </c>
      <c r="B1079" s="7">
        <v>0</v>
      </c>
      <c r="C1079" s="6" t="s">
        <v>750</v>
      </c>
      <c r="D1079" s="6" t="s">
        <v>657</v>
      </c>
      <c r="E1079" s="6" t="s">
        <v>658</v>
      </c>
      <c r="F1079" s="6" t="s">
        <v>3229</v>
      </c>
      <c r="G1079" s="8">
        <v>0.90869</v>
      </c>
      <c r="H1079" s="8">
        <v>9.2992600000000003</v>
      </c>
      <c r="I1079" s="6" t="s">
        <v>2477</v>
      </c>
      <c r="J1079" s="6" t="s">
        <v>2459</v>
      </c>
      <c r="K1079" s="6" t="s">
        <v>2468</v>
      </c>
      <c r="L1079" s="6" t="s">
        <v>3587</v>
      </c>
      <c r="M1079" s="6"/>
      <c r="N1079" s="6" t="s">
        <v>2468</v>
      </c>
      <c r="O1079" s="6" t="s">
        <v>40</v>
      </c>
      <c r="P1079" s="6" t="str">
        <f>VLOOKUP(Tableau1[[#This Row],[SITES NAMES]],[1]Feuil1!$1:$1048576,8,FALSE)</f>
        <v>OK</v>
      </c>
      <c r="Q1079" s="6" t="str">
        <f>VLOOKUP(Tableau1[[#This Row],[SITES NAMES]],[1]Feuil1!$1:$1048576,9,FALSE)</f>
        <v>NO</v>
      </c>
      <c r="R1079" s="6" t="str">
        <f>VLOOKUP(Tableau1[[#This Row],[SITES NAMES]],[1]Feuil1!$1:$1048576,10,FALSE)</f>
        <v>NO</v>
      </c>
      <c r="S1079" s="6" t="s">
        <v>2461</v>
      </c>
      <c r="T1079" s="6" t="s">
        <v>2462</v>
      </c>
      <c r="U1079" s="6" t="s">
        <v>2463</v>
      </c>
      <c r="V1079" s="6" t="s">
        <v>2472</v>
      </c>
      <c r="W1079" s="6" t="s">
        <v>2473</v>
      </c>
      <c r="X1079" s="8" t="s">
        <v>2751</v>
      </c>
      <c r="Y1079" s="6" t="s">
        <v>3239</v>
      </c>
      <c r="Z1079" s="6" t="s">
        <v>3253</v>
      </c>
      <c r="AA1079" s="38" t="s">
        <v>3682</v>
      </c>
      <c r="AB1079" s="38" t="s">
        <v>3683</v>
      </c>
      <c r="AC1079" s="38" t="s">
        <v>3684</v>
      </c>
      <c r="AD1079" s="38" t="s">
        <v>3682</v>
      </c>
      <c r="AE1079" s="38" t="s">
        <v>3682</v>
      </c>
      <c r="AF1079" s="38" t="s">
        <v>3682</v>
      </c>
      <c r="AG1079" s="40" t="s">
        <v>3685</v>
      </c>
      <c r="AH1079" s="37" t="s">
        <v>3686</v>
      </c>
    </row>
    <row r="1080" spans="1:34" ht="14.45" hidden="1" customHeight="1" x14ac:dyDescent="0.3">
      <c r="A1080" s="6" t="s">
        <v>2269</v>
      </c>
      <c r="B1080" s="7">
        <v>0</v>
      </c>
      <c r="C1080" s="6" t="s">
        <v>2268</v>
      </c>
      <c r="D1080" s="6" t="s">
        <v>320</v>
      </c>
      <c r="E1080" s="6" t="s">
        <v>2141</v>
      </c>
      <c r="F1080" s="6" t="s">
        <v>3229</v>
      </c>
      <c r="G1080" s="8">
        <v>1.125508</v>
      </c>
      <c r="H1080" s="8">
        <v>8.9888829999999995</v>
      </c>
      <c r="I1080" s="6" t="s">
        <v>2497</v>
      </c>
      <c r="J1080" s="6" t="s">
        <v>2459</v>
      </c>
      <c r="K1080" s="6" t="s">
        <v>2460</v>
      </c>
      <c r="L1080" s="6"/>
      <c r="M1080" s="6"/>
      <c r="N1080" s="6" t="s">
        <v>3268</v>
      </c>
      <c r="O1080" s="6" t="s">
        <v>7</v>
      </c>
      <c r="P1080" s="6" t="str">
        <f>VLOOKUP(Tableau1[[#This Row],[SITES NAMES]],[1]Feuil1!$1:$1048576,8,FALSE)</f>
        <v>OK</v>
      </c>
      <c r="Q1080" s="6" t="str">
        <f>VLOOKUP(Tableau1[[#This Row],[SITES NAMES]],[1]Feuil1!$1:$1048576,9,FALSE)</f>
        <v>NO</v>
      </c>
      <c r="R1080" s="6" t="str">
        <f>VLOOKUP(Tableau1[[#This Row],[SITES NAMES]],[1]Feuil1!$1:$1048576,10,FALSE)</f>
        <v>NO</v>
      </c>
      <c r="S1080" s="6" t="s">
        <v>2469</v>
      </c>
      <c r="T1080" s="6" t="s">
        <v>2470</v>
      </c>
      <c r="U1080" s="6" t="s">
        <v>2480</v>
      </c>
      <c r="V1080" s="6" t="s">
        <v>2472</v>
      </c>
      <c r="W1080" s="6" t="s">
        <v>2476</v>
      </c>
      <c r="X1080" s="8" t="s">
        <v>3175</v>
      </c>
      <c r="Y1080" s="6" t="s">
        <v>3238</v>
      </c>
      <c r="Z1080" s="6" t="s">
        <v>3254</v>
      </c>
      <c r="AA1080" s="37" t="s">
        <v>3672</v>
      </c>
      <c r="AB1080" s="39" t="s">
        <v>3665</v>
      </c>
      <c r="AC1080" s="37" t="s">
        <v>3673</v>
      </c>
      <c r="AD1080" s="37" t="s">
        <v>3674</v>
      </c>
      <c r="AE1080" s="37" t="s">
        <v>3675</v>
      </c>
      <c r="AF1080" s="39" t="s">
        <v>3676</v>
      </c>
      <c r="AG1080" s="37" t="s">
        <v>3670</v>
      </c>
      <c r="AH1080" s="37" t="s">
        <v>3677</v>
      </c>
    </row>
    <row r="1081" spans="1:34" ht="14.45" hidden="1" customHeight="1" x14ac:dyDescent="0.3">
      <c r="A1081" s="6" t="s">
        <v>380</v>
      </c>
      <c r="B1081" s="7">
        <v>0</v>
      </c>
      <c r="C1081" s="6" t="s">
        <v>379</v>
      </c>
      <c r="D1081" s="6" t="s">
        <v>320</v>
      </c>
      <c r="E1081" s="6" t="s">
        <v>321</v>
      </c>
      <c r="F1081" s="6" t="s">
        <v>3229</v>
      </c>
      <c r="G1081" s="8">
        <v>0.98831400000000003</v>
      </c>
      <c r="H1081" s="8">
        <v>8.4337800000000005</v>
      </c>
      <c r="I1081" s="6" t="s">
        <v>2486</v>
      </c>
      <c r="J1081" s="6" t="s">
        <v>2459</v>
      </c>
      <c r="K1081" s="6" t="s">
        <v>2460</v>
      </c>
      <c r="L1081" s="6"/>
      <c r="M1081" s="6"/>
      <c r="N1081" s="6" t="s">
        <v>3268</v>
      </c>
      <c r="O1081" s="6" t="s">
        <v>7</v>
      </c>
      <c r="P1081" s="6" t="str">
        <f>VLOOKUP(Tableau1[[#This Row],[SITES NAMES]],[1]Feuil1!$1:$1048576,8,FALSE)</f>
        <v>OK</v>
      </c>
      <c r="Q1081" s="6" t="str">
        <f>VLOOKUP(Tableau1[[#This Row],[SITES NAMES]],[1]Feuil1!$1:$1048576,9,FALSE)</f>
        <v>NO</v>
      </c>
      <c r="R1081" s="6" t="str">
        <f>VLOOKUP(Tableau1[[#This Row],[SITES NAMES]],[1]Feuil1!$1:$1048576,10,FALSE)</f>
        <v>NO</v>
      </c>
      <c r="S1081" s="6" t="s">
        <v>2469</v>
      </c>
      <c r="T1081" s="6" t="s">
        <v>2470</v>
      </c>
      <c r="U1081" s="6" t="s">
        <v>2480</v>
      </c>
      <c r="V1081" s="6" t="s">
        <v>2464</v>
      </c>
      <c r="W1081" s="6" t="s">
        <v>2473</v>
      </c>
      <c r="X1081" s="8" t="s">
        <v>2612</v>
      </c>
      <c r="Y1081" s="6" t="s">
        <v>3238</v>
      </c>
      <c r="Z1081" s="6" t="s">
        <v>3266</v>
      </c>
      <c r="AA1081" s="37" t="s">
        <v>3664</v>
      </c>
      <c r="AB1081" s="39" t="s">
        <v>3665</v>
      </c>
      <c r="AC1081" s="37" t="s">
        <v>3666</v>
      </c>
      <c r="AD1081" s="37" t="s">
        <v>3667</v>
      </c>
      <c r="AE1081" s="37" t="s">
        <v>3668</v>
      </c>
      <c r="AF1081" s="37" t="s">
        <v>3669</v>
      </c>
      <c r="AG1081" s="37" t="s">
        <v>3670</v>
      </c>
      <c r="AH1081" s="37" t="s">
        <v>3671</v>
      </c>
    </row>
    <row r="1082" spans="1:34" ht="14.45" hidden="1" customHeight="1" x14ac:dyDescent="0.3">
      <c r="A1082" s="6" t="s">
        <v>654</v>
      </c>
      <c r="B1082" s="7">
        <v>0</v>
      </c>
      <c r="C1082" s="6" t="s">
        <v>653</v>
      </c>
      <c r="D1082" s="6" t="s">
        <v>132</v>
      </c>
      <c r="E1082" s="6" t="s">
        <v>565</v>
      </c>
      <c r="F1082" s="6" t="s">
        <v>3229</v>
      </c>
      <c r="G1082" s="8">
        <v>1.3421400000000001</v>
      </c>
      <c r="H1082" s="8">
        <v>8.2023799999999998</v>
      </c>
      <c r="I1082" s="6" t="s">
        <v>2477</v>
      </c>
      <c r="J1082" s="6" t="s">
        <v>2459</v>
      </c>
      <c r="K1082" s="6" t="s">
        <v>2460</v>
      </c>
      <c r="L1082" s="6"/>
      <c r="M1082" s="6"/>
      <c r="N1082" s="6" t="s">
        <v>3268</v>
      </c>
      <c r="O1082" s="6" t="s">
        <v>40</v>
      </c>
      <c r="P1082" s="6" t="str">
        <f>VLOOKUP(Tableau1[[#This Row],[SITES NAMES]],[1]Feuil1!$1:$1048576,8,FALSE)</f>
        <v>OK</v>
      </c>
      <c r="Q1082" s="6" t="str">
        <f>VLOOKUP(Tableau1[[#This Row],[SITES NAMES]],[1]Feuil1!$1:$1048576,9,FALSE)</f>
        <v>NO</v>
      </c>
      <c r="R1082" s="6" t="str">
        <f>VLOOKUP(Tableau1[[#This Row],[SITES NAMES]],[1]Feuil1!$1:$1048576,10,FALSE)</f>
        <v>NO</v>
      </c>
      <c r="S1082" s="6" t="s">
        <v>2469</v>
      </c>
      <c r="T1082" s="6" t="s">
        <v>2470</v>
      </c>
      <c r="U1082" s="6" t="s">
        <v>2471</v>
      </c>
      <c r="V1082" s="6" t="s">
        <v>2472</v>
      </c>
      <c r="W1082" s="6" t="s">
        <v>2473</v>
      </c>
      <c r="X1082" s="8" t="s">
        <v>2712</v>
      </c>
      <c r="Y1082" s="6" t="s">
        <v>3238</v>
      </c>
      <c r="Z1082" s="6" t="s">
        <v>3254</v>
      </c>
      <c r="AA1082" s="37" t="s">
        <v>3660</v>
      </c>
      <c r="AB1082" s="39" t="s">
        <v>3644</v>
      </c>
      <c r="AC1082" s="37" t="s">
        <v>3661</v>
      </c>
      <c r="AD1082" s="39" t="s">
        <v>3646</v>
      </c>
      <c r="AE1082" s="39" t="s">
        <v>3647</v>
      </c>
      <c r="AF1082" s="39" t="s">
        <v>3662</v>
      </c>
      <c r="AG1082" s="37" t="s">
        <v>3649</v>
      </c>
      <c r="AH1082" s="37" t="s">
        <v>3663</v>
      </c>
    </row>
    <row r="1083" spans="1:34" ht="14.45" hidden="1" customHeight="1" x14ac:dyDescent="0.3">
      <c r="A1083" s="6" t="s">
        <v>2057</v>
      </c>
      <c r="B1083" s="7">
        <v>43902</v>
      </c>
      <c r="C1083" s="6" t="s">
        <v>2056</v>
      </c>
      <c r="D1083" s="6" t="s">
        <v>132</v>
      </c>
      <c r="E1083" s="6" t="s">
        <v>2049</v>
      </c>
      <c r="F1083" s="6" t="s">
        <v>3229</v>
      </c>
      <c r="G1083" s="8">
        <v>1.0528219999999999</v>
      </c>
      <c r="H1083" s="8">
        <v>7.1132540000000004</v>
      </c>
      <c r="I1083" s="6" t="s">
        <v>2482</v>
      </c>
      <c r="J1083" s="6" t="s">
        <v>2459</v>
      </c>
      <c r="K1083" s="6" t="s">
        <v>2468</v>
      </c>
      <c r="L1083" s="6" t="s">
        <v>2087</v>
      </c>
      <c r="M1083" s="6"/>
      <c r="N1083" s="6" t="s">
        <v>2468</v>
      </c>
      <c r="O1083" s="6" t="s">
        <v>37</v>
      </c>
      <c r="P1083" s="6" t="str">
        <f>VLOOKUP(Tableau1[[#This Row],[SITES NAMES]],[1]Feuil1!$1:$1048576,8,FALSE)</f>
        <v>OK</v>
      </c>
      <c r="Q1083" s="6" t="str">
        <f>VLOOKUP(Tableau1[[#This Row],[SITES NAMES]],[1]Feuil1!$1:$1048576,9,FALSE)</f>
        <v>YES</v>
      </c>
      <c r="R1083" s="6" t="str">
        <f>VLOOKUP(Tableau1[[#This Row],[SITES NAMES]],[1]Feuil1!$1:$1048576,10,FALSE)</f>
        <v>NO</v>
      </c>
      <c r="S1083" s="6" t="s">
        <v>2469</v>
      </c>
      <c r="T1083" s="6" t="s">
        <v>2470</v>
      </c>
      <c r="U1083" s="6" t="s">
        <v>2471</v>
      </c>
      <c r="V1083" s="6" t="s">
        <v>2472</v>
      </c>
      <c r="W1083" s="6" t="s">
        <v>2473</v>
      </c>
      <c r="X1083" s="8" t="s">
        <v>3099</v>
      </c>
      <c r="Y1083" s="6" t="s">
        <v>3238</v>
      </c>
      <c r="Z1083" s="6" t="s">
        <v>3257</v>
      </c>
      <c r="AA1083" s="45" t="s">
        <v>3656</v>
      </c>
      <c r="AB1083" s="39" t="s">
        <v>3644</v>
      </c>
      <c r="AC1083" s="45" t="s">
        <v>3657</v>
      </c>
      <c r="AD1083" s="37" t="s">
        <v>3658</v>
      </c>
      <c r="AE1083" s="37" t="s">
        <v>3647</v>
      </c>
      <c r="AF1083" s="39" t="s">
        <v>3648</v>
      </c>
      <c r="AG1083" s="37" t="s">
        <v>3649</v>
      </c>
      <c r="AH1083" s="37" t="s">
        <v>3659</v>
      </c>
    </row>
    <row r="1084" spans="1:34" ht="14.45" hidden="1" customHeight="1" x14ac:dyDescent="0.3">
      <c r="A1084" s="6" t="s">
        <v>2345</v>
      </c>
      <c r="B1084" s="7">
        <v>43873</v>
      </c>
      <c r="C1084" s="6" t="s">
        <v>2344</v>
      </c>
      <c r="D1084" s="6" t="s">
        <v>5</v>
      </c>
      <c r="E1084" s="6" t="s">
        <v>2333</v>
      </c>
      <c r="F1084" s="6" t="s">
        <v>3229</v>
      </c>
      <c r="G1084" s="8">
        <v>1.3722840000000001</v>
      </c>
      <c r="H1084" s="8">
        <v>6.4790330000000003</v>
      </c>
      <c r="I1084" s="6" t="s">
        <v>2482</v>
      </c>
      <c r="J1084" s="6" t="s">
        <v>2459</v>
      </c>
      <c r="K1084" s="6" t="s">
        <v>2468</v>
      </c>
      <c r="L1084" s="6" t="s">
        <v>2401</v>
      </c>
      <c r="M1084" s="6"/>
      <c r="N1084" s="6" t="s">
        <v>2468</v>
      </c>
      <c r="O1084" s="6" t="s">
        <v>7</v>
      </c>
      <c r="P1084" s="6" t="str">
        <f>VLOOKUP(Tableau1[[#This Row],[SITES NAMES]],[1]Feuil1!$1:$1048576,8,FALSE)</f>
        <v>OK</v>
      </c>
      <c r="Q1084" s="6" t="str">
        <f>VLOOKUP(Tableau1[[#This Row],[SITES NAMES]],[1]Feuil1!$1:$1048576,9,FALSE)</f>
        <v>NO</v>
      </c>
      <c r="R1084" s="6" t="str">
        <f>VLOOKUP(Tableau1[[#This Row],[SITES NAMES]],[1]Feuil1!$1:$1048576,10,FALSE)</f>
        <v>NO</v>
      </c>
      <c r="S1084" s="6" t="s">
        <v>2469</v>
      </c>
      <c r="T1084" s="6" t="s">
        <v>2470</v>
      </c>
      <c r="U1084" s="6" t="s">
        <v>2480</v>
      </c>
      <c r="V1084" s="6" t="s">
        <v>2472</v>
      </c>
      <c r="W1084" s="6" t="s">
        <v>2473</v>
      </c>
      <c r="X1084" s="8" t="s">
        <v>3204</v>
      </c>
      <c r="Y1084" s="6" t="s">
        <v>3241</v>
      </c>
      <c r="Z1084" s="6"/>
      <c r="AA1084" s="37"/>
      <c r="AB1084" s="38" t="s">
        <v>3627</v>
      </c>
      <c r="AC1084" s="37" t="s">
        <v>3640</v>
      </c>
      <c r="AD1084" s="39" t="s">
        <v>3641</v>
      </c>
      <c r="AE1084" s="37"/>
      <c r="AF1084" s="39" t="s">
        <v>3641</v>
      </c>
      <c r="AG1084" s="37"/>
      <c r="AH1084" s="37" t="s">
        <v>3642</v>
      </c>
    </row>
    <row r="1085" spans="1:34" ht="14.45" hidden="1" customHeight="1" x14ac:dyDescent="0.3">
      <c r="A1085" s="6" t="s">
        <v>831</v>
      </c>
      <c r="B1085" s="7">
        <v>46022</v>
      </c>
      <c r="C1085" s="6" t="s">
        <v>830</v>
      </c>
      <c r="D1085" s="6" t="s">
        <v>657</v>
      </c>
      <c r="E1085" s="6" t="s">
        <v>3237</v>
      </c>
      <c r="F1085" s="6" t="s">
        <v>3229</v>
      </c>
      <c r="G1085" s="8">
        <v>1.285571</v>
      </c>
      <c r="H1085" s="8">
        <v>9.7146170000000005</v>
      </c>
      <c r="I1085" s="15" t="s">
        <v>2477</v>
      </c>
      <c r="J1085" s="6" t="s">
        <v>2459</v>
      </c>
      <c r="K1085" s="6" t="s">
        <v>2468</v>
      </c>
      <c r="L1085" s="6"/>
      <c r="M1085" s="6"/>
      <c r="N1085" s="6" t="s">
        <v>2468</v>
      </c>
      <c r="O1085" s="6" t="s">
        <v>7</v>
      </c>
      <c r="P1085" s="6"/>
      <c r="Q1085" s="6"/>
      <c r="R1085" s="6"/>
      <c r="S1085" s="6"/>
      <c r="T1085" s="6"/>
      <c r="U1085" s="6"/>
      <c r="V1085" s="6"/>
      <c r="W1085" s="6"/>
      <c r="X1085" s="8"/>
      <c r="Y1085" s="6" t="s">
        <v>3239</v>
      </c>
      <c r="Z1085" s="6" t="s">
        <v>3253</v>
      </c>
      <c r="AA1085" s="37" t="s">
        <v>3692</v>
      </c>
      <c r="AB1085" s="38" t="s">
        <v>3683</v>
      </c>
      <c r="AC1085" s="39" t="s">
        <v>3693</v>
      </c>
      <c r="AD1085" s="39" t="s">
        <v>3694</v>
      </c>
      <c r="AE1085" s="37" t="s">
        <v>3695</v>
      </c>
      <c r="AF1085" s="39" t="s">
        <v>3696</v>
      </c>
      <c r="AG1085" s="40" t="s">
        <v>3685</v>
      </c>
      <c r="AH1085" s="37" t="s">
        <v>3697</v>
      </c>
    </row>
    <row r="1086" spans="1:34" ht="14.45" hidden="1" customHeight="1" x14ac:dyDescent="0.3">
      <c r="A1086" s="6" t="s">
        <v>2271</v>
      </c>
      <c r="B1086" s="7">
        <v>43889</v>
      </c>
      <c r="C1086" s="6" t="s">
        <v>2270</v>
      </c>
      <c r="D1086" s="6" t="s">
        <v>320</v>
      </c>
      <c r="E1086" s="6" t="s">
        <v>2141</v>
      </c>
      <c r="F1086" s="6" t="s">
        <v>3229</v>
      </c>
      <c r="G1086" s="8">
        <v>1.3979269999999999</v>
      </c>
      <c r="H1086" s="8">
        <v>9.2958230000000004</v>
      </c>
      <c r="I1086" s="6" t="s">
        <v>2477</v>
      </c>
      <c r="J1086" s="6" t="s">
        <v>2459</v>
      </c>
      <c r="K1086" s="6" t="s">
        <v>2468</v>
      </c>
      <c r="L1086" s="6" t="s">
        <v>2219</v>
      </c>
      <c r="M1086" s="6"/>
      <c r="N1086" s="6" t="s">
        <v>2468</v>
      </c>
      <c r="O1086" s="6" t="s">
        <v>7</v>
      </c>
      <c r="P1086" s="6" t="str">
        <f>VLOOKUP(Tableau1[[#This Row],[SITES NAMES]],[1]Feuil1!$1:$1048576,8,FALSE)</f>
        <v>OK</v>
      </c>
      <c r="Q1086" s="6" t="str">
        <f>VLOOKUP(Tableau1[[#This Row],[SITES NAMES]],[1]Feuil1!$1:$1048576,9,FALSE)</f>
        <v>NO</v>
      </c>
      <c r="R1086" s="6" t="str">
        <f>VLOOKUP(Tableau1[[#This Row],[SITES NAMES]],[1]Feuil1!$1:$1048576,10,FALSE)</f>
        <v>NO</v>
      </c>
      <c r="S1086" s="6" t="s">
        <v>2461</v>
      </c>
      <c r="T1086" s="6" t="s">
        <v>2462</v>
      </c>
      <c r="U1086" s="6" t="s">
        <v>2463</v>
      </c>
      <c r="V1086" s="6" t="s">
        <v>2472</v>
      </c>
      <c r="W1086" s="6" t="s">
        <v>2473</v>
      </c>
      <c r="X1086" s="8" t="s">
        <v>3176</v>
      </c>
      <c r="Y1086" s="6" t="s">
        <v>3239</v>
      </c>
      <c r="Z1086" s="6" t="s">
        <v>3253</v>
      </c>
      <c r="AA1086" s="37" t="s">
        <v>3672</v>
      </c>
      <c r="AB1086" s="39" t="s">
        <v>3665</v>
      </c>
      <c r="AC1086" s="37" t="s">
        <v>3673</v>
      </c>
      <c r="AD1086" s="37" t="s">
        <v>3674</v>
      </c>
      <c r="AE1086" s="37" t="s">
        <v>3675</v>
      </c>
      <c r="AF1086" s="39" t="s">
        <v>3676</v>
      </c>
      <c r="AG1086" s="37" t="s">
        <v>3670</v>
      </c>
      <c r="AH1086" s="37" t="s">
        <v>3677</v>
      </c>
    </row>
    <row r="1087" spans="1:34" ht="14.45" hidden="1" customHeight="1" x14ac:dyDescent="0.3">
      <c r="A1087" s="6" t="s">
        <v>2128</v>
      </c>
      <c r="B1087" s="7">
        <v>43687</v>
      </c>
      <c r="C1087" s="6" t="s">
        <v>2127</v>
      </c>
      <c r="D1087" s="6" t="s">
        <v>132</v>
      </c>
      <c r="E1087" s="6" t="s">
        <v>2049</v>
      </c>
      <c r="F1087" s="6" t="s">
        <v>3229</v>
      </c>
      <c r="G1087" s="8">
        <v>1.004696</v>
      </c>
      <c r="H1087" s="8">
        <v>7.0184870000000004</v>
      </c>
      <c r="I1087" s="6" t="s">
        <v>2477</v>
      </c>
      <c r="J1087" s="6" t="s">
        <v>2459</v>
      </c>
      <c r="K1087" s="6" t="s">
        <v>2468</v>
      </c>
      <c r="L1087" s="6" t="s">
        <v>2049</v>
      </c>
      <c r="M1087" s="6"/>
      <c r="N1087" s="6" t="s">
        <v>2468</v>
      </c>
      <c r="O1087" s="6" t="s">
        <v>40</v>
      </c>
      <c r="P1087" s="6" t="str">
        <f>VLOOKUP(Tableau1[[#This Row],[SITES NAMES]],[1]Feuil1!$1:$1048576,8,FALSE)</f>
        <v>OK</v>
      </c>
      <c r="Q1087" s="6" t="str">
        <f>VLOOKUP(Tableau1[[#This Row],[SITES NAMES]],[1]Feuil1!$1:$1048576,9,FALSE)</f>
        <v>NO</v>
      </c>
      <c r="R1087" s="6" t="str">
        <f>VLOOKUP(Tableau1[[#This Row],[SITES NAMES]],[1]Feuil1!$1:$1048576,10,FALSE)</f>
        <v>NO</v>
      </c>
      <c r="S1087" s="6" t="s">
        <v>2461</v>
      </c>
      <c r="T1087" s="6" t="s">
        <v>2462</v>
      </c>
      <c r="U1087" s="6" t="s">
        <v>2463</v>
      </c>
      <c r="V1087" s="6" t="s">
        <v>2472</v>
      </c>
      <c r="W1087" s="6" t="s">
        <v>2473</v>
      </c>
      <c r="X1087" s="8" t="s">
        <v>3126</v>
      </c>
      <c r="Y1087" s="6" t="s">
        <v>3238</v>
      </c>
      <c r="Z1087" s="6" t="s">
        <v>3257</v>
      </c>
      <c r="AA1087" s="45" t="s">
        <v>3656</v>
      </c>
      <c r="AB1087" s="39" t="s">
        <v>3644</v>
      </c>
      <c r="AC1087" s="45" t="s">
        <v>3657</v>
      </c>
      <c r="AD1087" s="37" t="s">
        <v>3658</v>
      </c>
      <c r="AE1087" s="37" t="s">
        <v>3647</v>
      </c>
      <c r="AF1087" s="39" t="s">
        <v>3648</v>
      </c>
      <c r="AG1087" s="37" t="s">
        <v>3649</v>
      </c>
      <c r="AH1087" s="37" t="s">
        <v>3659</v>
      </c>
    </row>
    <row r="1088" spans="1:34" ht="14.45" hidden="1" customHeight="1" x14ac:dyDescent="0.3">
      <c r="A1088" s="6" t="s">
        <v>426</v>
      </c>
      <c r="B1088" s="7">
        <v>43866</v>
      </c>
      <c r="C1088" s="6" t="s">
        <v>425</v>
      </c>
      <c r="D1088" s="6" t="s">
        <v>395</v>
      </c>
      <c r="E1088" s="6" t="s">
        <v>396</v>
      </c>
      <c r="F1088" s="6" t="s">
        <v>3229</v>
      </c>
      <c r="G1088" s="8">
        <v>0.56022000000000005</v>
      </c>
      <c r="H1088" s="8">
        <v>10.93764</v>
      </c>
      <c r="I1088" s="6" t="s">
        <v>2477</v>
      </c>
      <c r="J1088" s="6" t="s">
        <v>2459</v>
      </c>
      <c r="K1088" s="6" t="s">
        <v>2468</v>
      </c>
      <c r="L1088" s="6" t="s">
        <v>414</v>
      </c>
      <c r="M1088" s="6"/>
      <c r="N1088" s="6" t="s">
        <v>2468</v>
      </c>
      <c r="O1088" s="6" t="s">
        <v>40</v>
      </c>
      <c r="P1088" s="6" t="str">
        <f>VLOOKUP(Tableau1[[#This Row],[SITES NAMES]],[1]Feuil1!$1:$1048576,8,FALSE)</f>
        <v>NOK</v>
      </c>
      <c r="Q1088" s="6" t="str">
        <f>VLOOKUP(Tableau1[[#This Row],[SITES NAMES]],[1]Feuil1!$1:$1048576,9,FALSE)</f>
        <v>NO</v>
      </c>
      <c r="R1088" s="6" t="str">
        <f>VLOOKUP(Tableau1[[#This Row],[SITES NAMES]],[1]Feuil1!$1:$1048576,10,FALSE)</f>
        <v>YES</v>
      </c>
      <c r="S1088" s="6" t="s">
        <v>2461</v>
      </c>
      <c r="T1088" s="6" t="s">
        <v>2462</v>
      </c>
      <c r="U1088" s="6" t="s">
        <v>2463</v>
      </c>
      <c r="V1088" s="6" t="s">
        <v>2472</v>
      </c>
      <c r="W1088" s="6" t="s">
        <v>2473</v>
      </c>
      <c r="X1088" s="8" t="s">
        <v>2634</v>
      </c>
      <c r="Y1088" s="6" t="s">
        <v>3240</v>
      </c>
      <c r="Z1088" s="6" t="s">
        <v>3255</v>
      </c>
      <c r="AA1088" s="37" t="s">
        <v>3704</v>
      </c>
      <c r="AB1088" s="39" t="s">
        <v>3705</v>
      </c>
      <c r="AC1088" s="37" t="s">
        <v>3706</v>
      </c>
      <c r="AD1088" s="37" t="s">
        <v>3707</v>
      </c>
      <c r="AE1088" s="37" t="s">
        <v>3708</v>
      </c>
      <c r="AF1088" s="37" t="s">
        <v>3709</v>
      </c>
      <c r="AG1088" s="46" t="s">
        <v>3710</v>
      </c>
      <c r="AH1088" s="37" t="s">
        <v>3711</v>
      </c>
    </row>
    <row r="1089" spans="1:34" ht="14.45" hidden="1" customHeight="1" x14ac:dyDescent="0.3">
      <c r="A1089" s="6" t="s">
        <v>903</v>
      </c>
      <c r="B1089" s="7">
        <v>0</v>
      </c>
      <c r="C1089" s="6" t="s">
        <v>902</v>
      </c>
      <c r="D1089" s="6" t="s">
        <v>657</v>
      </c>
      <c r="E1089" s="6" t="s">
        <v>3237</v>
      </c>
      <c r="F1089" s="6" t="s">
        <v>3229</v>
      </c>
      <c r="G1089" s="8">
        <v>1.1464099999999999</v>
      </c>
      <c r="H1089" s="8">
        <v>9.6200899999999994</v>
      </c>
      <c r="I1089" s="6" t="s">
        <v>2497</v>
      </c>
      <c r="J1089" s="6" t="s">
        <v>2459</v>
      </c>
      <c r="K1089" s="6" t="s">
        <v>2460</v>
      </c>
      <c r="L1089" s="6"/>
      <c r="M1089" s="6"/>
      <c r="N1089" s="6" t="s">
        <v>3268</v>
      </c>
      <c r="O1089" s="6" t="s">
        <v>7</v>
      </c>
      <c r="P1089" s="6" t="str">
        <f>VLOOKUP(Tableau1[[#This Row],[SITES NAMES]],[1]Feuil1!$1:$1048576,8,FALSE)</f>
        <v>NOK</v>
      </c>
      <c r="Q1089" s="6" t="str">
        <f>VLOOKUP(Tableau1[[#This Row],[SITES NAMES]],[1]Feuil1!$1:$1048576,9,FALSE)</f>
        <v>NO</v>
      </c>
      <c r="R1089" s="6" t="str">
        <f>VLOOKUP(Tableau1[[#This Row],[SITES NAMES]],[1]Feuil1!$1:$1048576,10,FALSE)</f>
        <v>NO</v>
      </c>
      <c r="S1089" s="6" t="s">
        <v>2461</v>
      </c>
      <c r="T1089" s="6" t="s">
        <v>2462</v>
      </c>
      <c r="U1089" s="6" t="s">
        <v>2463</v>
      </c>
      <c r="V1089" s="6" t="s">
        <v>2464</v>
      </c>
      <c r="W1089" s="6" t="s">
        <v>2465</v>
      </c>
      <c r="X1089" s="8" t="s">
        <v>2806</v>
      </c>
      <c r="Y1089" s="6" t="s">
        <v>3239</v>
      </c>
      <c r="Z1089" s="6" t="s">
        <v>3253</v>
      </c>
      <c r="AA1089" s="37" t="s">
        <v>3692</v>
      </c>
      <c r="AB1089" s="38" t="s">
        <v>3683</v>
      </c>
      <c r="AC1089" s="39" t="s">
        <v>3693</v>
      </c>
      <c r="AD1089" s="39" t="s">
        <v>3694</v>
      </c>
      <c r="AE1089" s="37" t="s">
        <v>3695</v>
      </c>
      <c r="AF1089" s="39" t="s">
        <v>3696</v>
      </c>
      <c r="AG1089" s="40" t="s">
        <v>3685</v>
      </c>
      <c r="AH1089" s="37" t="s">
        <v>3697</v>
      </c>
    </row>
    <row r="1090" spans="1:34" ht="14.45" hidden="1" customHeight="1" x14ac:dyDescent="0.3">
      <c r="A1090" s="6" t="s">
        <v>905</v>
      </c>
      <c r="B1090" s="7">
        <v>0</v>
      </c>
      <c r="C1090" s="6" t="s">
        <v>904</v>
      </c>
      <c r="D1090" s="6" t="s">
        <v>657</v>
      </c>
      <c r="E1090" s="6" t="s">
        <v>3237</v>
      </c>
      <c r="F1090" s="6" t="s">
        <v>3229</v>
      </c>
      <c r="G1090" s="8">
        <v>1.2883500000000001</v>
      </c>
      <c r="H1090" s="8">
        <v>10.005280000000001</v>
      </c>
      <c r="I1090" s="6" t="s">
        <v>2477</v>
      </c>
      <c r="J1090" s="6" t="s">
        <v>2459</v>
      </c>
      <c r="K1090" s="6" t="s">
        <v>2468</v>
      </c>
      <c r="L1090" s="6" t="s">
        <v>877</v>
      </c>
      <c r="M1090" s="6"/>
      <c r="N1090" s="6" t="s">
        <v>2468</v>
      </c>
      <c r="O1090" s="6" t="s">
        <v>40</v>
      </c>
      <c r="P1090" s="6" t="str">
        <f>VLOOKUP(Tableau1[[#This Row],[SITES NAMES]],[1]Feuil1!$1:$1048576,8,FALSE)</f>
        <v>OK</v>
      </c>
      <c r="Q1090" s="6" t="str">
        <f>VLOOKUP(Tableau1[[#This Row],[SITES NAMES]],[1]Feuil1!$1:$1048576,9,FALSE)</f>
        <v>NO</v>
      </c>
      <c r="R1090" s="6" t="str">
        <f>VLOOKUP(Tableau1[[#This Row],[SITES NAMES]],[1]Feuil1!$1:$1048576,10,FALSE)</f>
        <v>NO</v>
      </c>
      <c r="S1090" s="6" t="s">
        <v>2461</v>
      </c>
      <c r="T1090" s="6" t="s">
        <v>2462</v>
      </c>
      <c r="U1090" s="6" t="s">
        <v>2463</v>
      </c>
      <c r="V1090" s="6" t="s">
        <v>2472</v>
      </c>
      <c r="W1090" s="6" t="s">
        <v>2473</v>
      </c>
      <c r="X1090" s="8" t="s">
        <v>2807</v>
      </c>
      <c r="Y1090" s="6" t="s">
        <v>3239</v>
      </c>
      <c r="Z1090" s="6" t="s">
        <v>3253</v>
      </c>
      <c r="AA1090" s="37" t="s">
        <v>3692</v>
      </c>
      <c r="AB1090" s="38" t="s">
        <v>3683</v>
      </c>
      <c r="AC1090" s="39" t="s">
        <v>3693</v>
      </c>
      <c r="AD1090" s="39" t="s">
        <v>3694</v>
      </c>
      <c r="AE1090" s="37" t="s">
        <v>3695</v>
      </c>
      <c r="AF1090" s="39" t="s">
        <v>3696</v>
      </c>
      <c r="AG1090" s="40" t="s">
        <v>3685</v>
      </c>
      <c r="AH1090" s="37" t="s">
        <v>3697</v>
      </c>
    </row>
    <row r="1091" spans="1:34" ht="14.45" hidden="1" customHeight="1" x14ac:dyDescent="0.3">
      <c r="A1091" s="6" t="s">
        <v>1000</v>
      </c>
      <c r="B1091" s="7">
        <v>43889</v>
      </c>
      <c r="C1091" s="6" t="s">
        <v>999</v>
      </c>
      <c r="D1091" s="6" t="s">
        <v>657</v>
      </c>
      <c r="E1091" s="6" t="s">
        <v>3235</v>
      </c>
      <c r="F1091" s="6" t="s">
        <v>3229</v>
      </c>
      <c r="G1091" s="8">
        <v>1.14073</v>
      </c>
      <c r="H1091" s="8">
        <v>9.3413000000000004</v>
      </c>
      <c r="I1091" s="6" t="s">
        <v>2477</v>
      </c>
      <c r="J1091" s="6" t="s">
        <v>2459</v>
      </c>
      <c r="K1091" s="6" t="s">
        <v>2468</v>
      </c>
      <c r="L1091" s="6" t="s">
        <v>951</v>
      </c>
      <c r="M1091" s="6"/>
      <c r="N1091" s="6" t="s">
        <v>2468</v>
      </c>
      <c r="O1091" s="6" t="s">
        <v>40</v>
      </c>
      <c r="P1091" s="6" t="str">
        <f>VLOOKUP(Tableau1[[#This Row],[SITES NAMES]],[1]Feuil1!$1:$1048576,8,FALSE)</f>
        <v>NOK</v>
      </c>
      <c r="Q1091" s="6" t="str">
        <f>VLOOKUP(Tableau1[[#This Row],[SITES NAMES]],[1]Feuil1!$1:$1048576,9,FALSE)</f>
        <v>NO</v>
      </c>
      <c r="R1091" s="6" t="str">
        <f>VLOOKUP(Tableau1[[#This Row],[SITES NAMES]],[1]Feuil1!$1:$1048576,10,FALSE)</f>
        <v>YES</v>
      </c>
      <c r="S1091" s="6" t="s">
        <v>2461</v>
      </c>
      <c r="T1091" s="6" t="s">
        <v>2462</v>
      </c>
      <c r="U1091" s="6" t="s">
        <v>2463</v>
      </c>
      <c r="V1091" s="6" t="s">
        <v>2472</v>
      </c>
      <c r="W1091" s="6" t="s">
        <v>2473</v>
      </c>
      <c r="X1091" s="8" t="s">
        <v>2836</v>
      </c>
      <c r="Y1091" s="6" t="s">
        <v>3239</v>
      </c>
      <c r="Z1091" s="6" t="s">
        <v>3253</v>
      </c>
      <c r="AA1091" s="37" t="s">
        <v>3698</v>
      </c>
      <c r="AB1091" s="38" t="s">
        <v>3683</v>
      </c>
      <c r="AC1091" s="39" t="s">
        <v>3699</v>
      </c>
      <c r="AD1091" s="39" t="s">
        <v>3700</v>
      </c>
      <c r="AE1091" s="37" t="s">
        <v>3701</v>
      </c>
      <c r="AF1091" s="39" t="s">
        <v>3702</v>
      </c>
      <c r="AG1091" s="40" t="s">
        <v>3685</v>
      </c>
      <c r="AH1091" s="37" t="s">
        <v>3703</v>
      </c>
    </row>
    <row r="1092" spans="1:34" ht="14.45" hidden="1" customHeight="1" x14ac:dyDescent="0.3">
      <c r="A1092" s="6" t="s">
        <v>2161</v>
      </c>
      <c r="B1092" s="7">
        <v>0</v>
      </c>
      <c r="C1092" s="6" t="s">
        <v>2160</v>
      </c>
      <c r="D1092" s="6" t="s">
        <v>320</v>
      </c>
      <c r="E1092" s="6" t="s">
        <v>2141</v>
      </c>
      <c r="F1092" s="6" t="s">
        <v>3229</v>
      </c>
      <c r="G1092" s="8">
        <v>1.0963099999999999</v>
      </c>
      <c r="H1092" s="8">
        <v>8.5013199999999998</v>
      </c>
      <c r="I1092" s="6" t="s">
        <v>2477</v>
      </c>
      <c r="J1092" s="6" t="s">
        <v>2459</v>
      </c>
      <c r="K1092" s="6" t="s">
        <v>2468</v>
      </c>
      <c r="L1092" s="6" t="s">
        <v>2163</v>
      </c>
      <c r="M1092" s="6"/>
      <c r="N1092" s="6" t="s">
        <v>2468</v>
      </c>
      <c r="O1092" s="6" t="s">
        <v>40</v>
      </c>
      <c r="P1092" s="6" t="str">
        <f>VLOOKUP(Tableau1[[#This Row],[SITES NAMES]],[1]Feuil1!$1:$1048576,8,FALSE)</f>
        <v>OK</v>
      </c>
      <c r="Q1092" s="6" t="str">
        <f>VLOOKUP(Tableau1[[#This Row],[SITES NAMES]],[1]Feuil1!$1:$1048576,9,FALSE)</f>
        <v>NO</v>
      </c>
      <c r="R1092" s="6" t="str">
        <f>VLOOKUP(Tableau1[[#This Row],[SITES NAMES]],[1]Feuil1!$1:$1048576,10,FALSE)</f>
        <v>NO</v>
      </c>
      <c r="S1092" s="6" t="s">
        <v>2461</v>
      </c>
      <c r="T1092" s="6" t="s">
        <v>2462</v>
      </c>
      <c r="U1092" s="6" t="s">
        <v>2463</v>
      </c>
      <c r="V1092" s="6" t="s">
        <v>2472</v>
      </c>
      <c r="W1092" s="6" t="s">
        <v>2473</v>
      </c>
      <c r="X1092" s="8" t="s">
        <v>3142</v>
      </c>
      <c r="Y1092" s="6" t="s">
        <v>3238</v>
      </c>
      <c r="Z1092" s="6" t="s">
        <v>3254</v>
      </c>
      <c r="AA1092" s="37" t="s">
        <v>3672</v>
      </c>
      <c r="AB1092" s="39" t="s">
        <v>3665</v>
      </c>
      <c r="AC1092" s="37" t="s">
        <v>3673</v>
      </c>
      <c r="AD1092" s="37" t="s">
        <v>3674</v>
      </c>
      <c r="AE1092" s="37" t="s">
        <v>3675</v>
      </c>
      <c r="AF1092" s="39" t="s">
        <v>3676</v>
      </c>
      <c r="AG1092" s="37" t="s">
        <v>3670</v>
      </c>
      <c r="AH1092" s="37" t="s">
        <v>3677</v>
      </c>
    </row>
    <row r="1093" spans="1:34" ht="14.45" hidden="1" customHeight="1" x14ac:dyDescent="0.3">
      <c r="A1093" s="6" t="s">
        <v>803</v>
      </c>
      <c r="B1093" s="7">
        <v>43882</v>
      </c>
      <c r="C1093" s="6" t="s">
        <v>802</v>
      </c>
      <c r="D1093" s="6" t="s">
        <v>657</v>
      </c>
      <c r="E1093" s="6" t="s">
        <v>758</v>
      </c>
      <c r="F1093" s="6" t="s">
        <v>3229</v>
      </c>
      <c r="G1093" s="8">
        <v>1.01938</v>
      </c>
      <c r="H1093" s="8">
        <v>9.8468099999999996</v>
      </c>
      <c r="I1093" s="6" t="s">
        <v>2477</v>
      </c>
      <c r="J1093" s="6" t="s">
        <v>2459</v>
      </c>
      <c r="K1093" s="6" t="s">
        <v>2468</v>
      </c>
      <c r="L1093" s="6" t="s">
        <v>777</v>
      </c>
      <c r="M1093" s="6"/>
      <c r="N1093" s="6" t="s">
        <v>2468</v>
      </c>
      <c r="O1093" s="6" t="s">
        <v>40</v>
      </c>
      <c r="P1093" s="6" t="str">
        <f>VLOOKUP(Tableau1[[#This Row],[SITES NAMES]],[1]Feuil1!$1:$1048576,8,FALSE)</f>
        <v>OK</v>
      </c>
      <c r="Q1093" s="6" t="str">
        <f>VLOOKUP(Tableau1[[#This Row],[SITES NAMES]],[1]Feuil1!$1:$1048576,9,FALSE)</f>
        <v>NO</v>
      </c>
      <c r="R1093" s="6" t="str">
        <f>VLOOKUP(Tableau1[[#This Row],[SITES NAMES]],[1]Feuil1!$1:$1048576,10,FALSE)</f>
        <v>YES</v>
      </c>
      <c r="S1093" s="6" t="s">
        <v>2461</v>
      </c>
      <c r="T1093" s="6" t="s">
        <v>2462</v>
      </c>
      <c r="U1093" s="6" t="s">
        <v>2463</v>
      </c>
      <c r="V1093" s="6" t="s">
        <v>2472</v>
      </c>
      <c r="W1093" s="6" t="s">
        <v>2473</v>
      </c>
      <c r="X1093" s="8" t="s">
        <v>2772</v>
      </c>
      <c r="Y1093" s="6" t="s">
        <v>3239</v>
      </c>
      <c r="Z1093" s="6" t="s">
        <v>3253</v>
      </c>
      <c r="AA1093" s="37" t="s">
        <v>3687</v>
      </c>
      <c r="AB1093" s="38" t="s">
        <v>3683</v>
      </c>
      <c r="AC1093" s="37" t="s">
        <v>3688</v>
      </c>
      <c r="AD1093" s="37" t="s">
        <v>3687</v>
      </c>
      <c r="AE1093" s="37" t="s">
        <v>3689</v>
      </c>
      <c r="AF1093" s="39" t="s">
        <v>3690</v>
      </c>
      <c r="AG1093" s="40" t="s">
        <v>3685</v>
      </c>
      <c r="AH1093" s="37" t="s">
        <v>3691</v>
      </c>
    </row>
    <row r="1094" spans="1:34" ht="14.45" hidden="1" customHeight="1" x14ac:dyDescent="0.25">
      <c r="A1094" s="6" t="s">
        <v>1560</v>
      </c>
      <c r="B1094" s="7">
        <v>0</v>
      </c>
      <c r="C1094" s="6" t="s">
        <v>1559</v>
      </c>
      <c r="D1094" s="6" t="s">
        <v>66</v>
      </c>
      <c r="E1094" s="6" t="s">
        <v>3233</v>
      </c>
      <c r="F1094" s="18" t="s">
        <v>3230</v>
      </c>
      <c r="G1094" s="8">
        <v>1.17313</v>
      </c>
      <c r="H1094" s="8">
        <v>6.2213847329999998</v>
      </c>
      <c r="I1094" s="6" t="s">
        <v>2475</v>
      </c>
      <c r="J1094" s="6" t="s">
        <v>2459</v>
      </c>
      <c r="K1094" s="6" t="s">
        <v>2460</v>
      </c>
      <c r="L1094" s="6"/>
      <c r="M1094" s="6"/>
      <c r="N1094" s="6" t="s">
        <v>3268</v>
      </c>
      <c r="O1094" s="6" t="s">
        <v>7</v>
      </c>
      <c r="P1094" s="6" t="str">
        <f>VLOOKUP(Tableau1[[#This Row],[SITES NAMES]],[1]Feuil1!$1:$1048576,8,FALSE)</f>
        <v>OK</v>
      </c>
      <c r="Q1094" s="6" t="str">
        <f>VLOOKUP(Tableau1[[#This Row],[SITES NAMES]],[1]Feuil1!$1:$1048576,9,FALSE)</f>
        <v>NO</v>
      </c>
      <c r="R1094" s="6" t="str">
        <f>VLOOKUP(Tableau1[[#This Row],[SITES NAMES]],[1]Feuil1!$1:$1048576,10,FALSE)</f>
        <v>NO</v>
      </c>
      <c r="S1094" s="6" t="s">
        <v>2461</v>
      </c>
      <c r="T1094" s="6" t="s">
        <v>2462</v>
      </c>
      <c r="U1094" s="6" t="s">
        <v>2463</v>
      </c>
      <c r="V1094" s="6" t="s">
        <v>2478</v>
      </c>
      <c r="W1094" s="6" t="s">
        <v>2476</v>
      </c>
      <c r="X1094" s="8" t="s">
        <v>2969</v>
      </c>
      <c r="Y1094" s="6" t="s">
        <v>3238</v>
      </c>
      <c r="Z1094" s="6" t="s">
        <v>3264</v>
      </c>
      <c r="AA1094" s="35" t="s">
        <v>3616</v>
      </c>
      <c r="AB1094" s="35" t="s">
        <v>3608</v>
      </c>
      <c r="AC1094" s="35" t="s">
        <v>3617</v>
      </c>
      <c r="AD1094" s="35" t="s">
        <v>3610</v>
      </c>
      <c r="AE1094" s="35" t="s">
        <v>3610</v>
      </c>
      <c r="AF1094" s="35" t="s">
        <v>3611</v>
      </c>
      <c r="AG1094" s="35" t="s">
        <v>3612</v>
      </c>
      <c r="AH1094" s="35" t="s">
        <v>3618</v>
      </c>
    </row>
    <row r="1095" spans="1:34" ht="14.45" hidden="1" customHeight="1" x14ac:dyDescent="0.25">
      <c r="A1095" s="6" t="s">
        <v>1562</v>
      </c>
      <c r="B1095" s="7">
        <v>0</v>
      </c>
      <c r="C1095" s="6" t="s">
        <v>1561</v>
      </c>
      <c r="D1095" s="6" t="s">
        <v>66</v>
      </c>
      <c r="E1095" s="6" t="s">
        <v>3233</v>
      </c>
      <c r="F1095" s="6" t="s">
        <v>3229</v>
      </c>
      <c r="G1095" s="8">
        <v>1.17933</v>
      </c>
      <c r="H1095" s="8">
        <v>6.223428953</v>
      </c>
      <c r="I1095" s="6" t="s">
        <v>2475</v>
      </c>
      <c r="J1095" s="6" t="s">
        <v>2459</v>
      </c>
      <c r="K1095" s="6" t="s">
        <v>2460</v>
      </c>
      <c r="L1095" s="6"/>
      <c r="M1095" s="6"/>
      <c r="N1095" s="6" t="s">
        <v>3268</v>
      </c>
      <c r="O1095" s="6" t="s">
        <v>1206</v>
      </c>
      <c r="P1095" s="6"/>
      <c r="Q1095" s="6" t="str">
        <f>VLOOKUP(Tableau1[[#This Row],[SITES NAMES]],[1]Feuil1!$1:$1048576,9,FALSE)</f>
        <v>YES</v>
      </c>
      <c r="R1095" s="6" t="str">
        <f>VLOOKUP(Tableau1[[#This Row],[SITES NAMES]],[1]Feuil1!$1:$1048576,10,FALSE)</f>
        <v>YES</v>
      </c>
      <c r="S1095" s="6" t="s">
        <v>2461</v>
      </c>
      <c r="T1095" s="6" t="s">
        <v>2462</v>
      </c>
      <c r="U1095" s="6" t="s">
        <v>2463</v>
      </c>
      <c r="V1095" s="6" t="s">
        <v>2464</v>
      </c>
      <c r="W1095" s="6" t="s">
        <v>2476</v>
      </c>
      <c r="X1095" s="8"/>
      <c r="Y1095" s="6" t="s">
        <v>3238</v>
      </c>
      <c r="Z1095" s="6" t="s">
        <v>3264</v>
      </c>
      <c r="AA1095" s="35" t="s">
        <v>3616</v>
      </c>
      <c r="AB1095" s="35" t="s">
        <v>3608</v>
      </c>
      <c r="AC1095" s="35" t="s">
        <v>3617</v>
      </c>
      <c r="AD1095" s="35" t="s">
        <v>3610</v>
      </c>
      <c r="AE1095" s="35" t="s">
        <v>3610</v>
      </c>
      <c r="AF1095" s="35" t="s">
        <v>3611</v>
      </c>
      <c r="AG1095" s="35" t="s">
        <v>3612</v>
      </c>
      <c r="AH1095" s="35" t="s">
        <v>3618</v>
      </c>
    </row>
    <row r="1096" spans="1:34" ht="14.45" hidden="1" customHeight="1" x14ac:dyDescent="0.3">
      <c r="A1096" s="6" t="s">
        <v>244</v>
      </c>
      <c r="B1096" s="7">
        <v>0</v>
      </c>
      <c r="C1096" s="6" t="s">
        <v>243</v>
      </c>
      <c r="D1096" s="6" t="s">
        <v>132</v>
      </c>
      <c r="E1096" s="6" t="s">
        <v>133</v>
      </c>
      <c r="F1096" s="18" t="s">
        <v>3230</v>
      </c>
      <c r="G1096" s="8">
        <v>1.061804</v>
      </c>
      <c r="H1096" s="8">
        <v>7.5234889999999996</v>
      </c>
      <c r="I1096" s="6" t="s">
        <v>2477</v>
      </c>
      <c r="J1096" s="6" t="s">
        <v>2459</v>
      </c>
      <c r="K1096" s="6" t="s">
        <v>2460</v>
      </c>
      <c r="L1096" s="6"/>
      <c r="M1096" s="6"/>
      <c r="N1096" s="6" t="s">
        <v>3268</v>
      </c>
      <c r="O1096" s="6" t="s">
        <v>7</v>
      </c>
      <c r="P1096" s="6" t="str">
        <f>VLOOKUP(Tableau1[[#This Row],[SITES NAMES]],[1]Feuil1!$1:$1048576,8,FALSE)</f>
        <v>OK</v>
      </c>
      <c r="Q1096" s="6" t="str">
        <f>VLOOKUP(Tableau1[[#This Row],[SITES NAMES]],[1]Feuil1!$1:$1048576,9,FALSE)</f>
        <v>NO</v>
      </c>
      <c r="R1096" s="6" t="str">
        <f>VLOOKUP(Tableau1[[#This Row],[SITES NAMES]],[1]Feuil1!$1:$1048576,10,FALSE)</f>
        <v>NO</v>
      </c>
      <c r="S1096" s="6" t="s">
        <v>2461</v>
      </c>
      <c r="T1096" s="6" t="s">
        <v>2462</v>
      </c>
      <c r="U1096" s="6" t="s">
        <v>2463</v>
      </c>
      <c r="V1096" s="6" t="s">
        <v>2498</v>
      </c>
      <c r="W1096" s="6" t="s">
        <v>2473</v>
      </c>
      <c r="X1096" s="8" t="s">
        <v>2564</v>
      </c>
      <c r="Y1096" s="6" t="s">
        <v>3238</v>
      </c>
      <c r="Z1096" s="6" t="s">
        <v>3258</v>
      </c>
      <c r="AA1096" s="37" t="s">
        <v>3643</v>
      </c>
      <c r="AB1096" s="39" t="s">
        <v>3644</v>
      </c>
      <c r="AC1096" s="37" t="s">
        <v>3645</v>
      </c>
      <c r="AD1096" s="39" t="s">
        <v>3646</v>
      </c>
      <c r="AE1096" s="39" t="s">
        <v>3647</v>
      </c>
      <c r="AF1096" s="39" t="s">
        <v>3648</v>
      </c>
      <c r="AG1096" s="37" t="s">
        <v>3649</v>
      </c>
      <c r="AH1096" s="37" t="s">
        <v>3650</v>
      </c>
    </row>
    <row r="1097" spans="1:34" ht="14.45" hidden="1" customHeight="1" x14ac:dyDescent="0.3">
      <c r="A1097" s="6" t="s">
        <v>2130</v>
      </c>
      <c r="B1097" s="7">
        <v>0</v>
      </c>
      <c r="C1097" s="6" t="s">
        <v>2129</v>
      </c>
      <c r="D1097" s="6" t="s">
        <v>132</v>
      </c>
      <c r="E1097" s="6" t="s">
        <v>2049</v>
      </c>
      <c r="F1097" s="6" t="s">
        <v>3229</v>
      </c>
      <c r="G1097" s="8">
        <v>1.4978290000000001</v>
      </c>
      <c r="H1097" s="8">
        <v>7.0155580000000004</v>
      </c>
      <c r="I1097" s="6" t="s">
        <v>2467</v>
      </c>
      <c r="J1097" s="6" t="s">
        <v>2459</v>
      </c>
      <c r="K1097" s="6" t="s">
        <v>2460</v>
      </c>
      <c r="L1097" s="6"/>
      <c r="M1097" s="6"/>
      <c r="N1097" s="6" t="s">
        <v>3268</v>
      </c>
      <c r="O1097" s="6" t="s">
        <v>18</v>
      </c>
      <c r="P1097" s="6" t="str">
        <f>VLOOKUP(Tableau1[[#This Row],[SITES NAMES]],[1]Feuil1!$1:$1048576,8,FALSE)</f>
        <v>NOK</v>
      </c>
      <c r="Q1097" s="6" t="str">
        <f>VLOOKUP(Tableau1[[#This Row],[SITES NAMES]],[1]Feuil1!$1:$1048576,9,FALSE)</f>
        <v>NO</v>
      </c>
      <c r="R1097" s="6" t="str">
        <f>VLOOKUP(Tableau1[[#This Row],[SITES NAMES]],[1]Feuil1!$1:$1048576,10,FALSE)</f>
        <v>NO</v>
      </c>
      <c r="S1097" s="6" t="s">
        <v>2461</v>
      </c>
      <c r="T1097" s="6" t="s">
        <v>2462</v>
      </c>
      <c r="U1097" s="6" t="s">
        <v>2463</v>
      </c>
      <c r="V1097" s="6" t="s">
        <v>2472</v>
      </c>
      <c r="W1097" s="6" t="s">
        <v>2473</v>
      </c>
      <c r="X1097" s="8" t="s">
        <v>3127</v>
      </c>
      <c r="Y1097" s="6" t="s">
        <v>3238</v>
      </c>
      <c r="Z1097" s="6" t="s">
        <v>3257</v>
      </c>
      <c r="AA1097" s="45" t="s">
        <v>3656</v>
      </c>
      <c r="AB1097" s="39" t="s">
        <v>3644</v>
      </c>
      <c r="AC1097" s="45" t="s">
        <v>3657</v>
      </c>
      <c r="AD1097" s="37" t="s">
        <v>3658</v>
      </c>
      <c r="AE1097" s="37" t="s">
        <v>3647</v>
      </c>
      <c r="AF1097" s="39" t="s">
        <v>3648</v>
      </c>
      <c r="AG1097" s="37" t="s">
        <v>3649</v>
      </c>
      <c r="AH1097" s="37" t="s">
        <v>3659</v>
      </c>
    </row>
    <row r="1098" spans="1:34" ht="14.45" hidden="1" customHeight="1" x14ac:dyDescent="0.25">
      <c r="A1098" s="6" t="s">
        <v>1564</v>
      </c>
      <c r="B1098" s="7">
        <v>46022</v>
      </c>
      <c r="C1098" s="6" t="s">
        <v>1563</v>
      </c>
      <c r="D1098" s="6" t="s">
        <v>66</v>
      </c>
      <c r="E1098" s="6" t="s">
        <v>3233</v>
      </c>
      <c r="F1098" s="6" t="s">
        <v>3229</v>
      </c>
      <c r="G1098" s="8">
        <v>1.2110179999999999</v>
      </c>
      <c r="H1098" s="8">
        <v>6.19374</v>
      </c>
      <c r="I1098" s="6" t="e">
        <v>#N/A</v>
      </c>
      <c r="J1098" s="6" t="s">
        <v>2459</v>
      </c>
      <c r="K1098" s="6" t="s">
        <v>2460</v>
      </c>
      <c r="L1098" s="6"/>
      <c r="M1098" s="6"/>
      <c r="N1098" s="6" t="s">
        <v>3268</v>
      </c>
      <c r="O1098" s="6" t="s">
        <v>7</v>
      </c>
      <c r="P1098" s="6"/>
      <c r="Q1098" s="6"/>
      <c r="R1098" s="6"/>
      <c r="S1098" s="6"/>
      <c r="T1098" s="6"/>
      <c r="U1098" s="6"/>
      <c r="V1098" s="6"/>
      <c r="W1098" s="6"/>
      <c r="X1098" s="8"/>
      <c r="Y1098" s="6" t="s">
        <v>3238</v>
      </c>
      <c r="Z1098" s="6" t="s">
        <v>3264</v>
      </c>
      <c r="AA1098" s="35" t="s">
        <v>3616</v>
      </c>
      <c r="AB1098" s="35" t="s">
        <v>3608</v>
      </c>
      <c r="AC1098" s="35" t="s">
        <v>3617</v>
      </c>
      <c r="AD1098" s="35" t="s">
        <v>3610</v>
      </c>
      <c r="AE1098" s="35" t="s">
        <v>3610</v>
      </c>
      <c r="AF1098" s="35" t="s">
        <v>3611</v>
      </c>
      <c r="AG1098" s="35" t="s">
        <v>3612</v>
      </c>
      <c r="AH1098" s="35" t="s">
        <v>3618</v>
      </c>
    </row>
    <row r="1099" spans="1:34" ht="14.45" hidden="1" customHeight="1" x14ac:dyDescent="0.3">
      <c r="A1099" s="6" t="s">
        <v>382</v>
      </c>
      <c r="B1099" s="7">
        <v>0</v>
      </c>
      <c r="C1099" s="6" t="s">
        <v>381</v>
      </c>
      <c r="D1099" s="6" t="s">
        <v>320</v>
      </c>
      <c r="E1099" s="6" t="s">
        <v>321</v>
      </c>
      <c r="F1099" s="6" t="s">
        <v>3229</v>
      </c>
      <c r="G1099" s="8">
        <v>0.98553299999999999</v>
      </c>
      <c r="H1099" s="8">
        <v>8.4778000000000002</v>
      </c>
      <c r="I1099" s="6" t="s">
        <v>2467</v>
      </c>
      <c r="J1099" s="6" t="s">
        <v>2459</v>
      </c>
      <c r="K1099" s="6" t="s">
        <v>2460</v>
      </c>
      <c r="L1099" s="6"/>
      <c r="M1099" s="6"/>
      <c r="N1099" s="6" t="s">
        <v>3268</v>
      </c>
      <c r="O1099" s="6" t="s">
        <v>40</v>
      </c>
      <c r="P1099" s="6" t="str">
        <f>VLOOKUP(Tableau1[[#This Row],[SITES NAMES]],[1]Feuil1!$1:$1048576,8,FALSE)</f>
        <v>OK</v>
      </c>
      <c r="Q1099" s="6" t="str">
        <f>VLOOKUP(Tableau1[[#This Row],[SITES NAMES]],[1]Feuil1!$1:$1048576,9,FALSE)</f>
        <v>NO</v>
      </c>
      <c r="R1099" s="6" t="str">
        <f>VLOOKUP(Tableau1[[#This Row],[SITES NAMES]],[1]Feuil1!$1:$1048576,10,FALSE)</f>
        <v>NO</v>
      </c>
      <c r="S1099" s="6" t="s">
        <v>2461</v>
      </c>
      <c r="T1099" s="6" t="s">
        <v>2462</v>
      </c>
      <c r="U1099" s="6" t="s">
        <v>2463</v>
      </c>
      <c r="V1099" s="6" t="s">
        <v>2472</v>
      </c>
      <c r="W1099" s="6" t="s">
        <v>2473</v>
      </c>
      <c r="X1099" s="8" t="s">
        <v>2613</v>
      </c>
      <c r="Y1099" s="6" t="s">
        <v>3238</v>
      </c>
      <c r="Z1099" s="6" t="s">
        <v>3266</v>
      </c>
      <c r="AA1099" s="37" t="s">
        <v>3664</v>
      </c>
      <c r="AB1099" s="39" t="s">
        <v>3665</v>
      </c>
      <c r="AC1099" s="37" t="s">
        <v>3666</v>
      </c>
      <c r="AD1099" s="37" t="s">
        <v>3667</v>
      </c>
      <c r="AE1099" s="37" t="s">
        <v>3668</v>
      </c>
      <c r="AF1099" s="37" t="s">
        <v>3669</v>
      </c>
      <c r="AG1099" s="37" t="s">
        <v>3670</v>
      </c>
      <c r="AH1099" s="37" t="s">
        <v>3671</v>
      </c>
    </row>
    <row r="1100" spans="1:34" ht="14.45" hidden="1" customHeight="1" x14ac:dyDescent="0.3">
      <c r="A1100" s="6" t="s">
        <v>556</v>
      </c>
      <c r="B1100" s="7">
        <v>0</v>
      </c>
      <c r="C1100" s="6" t="s">
        <v>555</v>
      </c>
      <c r="D1100" s="6" t="s">
        <v>395</v>
      </c>
      <c r="E1100" s="6" t="s">
        <v>396</v>
      </c>
      <c r="F1100" s="6" t="s">
        <v>3229</v>
      </c>
      <c r="G1100" s="8">
        <v>0.24529999999999999</v>
      </c>
      <c r="H1100" s="8">
        <v>10.6089</v>
      </c>
      <c r="I1100" s="6" t="s">
        <v>2467</v>
      </c>
      <c r="J1100" s="6" t="s">
        <v>2459</v>
      </c>
      <c r="K1100" s="6" t="s">
        <v>2460</v>
      </c>
      <c r="L1100" s="6"/>
      <c r="M1100" s="6"/>
      <c r="N1100" s="6" t="s">
        <v>3268</v>
      </c>
      <c r="O1100" s="6" t="s">
        <v>18</v>
      </c>
      <c r="P1100" s="6" t="str">
        <f>VLOOKUP(Tableau1[[#This Row],[SITES NAMES]],[1]Feuil1!$1:$1048576,8,FALSE)</f>
        <v>NOK</v>
      </c>
      <c r="Q1100" s="6" t="str">
        <f>VLOOKUP(Tableau1[[#This Row],[SITES NAMES]],[1]Feuil1!$1:$1048576,9,FALSE)</f>
        <v>NO</v>
      </c>
      <c r="R1100" s="6" t="str">
        <f>VLOOKUP(Tableau1[[#This Row],[SITES NAMES]],[1]Feuil1!$1:$1048576,10,FALSE)</f>
        <v>YES</v>
      </c>
      <c r="S1100" s="6" t="s">
        <v>2461</v>
      </c>
      <c r="T1100" s="6" t="s">
        <v>2462</v>
      </c>
      <c r="U1100" s="6" t="s">
        <v>2463</v>
      </c>
      <c r="V1100" s="6" t="s">
        <v>2472</v>
      </c>
      <c r="W1100" s="6" t="s">
        <v>2473</v>
      </c>
      <c r="X1100" s="8" t="s">
        <v>2676</v>
      </c>
      <c r="Y1100" s="6" t="s">
        <v>3240</v>
      </c>
      <c r="Z1100" s="6" t="s">
        <v>3255</v>
      </c>
      <c r="AA1100" s="37" t="s">
        <v>3704</v>
      </c>
      <c r="AB1100" s="39" t="s">
        <v>3705</v>
      </c>
      <c r="AC1100" s="37" t="s">
        <v>3706</v>
      </c>
      <c r="AD1100" s="37" t="s">
        <v>3707</v>
      </c>
      <c r="AE1100" s="37" t="s">
        <v>3708</v>
      </c>
      <c r="AF1100" s="37" t="s">
        <v>3709</v>
      </c>
      <c r="AG1100" s="46" t="s">
        <v>3710</v>
      </c>
      <c r="AH1100" s="37" t="s">
        <v>3711</v>
      </c>
    </row>
    <row r="1101" spans="1:34" ht="14.45" hidden="1" customHeight="1" x14ac:dyDescent="0.3">
      <c r="A1101" s="6" t="s">
        <v>474</v>
      </c>
      <c r="B1101" s="7">
        <v>0</v>
      </c>
      <c r="C1101" s="6" t="s">
        <v>473</v>
      </c>
      <c r="D1101" s="6" t="s">
        <v>395</v>
      </c>
      <c r="E1101" s="6" t="s">
        <v>396</v>
      </c>
      <c r="F1101" s="6" t="s">
        <v>3229</v>
      </c>
      <c r="G1101" s="8">
        <v>0.12737999999999999</v>
      </c>
      <c r="H1101" s="8">
        <v>11.028549999999999</v>
      </c>
      <c r="I1101" s="6" t="s">
        <v>2477</v>
      </c>
      <c r="J1101" s="6" t="s">
        <v>2459</v>
      </c>
      <c r="K1101" s="6" t="s">
        <v>2460</v>
      </c>
      <c r="L1101" s="6" t="s">
        <v>501</v>
      </c>
      <c r="M1101" s="6"/>
      <c r="N1101" s="6" t="s">
        <v>3268</v>
      </c>
      <c r="O1101" s="6" t="s">
        <v>40</v>
      </c>
      <c r="P1101" s="6" t="str">
        <f>VLOOKUP(Tableau1[[#This Row],[SITES NAMES]],[1]Feuil1!$1:$1048576,8,FALSE)</f>
        <v>NOK</v>
      </c>
      <c r="Q1101" s="6" t="str">
        <f>VLOOKUP(Tableau1[[#This Row],[SITES NAMES]],[1]Feuil1!$1:$1048576,9,FALSE)</f>
        <v>NO</v>
      </c>
      <c r="R1101" s="6" t="str">
        <f>VLOOKUP(Tableau1[[#This Row],[SITES NAMES]],[1]Feuil1!$1:$1048576,10,FALSE)</f>
        <v>YES</v>
      </c>
      <c r="S1101" s="6" t="s">
        <v>2461</v>
      </c>
      <c r="T1101" s="6" t="s">
        <v>2462</v>
      </c>
      <c r="U1101" s="6" t="s">
        <v>2463</v>
      </c>
      <c r="V1101" s="6" t="s">
        <v>2478</v>
      </c>
      <c r="W1101" s="6" t="s">
        <v>2473</v>
      </c>
      <c r="X1101" s="8" t="s">
        <v>2653</v>
      </c>
      <c r="Y1101" s="6" t="s">
        <v>3240</v>
      </c>
      <c r="Z1101" s="6" t="s">
        <v>3255</v>
      </c>
      <c r="AA1101" s="37" t="s">
        <v>3704</v>
      </c>
      <c r="AB1101" s="39" t="s">
        <v>3705</v>
      </c>
      <c r="AC1101" s="37" t="s">
        <v>3706</v>
      </c>
      <c r="AD1101" s="37" t="s">
        <v>3707</v>
      </c>
      <c r="AE1101" s="37" t="s">
        <v>3708</v>
      </c>
      <c r="AF1101" s="37" t="s">
        <v>3709</v>
      </c>
      <c r="AG1101" s="46" t="s">
        <v>3710</v>
      </c>
      <c r="AH1101" s="37" t="s">
        <v>3711</v>
      </c>
    </row>
    <row r="1102" spans="1:34" ht="14.45" hidden="1" customHeight="1" x14ac:dyDescent="0.3">
      <c r="A1102" s="6" t="s">
        <v>753</v>
      </c>
      <c r="B1102" s="7">
        <v>0</v>
      </c>
      <c r="C1102" s="6" t="s">
        <v>752</v>
      </c>
      <c r="D1102" s="6" t="s">
        <v>657</v>
      </c>
      <c r="E1102" s="6" t="s">
        <v>658</v>
      </c>
      <c r="F1102" s="6" t="s">
        <v>3229</v>
      </c>
      <c r="G1102" s="8">
        <v>0.45501999999999998</v>
      </c>
      <c r="H1102" s="8">
        <v>8.6473200000000006</v>
      </c>
      <c r="I1102" s="6" t="s">
        <v>2477</v>
      </c>
      <c r="J1102" s="6" t="s">
        <v>2459</v>
      </c>
      <c r="K1102" s="6" t="s">
        <v>2468</v>
      </c>
      <c r="L1102" s="6" t="s">
        <v>664</v>
      </c>
      <c r="M1102" s="6"/>
      <c r="N1102" s="6" t="s">
        <v>2468</v>
      </c>
      <c r="O1102" s="6" t="s">
        <v>40</v>
      </c>
      <c r="P1102" s="6" t="str">
        <f>VLOOKUP(Tableau1[[#This Row],[SITES NAMES]],[1]Feuil1!$1:$1048576,8,FALSE)</f>
        <v>OK</v>
      </c>
      <c r="Q1102" s="6" t="str">
        <f>VLOOKUP(Tableau1[[#This Row],[SITES NAMES]],[1]Feuil1!$1:$1048576,9,FALSE)</f>
        <v>NO</v>
      </c>
      <c r="R1102" s="6" t="str">
        <f>VLOOKUP(Tableau1[[#This Row],[SITES NAMES]],[1]Feuil1!$1:$1048576,10,FALSE)</f>
        <v>YES</v>
      </c>
      <c r="S1102" s="6" t="s">
        <v>2461</v>
      </c>
      <c r="T1102" s="6" t="s">
        <v>2462</v>
      </c>
      <c r="U1102" s="6" t="s">
        <v>2463</v>
      </c>
      <c r="V1102" s="6" t="s">
        <v>2472</v>
      </c>
      <c r="W1102" s="6" t="s">
        <v>2473</v>
      </c>
      <c r="X1102" s="8" t="s">
        <v>2752</v>
      </c>
      <c r="Y1102" s="6" t="s">
        <v>3239</v>
      </c>
      <c r="Z1102" s="6" t="s">
        <v>3253</v>
      </c>
      <c r="AA1102" s="38" t="s">
        <v>3682</v>
      </c>
      <c r="AB1102" s="38" t="s">
        <v>3683</v>
      </c>
      <c r="AC1102" s="38" t="s">
        <v>3684</v>
      </c>
      <c r="AD1102" s="38" t="s">
        <v>3682</v>
      </c>
      <c r="AE1102" s="38" t="s">
        <v>3682</v>
      </c>
      <c r="AF1102" s="38" t="s">
        <v>3682</v>
      </c>
      <c r="AG1102" s="40" t="s">
        <v>3685</v>
      </c>
      <c r="AH1102" s="37" t="s">
        <v>3686</v>
      </c>
    </row>
    <row r="1103" spans="1:34" ht="14.45" hidden="1" customHeight="1" x14ac:dyDescent="0.3">
      <c r="A1103" s="6" t="s">
        <v>1147</v>
      </c>
      <c r="B1103" s="7">
        <v>0</v>
      </c>
      <c r="C1103" s="6" t="s">
        <v>1146</v>
      </c>
      <c r="D1103" s="6" t="s">
        <v>5</v>
      </c>
      <c r="E1103" s="6" t="s">
        <v>1003</v>
      </c>
      <c r="F1103" s="6" t="s">
        <v>3229</v>
      </c>
      <c r="G1103" s="8">
        <v>0.67730199999999996</v>
      </c>
      <c r="H1103" s="8">
        <v>7.283722</v>
      </c>
      <c r="I1103" s="6" t="s">
        <v>2467</v>
      </c>
      <c r="J1103" s="6" t="s">
        <v>2459</v>
      </c>
      <c r="K1103" s="6" t="s">
        <v>2468</v>
      </c>
      <c r="L1103" s="6" t="s">
        <v>1157</v>
      </c>
      <c r="M1103" s="6"/>
      <c r="N1103" s="6" t="s">
        <v>2468</v>
      </c>
      <c r="O1103" s="6" t="s">
        <v>40</v>
      </c>
      <c r="P1103" s="6" t="str">
        <f>VLOOKUP(Tableau1[[#This Row],[SITES NAMES]],[1]Feuil1!$1:$1048576,8,FALSE)</f>
        <v>OK</v>
      </c>
      <c r="Q1103" s="6" t="str">
        <f>VLOOKUP(Tableau1[[#This Row],[SITES NAMES]],[1]Feuil1!$1:$1048576,9,FALSE)</f>
        <v>NO</v>
      </c>
      <c r="R1103" s="6" t="str">
        <f>VLOOKUP(Tableau1[[#This Row],[SITES NAMES]],[1]Feuil1!$1:$1048576,10,FALSE)</f>
        <v>YES</v>
      </c>
      <c r="S1103" s="6" t="s">
        <v>2461</v>
      </c>
      <c r="T1103" s="6" t="s">
        <v>2462</v>
      </c>
      <c r="U1103" s="6" t="s">
        <v>2463</v>
      </c>
      <c r="V1103" s="6" t="s">
        <v>2472</v>
      </c>
      <c r="W1103" s="6" t="s">
        <v>2473</v>
      </c>
      <c r="X1103" s="8" t="s">
        <v>2888</v>
      </c>
      <c r="Y1103" s="6" t="s">
        <v>3241</v>
      </c>
      <c r="Z1103" s="6"/>
      <c r="AA1103" s="37" t="s">
        <v>3634</v>
      </c>
      <c r="AB1103" s="38" t="s">
        <v>3627</v>
      </c>
      <c r="AC1103" s="37" t="s">
        <v>3635</v>
      </c>
      <c r="AD1103" s="37" t="s">
        <v>3636</v>
      </c>
      <c r="AE1103" s="37" t="s">
        <v>3637</v>
      </c>
      <c r="AF1103" s="37" t="s">
        <v>3636</v>
      </c>
      <c r="AG1103" s="37" t="s">
        <v>3638</v>
      </c>
      <c r="AH1103" s="37" t="s">
        <v>3639</v>
      </c>
    </row>
    <row r="1104" spans="1:34" ht="14.45" hidden="1" customHeight="1" x14ac:dyDescent="0.3">
      <c r="A1104" s="6" t="s">
        <v>2132</v>
      </c>
      <c r="B1104" s="7">
        <v>44149</v>
      </c>
      <c r="C1104" s="6" t="s">
        <v>2131</v>
      </c>
      <c r="D1104" s="6" t="s">
        <v>132</v>
      </c>
      <c r="E1104" s="6" t="s">
        <v>2049</v>
      </c>
      <c r="F1104" s="6" t="s">
        <v>3229</v>
      </c>
      <c r="G1104" s="8">
        <v>1.2317138889999999</v>
      </c>
      <c r="H1104" s="8">
        <v>7.2239833329999996</v>
      </c>
      <c r="I1104" s="6" t="s">
        <v>2467</v>
      </c>
      <c r="J1104" s="6" t="s">
        <v>2459</v>
      </c>
      <c r="K1104" s="6" t="s">
        <v>2468</v>
      </c>
      <c r="L1104" s="6"/>
      <c r="M1104" s="6"/>
      <c r="N1104" s="6" t="s">
        <v>2468</v>
      </c>
      <c r="O1104" s="6" t="s">
        <v>40</v>
      </c>
      <c r="P1104" s="6" t="str">
        <f>VLOOKUP(Tableau1[[#This Row],[SITES NAMES]],[1]Feuil1!$1:$1048576,8,FALSE)</f>
        <v>OK</v>
      </c>
      <c r="Q1104" s="6" t="str">
        <f>VLOOKUP(Tableau1[[#This Row],[SITES NAMES]],[1]Feuil1!$1:$1048576,9,FALSE)</f>
        <v>NO</v>
      </c>
      <c r="R1104" s="6" t="str">
        <f>VLOOKUP(Tableau1[[#This Row],[SITES NAMES]],[1]Feuil1!$1:$1048576,10,FALSE)</f>
        <v>YES</v>
      </c>
      <c r="S1104" s="6" t="s">
        <v>2461</v>
      </c>
      <c r="T1104" s="6" t="s">
        <v>2462</v>
      </c>
      <c r="U1104" s="6" t="s">
        <v>2463</v>
      </c>
      <c r="V1104" s="6" t="s">
        <v>2472</v>
      </c>
      <c r="W1104" s="6" t="s">
        <v>2473</v>
      </c>
      <c r="X1104" s="8" t="s">
        <v>3128</v>
      </c>
      <c r="Y1104" s="6" t="s">
        <v>3238</v>
      </c>
      <c r="Z1104" s="6" t="s">
        <v>3257</v>
      </c>
      <c r="AA1104" s="45" t="s">
        <v>3656</v>
      </c>
      <c r="AB1104" s="39" t="s">
        <v>3644</v>
      </c>
      <c r="AC1104" s="45" t="s">
        <v>3657</v>
      </c>
      <c r="AD1104" s="37" t="s">
        <v>3658</v>
      </c>
      <c r="AE1104" s="37" t="s">
        <v>3647</v>
      </c>
      <c r="AF1104" s="39" t="s">
        <v>3648</v>
      </c>
      <c r="AG1104" s="37" t="s">
        <v>3649</v>
      </c>
      <c r="AH1104" s="37" t="s">
        <v>3659</v>
      </c>
    </row>
    <row r="1105" spans="1:34" ht="14.45" hidden="1" customHeight="1" x14ac:dyDescent="0.3">
      <c r="A1105" s="6" t="s">
        <v>337</v>
      </c>
      <c r="B1105" s="7">
        <v>46022</v>
      </c>
      <c r="C1105" s="6" t="s">
        <v>336</v>
      </c>
      <c r="D1105" s="6" t="s">
        <v>320</v>
      </c>
      <c r="E1105" s="6" t="s">
        <v>321</v>
      </c>
      <c r="F1105" s="6" t="s">
        <v>3229</v>
      </c>
      <c r="G1105" s="8">
        <v>0.76243899999999998</v>
      </c>
      <c r="H1105" s="8">
        <v>8.0830210000000005</v>
      </c>
      <c r="I1105" s="16" t="s">
        <v>2477</v>
      </c>
      <c r="J1105" s="6" t="s">
        <v>2459</v>
      </c>
      <c r="K1105" s="6" t="s">
        <v>2468</v>
      </c>
      <c r="L1105" s="6"/>
      <c r="M1105" s="6"/>
      <c r="N1105" s="6" t="s">
        <v>2468</v>
      </c>
      <c r="O1105" s="6" t="s">
        <v>7</v>
      </c>
      <c r="P1105" s="6"/>
      <c r="Q1105" s="6"/>
      <c r="R1105" s="6"/>
      <c r="S1105" s="6"/>
      <c r="T1105" s="6"/>
      <c r="U1105" s="6"/>
      <c r="V1105" s="6"/>
      <c r="W1105" s="6"/>
      <c r="X1105" s="8"/>
      <c r="Y1105" s="6" t="s">
        <v>3238</v>
      </c>
      <c r="Z1105" s="6" t="s">
        <v>3266</v>
      </c>
      <c r="AA1105" s="37" t="s">
        <v>3664</v>
      </c>
      <c r="AB1105" s="39" t="s">
        <v>3665</v>
      </c>
      <c r="AC1105" s="37" t="s">
        <v>3666</v>
      </c>
      <c r="AD1105" s="37" t="s">
        <v>3667</v>
      </c>
      <c r="AE1105" s="37" t="s">
        <v>3668</v>
      </c>
      <c r="AF1105" s="37" t="s">
        <v>3669</v>
      </c>
      <c r="AG1105" s="37" t="s">
        <v>3670</v>
      </c>
      <c r="AH1105" s="37" t="s">
        <v>3671</v>
      </c>
    </row>
    <row r="1106" spans="1:34" ht="14.45" hidden="1" customHeight="1" x14ac:dyDescent="0.3">
      <c r="A1106" s="6" t="s">
        <v>2163</v>
      </c>
      <c r="B1106" s="7">
        <v>0</v>
      </c>
      <c r="C1106" s="6" t="s">
        <v>2162</v>
      </c>
      <c r="D1106" s="6" t="s">
        <v>320</v>
      </c>
      <c r="E1106" s="6" t="s">
        <v>2141</v>
      </c>
      <c r="F1106" s="6" t="s">
        <v>3229</v>
      </c>
      <c r="G1106" s="8">
        <v>1.10737</v>
      </c>
      <c r="H1106" s="8">
        <v>8.6156600000000001</v>
      </c>
      <c r="I1106" s="6" t="s">
        <v>2477</v>
      </c>
      <c r="J1106" s="6" t="s">
        <v>2459</v>
      </c>
      <c r="K1106" s="6" t="s">
        <v>2468</v>
      </c>
      <c r="L1106" s="6"/>
      <c r="M1106" s="6"/>
      <c r="N1106" s="6" t="s">
        <v>2468</v>
      </c>
      <c r="O1106" s="6" t="s">
        <v>18</v>
      </c>
      <c r="P1106" s="6" t="str">
        <f>VLOOKUP(Tableau1[[#This Row],[SITES NAMES]],[1]Feuil1!$1:$1048576,8,FALSE)</f>
        <v>OK</v>
      </c>
      <c r="Q1106" s="6" t="str">
        <f>VLOOKUP(Tableau1[[#This Row],[SITES NAMES]],[1]Feuil1!$1:$1048576,9,FALSE)</f>
        <v>NO</v>
      </c>
      <c r="R1106" s="6" t="str">
        <f>VLOOKUP(Tableau1[[#This Row],[SITES NAMES]],[1]Feuil1!$1:$1048576,10,FALSE)</f>
        <v>NO</v>
      </c>
      <c r="S1106" s="6" t="s">
        <v>2461</v>
      </c>
      <c r="T1106" s="6" t="s">
        <v>2462</v>
      </c>
      <c r="U1106" s="6" t="s">
        <v>2463</v>
      </c>
      <c r="V1106" s="6" t="s">
        <v>2472</v>
      </c>
      <c r="W1106" s="6" t="s">
        <v>2473</v>
      </c>
      <c r="X1106" s="8" t="s">
        <v>3143</v>
      </c>
      <c r="Y1106" s="6" t="s">
        <v>3238</v>
      </c>
      <c r="Z1106" s="6" t="s">
        <v>3254</v>
      </c>
      <c r="AA1106" s="37" t="s">
        <v>3672</v>
      </c>
      <c r="AB1106" s="39" t="s">
        <v>3665</v>
      </c>
      <c r="AC1106" s="37" t="s">
        <v>3673</v>
      </c>
      <c r="AD1106" s="37" t="s">
        <v>3674</v>
      </c>
      <c r="AE1106" s="37" t="s">
        <v>3675</v>
      </c>
      <c r="AF1106" s="39" t="s">
        <v>3676</v>
      </c>
      <c r="AG1106" s="37" t="s">
        <v>3670</v>
      </c>
      <c r="AH1106" s="37" t="s">
        <v>3677</v>
      </c>
    </row>
    <row r="1107" spans="1:34" ht="14.45" hidden="1" customHeight="1" x14ac:dyDescent="0.3">
      <c r="A1107" s="6" t="s">
        <v>246</v>
      </c>
      <c r="B1107" s="7" t="s">
        <v>2565</v>
      </c>
      <c r="C1107" s="6" t="s">
        <v>245</v>
      </c>
      <c r="D1107" s="6" t="s">
        <v>132</v>
      </c>
      <c r="E1107" s="6" t="s">
        <v>133</v>
      </c>
      <c r="F1107" s="6" t="s">
        <v>3229</v>
      </c>
      <c r="G1107" s="8">
        <v>1.2727900000000001</v>
      </c>
      <c r="H1107" s="8">
        <v>7.3253399999999997</v>
      </c>
      <c r="I1107" s="6" t="s">
        <v>2467</v>
      </c>
      <c r="J1107" s="6" t="s">
        <v>2459</v>
      </c>
      <c r="K1107" s="6" t="s">
        <v>2468</v>
      </c>
      <c r="L1107" s="6" t="s">
        <v>210</v>
      </c>
      <c r="M1107" s="6"/>
      <c r="N1107" s="6" t="s">
        <v>2468</v>
      </c>
      <c r="O1107" s="6" t="s">
        <v>40</v>
      </c>
      <c r="P1107" s="6" t="str">
        <f>VLOOKUP(Tableau1[[#This Row],[SITES NAMES]],[1]Feuil1!$1:$1048576,8,FALSE)</f>
        <v>OK</v>
      </c>
      <c r="Q1107" s="6" t="str">
        <f>VLOOKUP(Tableau1[[#This Row],[SITES NAMES]],[1]Feuil1!$1:$1048576,9,FALSE)</f>
        <v>NO</v>
      </c>
      <c r="R1107" s="6" t="str">
        <f>VLOOKUP(Tableau1[[#This Row],[SITES NAMES]],[1]Feuil1!$1:$1048576,10,FALSE)</f>
        <v>YES</v>
      </c>
      <c r="S1107" s="6" t="s">
        <v>2469</v>
      </c>
      <c r="T1107" s="6" t="s">
        <v>2470</v>
      </c>
      <c r="U1107" s="6" t="s">
        <v>2471</v>
      </c>
      <c r="V1107" s="6" t="s">
        <v>2472</v>
      </c>
      <c r="W1107" s="6" t="s">
        <v>2473</v>
      </c>
      <c r="X1107" s="8" t="s">
        <v>2566</v>
      </c>
      <c r="Y1107" s="6" t="s">
        <v>3238</v>
      </c>
      <c r="Z1107" s="6" t="s">
        <v>3258</v>
      </c>
      <c r="AA1107" s="37" t="s">
        <v>3643</v>
      </c>
      <c r="AB1107" s="39" t="s">
        <v>3644</v>
      </c>
      <c r="AC1107" s="37" t="s">
        <v>3645</v>
      </c>
      <c r="AD1107" s="39" t="s">
        <v>3646</v>
      </c>
      <c r="AE1107" s="39" t="s">
        <v>3647</v>
      </c>
      <c r="AF1107" s="39" t="s">
        <v>3648</v>
      </c>
      <c r="AG1107" s="37" t="s">
        <v>3649</v>
      </c>
      <c r="AH1107" s="37" t="s">
        <v>3650</v>
      </c>
    </row>
    <row r="1108" spans="1:34" ht="14.45" hidden="1" customHeight="1" x14ac:dyDescent="0.25">
      <c r="A1108" s="6" t="s">
        <v>1452</v>
      </c>
      <c r="B1108" s="7">
        <v>0</v>
      </c>
      <c r="C1108" s="6" t="s">
        <v>1451</v>
      </c>
      <c r="D1108" s="6" t="s">
        <v>66</v>
      </c>
      <c r="E1108" s="6" t="s">
        <v>3233</v>
      </c>
      <c r="F1108" s="6" t="s">
        <v>3229</v>
      </c>
      <c r="G1108" s="8">
        <v>1.2119166669999999</v>
      </c>
      <c r="H1108" s="8">
        <v>6.2769069159999997</v>
      </c>
      <c r="I1108" s="6" t="s">
        <v>2497</v>
      </c>
      <c r="J1108" s="6" t="s">
        <v>2459</v>
      </c>
      <c r="K1108" s="6" t="s">
        <v>2460</v>
      </c>
      <c r="L1108" s="6"/>
      <c r="M1108" s="6"/>
      <c r="N1108" s="6" t="s">
        <v>3268</v>
      </c>
      <c r="O1108" s="6" t="s">
        <v>7</v>
      </c>
      <c r="P1108" s="6" t="str">
        <f>VLOOKUP(Tableau1[[#This Row],[SITES NAMES]],[1]Feuil1!$1:$1048576,8,FALSE)</f>
        <v>OK</v>
      </c>
      <c r="Q1108" s="6" t="str">
        <f>VLOOKUP(Tableau1[[#This Row],[SITES NAMES]],[1]Feuil1!$1:$1048576,9,FALSE)</f>
        <v>NO</v>
      </c>
      <c r="R1108" s="6" t="str">
        <f>VLOOKUP(Tableau1[[#This Row],[SITES NAMES]],[1]Feuil1!$1:$1048576,10,FALSE)</f>
        <v>NO</v>
      </c>
      <c r="S1108" s="6" t="s">
        <v>2461</v>
      </c>
      <c r="T1108" s="6" t="s">
        <v>2462</v>
      </c>
      <c r="U1108" s="6" t="s">
        <v>2463</v>
      </c>
      <c r="V1108" s="6" t="s">
        <v>2478</v>
      </c>
      <c r="W1108" s="6" t="s">
        <v>2476</v>
      </c>
      <c r="X1108" s="8" t="s">
        <v>2953</v>
      </c>
      <c r="Y1108" s="6" t="s">
        <v>3238</v>
      </c>
      <c r="Z1108" s="6" t="s">
        <v>3264</v>
      </c>
      <c r="AA1108" s="35" t="s">
        <v>3616</v>
      </c>
      <c r="AB1108" s="35" t="s">
        <v>3608</v>
      </c>
      <c r="AC1108" s="35" t="s">
        <v>3617</v>
      </c>
      <c r="AD1108" s="35" t="s">
        <v>3610</v>
      </c>
      <c r="AE1108" s="35" t="s">
        <v>3610</v>
      </c>
      <c r="AF1108" s="35" t="s">
        <v>3611</v>
      </c>
      <c r="AG1108" s="35" t="s">
        <v>3612</v>
      </c>
      <c r="AH1108" s="35" t="s">
        <v>3618</v>
      </c>
    </row>
    <row r="1109" spans="1:34" ht="14.45" hidden="1" customHeight="1" x14ac:dyDescent="0.25">
      <c r="A1109" s="6" t="s">
        <v>1566</v>
      </c>
      <c r="B1109" s="7">
        <v>44100</v>
      </c>
      <c r="C1109" s="6" t="s">
        <v>1565</v>
      </c>
      <c r="D1109" s="6" t="s">
        <v>66</v>
      </c>
      <c r="E1109" s="6" t="s">
        <v>3233</v>
      </c>
      <c r="F1109" s="6" t="s">
        <v>3229</v>
      </c>
      <c r="G1109" s="8">
        <v>1.1986300000000001</v>
      </c>
      <c r="H1109" s="8">
        <v>6.2836299999999996</v>
      </c>
      <c r="I1109" s="6" t="s">
        <v>2497</v>
      </c>
      <c r="J1109" s="6" t="s">
        <v>2459</v>
      </c>
      <c r="K1109" s="6" t="s">
        <v>2460</v>
      </c>
      <c r="L1109" s="6"/>
      <c r="M1109" s="6"/>
      <c r="N1109" s="6" t="s">
        <v>3268</v>
      </c>
      <c r="O1109" s="6" t="s">
        <v>7</v>
      </c>
      <c r="P1109" s="6" t="str">
        <f>VLOOKUP(Tableau1[[#This Row],[SITES NAMES]],[1]Feuil1!$1:$1048576,8,FALSE)</f>
        <v>OK</v>
      </c>
      <c r="Q1109" s="6" t="str">
        <f>VLOOKUP(Tableau1[[#This Row],[SITES NAMES]],[1]Feuil1!$1:$1048576,9,FALSE)</f>
        <v>NO</v>
      </c>
      <c r="R1109" s="6" t="str">
        <f>VLOOKUP(Tableau1[[#This Row],[SITES NAMES]],[1]Feuil1!$1:$1048576,10,FALSE)</f>
        <v>NO</v>
      </c>
      <c r="S1109" s="6" t="s">
        <v>2461</v>
      </c>
      <c r="T1109" s="6" t="s">
        <v>2462</v>
      </c>
      <c r="U1109" s="6" t="s">
        <v>2463</v>
      </c>
      <c r="V1109" s="6" t="s">
        <v>2478</v>
      </c>
      <c r="W1109" s="6" t="s">
        <v>2465</v>
      </c>
      <c r="X1109" s="8" t="s">
        <v>2970</v>
      </c>
      <c r="Y1109" s="6" t="s">
        <v>3238</v>
      </c>
      <c r="Z1109" s="6" t="s">
        <v>3264</v>
      </c>
      <c r="AA1109" s="35" t="s">
        <v>3616</v>
      </c>
      <c r="AB1109" s="35" t="s">
        <v>3608</v>
      </c>
      <c r="AC1109" s="35" t="s">
        <v>3617</v>
      </c>
      <c r="AD1109" s="35" t="s">
        <v>3610</v>
      </c>
      <c r="AE1109" s="35" t="s">
        <v>3610</v>
      </c>
      <c r="AF1109" s="35" t="s">
        <v>3611</v>
      </c>
      <c r="AG1109" s="35" t="s">
        <v>3612</v>
      </c>
      <c r="AH1109" s="35" t="s">
        <v>3618</v>
      </c>
    </row>
    <row r="1110" spans="1:34" ht="14.45" hidden="1" customHeight="1" x14ac:dyDescent="0.25">
      <c r="A1110" s="6" t="s">
        <v>1568</v>
      </c>
      <c r="B1110" s="7">
        <v>44739</v>
      </c>
      <c r="C1110" s="6" t="s">
        <v>1567</v>
      </c>
      <c r="D1110" s="6" t="s">
        <v>66</v>
      </c>
      <c r="E1110" s="6" t="s">
        <v>3233</v>
      </c>
      <c r="F1110" s="6" t="s">
        <v>3229</v>
      </c>
      <c r="G1110" s="8">
        <v>1.2110799999999999</v>
      </c>
      <c r="H1110" s="8">
        <v>6.2678399999999996</v>
      </c>
      <c r="I1110" s="6" t="s">
        <v>2497</v>
      </c>
      <c r="J1110" s="6" t="s">
        <v>2459</v>
      </c>
      <c r="K1110" s="6" t="s">
        <v>2460</v>
      </c>
      <c r="L1110" s="6"/>
      <c r="M1110" s="6"/>
      <c r="N1110" s="6" t="s">
        <v>3268</v>
      </c>
      <c r="O1110" s="6" t="s">
        <v>7</v>
      </c>
      <c r="P1110" s="6" t="str">
        <f>VLOOKUP(Tableau1[[#This Row],[SITES NAMES]],[1]Feuil1!$1:$1048576,8,FALSE)</f>
        <v>OK</v>
      </c>
      <c r="Q1110" s="6" t="str">
        <f>VLOOKUP(Tableau1[[#This Row],[SITES NAMES]],[1]Feuil1!$1:$1048576,9,FALSE)</f>
        <v>YES</v>
      </c>
      <c r="R1110" s="6" t="str">
        <f>VLOOKUP(Tableau1[[#This Row],[SITES NAMES]],[1]Feuil1!$1:$1048576,10,FALSE)</f>
        <v>YES</v>
      </c>
      <c r="S1110" s="6" t="s">
        <v>2461</v>
      </c>
      <c r="T1110" s="6" t="s">
        <v>2462</v>
      </c>
      <c r="U1110" s="6" t="s">
        <v>2463</v>
      </c>
      <c r="V1110" s="6" t="s">
        <v>2478</v>
      </c>
      <c r="W1110" s="6" t="s">
        <v>2476</v>
      </c>
      <c r="X1110" s="8" t="s">
        <v>2971</v>
      </c>
      <c r="Y1110" s="6" t="s">
        <v>3238</v>
      </c>
      <c r="Z1110" s="6" t="s">
        <v>3264</v>
      </c>
      <c r="AA1110" s="35" t="s">
        <v>3616</v>
      </c>
      <c r="AB1110" s="35" t="s">
        <v>3608</v>
      </c>
      <c r="AC1110" s="35" t="s">
        <v>3617</v>
      </c>
      <c r="AD1110" s="35" t="s">
        <v>3610</v>
      </c>
      <c r="AE1110" s="35" t="s">
        <v>3610</v>
      </c>
      <c r="AF1110" s="35" t="s">
        <v>3611</v>
      </c>
      <c r="AG1110" s="35" t="s">
        <v>3612</v>
      </c>
      <c r="AH1110" s="35" t="s">
        <v>3618</v>
      </c>
    </row>
    <row r="1111" spans="1:34" ht="14.45" hidden="1" customHeight="1" x14ac:dyDescent="0.25">
      <c r="A1111" s="6" t="s">
        <v>1458</v>
      </c>
      <c r="B1111" s="7">
        <v>46022</v>
      </c>
      <c r="C1111" s="6" t="s">
        <v>1457</v>
      </c>
      <c r="D1111" s="6" t="s">
        <v>66</v>
      </c>
      <c r="E1111" s="6" t="s">
        <v>3233</v>
      </c>
      <c r="F1111" s="6" t="s">
        <v>3229</v>
      </c>
      <c r="G1111" s="8">
        <v>1.213527</v>
      </c>
      <c r="H1111" s="8">
        <v>6.2994050000000001</v>
      </c>
      <c r="I1111" s="16" t="s">
        <v>2477</v>
      </c>
      <c r="J1111" s="6" t="s">
        <v>2459</v>
      </c>
      <c r="K1111" s="6" t="s">
        <v>2468</v>
      </c>
      <c r="L1111" s="6"/>
      <c r="M1111" s="6"/>
      <c r="N1111" s="6" t="s">
        <v>2468</v>
      </c>
      <c r="O1111" s="6" t="s">
        <v>7</v>
      </c>
      <c r="P1111" s="6"/>
      <c r="Q1111" s="6"/>
      <c r="R1111" s="6"/>
      <c r="S1111" s="6"/>
      <c r="T1111" s="6"/>
      <c r="U1111" s="6"/>
      <c r="V1111" s="6"/>
      <c r="W1111" s="6"/>
      <c r="X1111" s="8"/>
      <c r="Y1111" s="6" t="s">
        <v>3238</v>
      </c>
      <c r="Z1111" s="6" t="s">
        <v>3264</v>
      </c>
      <c r="AA1111" s="35" t="s">
        <v>3616</v>
      </c>
      <c r="AB1111" s="35" t="s">
        <v>3608</v>
      </c>
      <c r="AC1111" s="35" t="s">
        <v>3617</v>
      </c>
      <c r="AD1111" s="35" t="s">
        <v>3610</v>
      </c>
      <c r="AE1111" s="35" t="s">
        <v>3610</v>
      </c>
      <c r="AF1111" s="35" t="s">
        <v>3611</v>
      </c>
      <c r="AG1111" s="35" t="s">
        <v>3612</v>
      </c>
      <c r="AH1111" s="35" t="s">
        <v>3618</v>
      </c>
    </row>
    <row r="1112" spans="1:34" ht="14.45" hidden="1" customHeight="1" x14ac:dyDescent="0.25">
      <c r="A1112" s="6" t="s">
        <v>1298</v>
      </c>
      <c r="B1112" s="7">
        <v>0</v>
      </c>
      <c r="C1112" s="6" t="s">
        <v>1297</v>
      </c>
      <c r="D1112" s="6" t="s">
        <v>66</v>
      </c>
      <c r="E1112" s="6" t="s">
        <v>1924</v>
      </c>
      <c r="F1112" s="18" t="s">
        <v>3230</v>
      </c>
      <c r="G1112" s="8">
        <v>1.2511589999999999</v>
      </c>
      <c r="H1112" s="8">
        <v>6.1925735399999997</v>
      </c>
      <c r="I1112" s="6" t="s">
        <v>2497</v>
      </c>
      <c r="J1112" s="6" t="s">
        <v>2459</v>
      </c>
      <c r="K1112" s="6" t="s">
        <v>2460</v>
      </c>
      <c r="L1112" s="6"/>
      <c r="M1112" s="6"/>
      <c r="N1112" s="6" t="s">
        <v>3268</v>
      </c>
      <c r="O1112" s="6" t="s">
        <v>7</v>
      </c>
      <c r="P1112" s="6" t="str">
        <f>VLOOKUP(Tableau1[[#This Row],[SITES NAMES]],[1]Feuil1!$1:$1048576,8,FALSE)</f>
        <v>NOK</v>
      </c>
      <c r="Q1112" s="6" t="str">
        <f>VLOOKUP(Tableau1[[#This Row],[SITES NAMES]],[1]Feuil1!$1:$1048576,9,FALSE)</f>
        <v>NO</v>
      </c>
      <c r="R1112" s="6" t="str">
        <f>VLOOKUP(Tableau1[[#This Row],[SITES NAMES]],[1]Feuil1!$1:$1048576,10,FALSE)</f>
        <v>NO</v>
      </c>
      <c r="S1112" s="6" t="s">
        <v>2461</v>
      </c>
      <c r="T1112" s="6" t="s">
        <v>2470</v>
      </c>
      <c r="U1112" s="6" t="s">
        <v>2471</v>
      </c>
      <c r="V1112" s="6" t="s">
        <v>2478</v>
      </c>
      <c r="W1112" s="6" t="s">
        <v>2476</v>
      </c>
      <c r="X1112" s="8" t="s">
        <v>2922</v>
      </c>
      <c r="Y1112" s="6" t="s">
        <v>3238</v>
      </c>
      <c r="Z1112" s="6" t="s">
        <v>3261</v>
      </c>
      <c r="AA1112" s="35" t="s">
        <v>3607</v>
      </c>
      <c r="AB1112" s="35" t="s">
        <v>3608</v>
      </c>
      <c r="AC1112" s="35" t="s">
        <v>3609</v>
      </c>
      <c r="AD1112" s="35" t="s">
        <v>3610</v>
      </c>
      <c r="AE1112" s="35" t="s">
        <v>3610</v>
      </c>
      <c r="AF1112" s="35" t="s">
        <v>3611</v>
      </c>
      <c r="AG1112" s="35" t="s">
        <v>3612</v>
      </c>
      <c r="AH1112" s="35" t="s">
        <v>3613</v>
      </c>
    </row>
    <row r="1113" spans="1:34" ht="14.45" hidden="1" customHeight="1" x14ac:dyDescent="0.25">
      <c r="A1113" s="6" t="s">
        <v>1570</v>
      </c>
      <c r="B1113" s="7">
        <v>0</v>
      </c>
      <c r="C1113" s="6" t="s">
        <v>1569</v>
      </c>
      <c r="D1113" s="6" t="s">
        <v>66</v>
      </c>
      <c r="E1113" s="6" t="s">
        <v>3233</v>
      </c>
      <c r="F1113" s="6" t="s">
        <v>3229</v>
      </c>
      <c r="G1113" s="8">
        <v>1.2074130000000001</v>
      </c>
      <c r="H1113" s="8">
        <v>6.188445196</v>
      </c>
      <c r="I1113" s="6" t="s">
        <v>2497</v>
      </c>
      <c r="J1113" s="6" t="s">
        <v>2459</v>
      </c>
      <c r="K1113" s="6" t="s">
        <v>2460</v>
      </c>
      <c r="L1113" s="6"/>
      <c r="M1113" s="6"/>
      <c r="N1113" s="6" t="s">
        <v>3268</v>
      </c>
      <c r="O1113" s="6" t="s">
        <v>1206</v>
      </c>
      <c r="P1113" s="6"/>
      <c r="Q1113" s="6" t="str">
        <f>VLOOKUP(Tableau1[[#This Row],[SITES NAMES]],[1]Feuil1!$1:$1048576,9,FALSE)</f>
        <v>YES</v>
      </c>
      <c r="R1113" s="6" t="str">
        <f>VLOOKUP(Tableau1[[#This Row],[SITES NAMES]],[1]Feuil1!$1:$1048576,10,FALSE)</f>
        <v>YES</v>
      </c>
      <c r="S1113" s="6" t="s">
        <v>2461</v>
      </c>
      <c r="T1113" s="6" t="s">
        <v>2462</v>
      </c>
      <c r="U1113" s="6" t="s">
        <v>2463</v>
      </c>
      <c r="V1113" s="6" t="s">
        <v>2498</v>
      </c>
      <c r="W1113" s="6" t="s">
        <v>2476</v>
      </c>
      <c r="X1113" s="8" t="s">
        <v>2972</v>
      </c>
      <c r="Y1113" s="6" t="s">
        <v>3238</v>
      </c>
      <c r="Z1113" s="6" t="s">
        <v>3264</v>
      </c>
      <c r="AA1113" s="35" t="s">
        <v>3616</v>
      </c>
      <c r="AB1113" s="35" t="s">
        <v>3608</v>
      </c>
      <c r="AC1113" s="35" t="s">
        <v>3617</v>
      </c>
      <c r="AD1113" s="35" t="s">
        <v>3610</v>
      </c>
      <c r="AE1113" s="35" t="s">
        <v>3610</v>
      </c>
      <c r="AF1113" s="35" t="s">
        <v>3611</v>
      </c>
      <c r="AG1113" s="35" t="s">
        <v>3612</v>
      </c>
      <c r="AH1113" s="35" t="s">
        <v>3618</v>
      </c>
    </row>
    <row r="1114" spans="1:34" ht="14.45" hidden="1" customHeight="1" x14ac:dyDescent="0.25">
      <c r="A1114" s="6" t="s">
        <v>1572</v>
      </c>
      <c r="B1114" s="7">
        <v>44848</v>
      </c>
      <c r="C1114" s="6" t="s">
        <v>1571</v>
      </c>
      <c r="D1114" s="6" t="s">
        <v>66</v>
      </c>
      <c r="E1114" s="6" t="s">
        <v>3233</v>
      </c>
      <c r="F1114" s="6" t="s">
        <v>3229</v>
      </c>
      <c r="G1114" s="8">
        <v>1.21193</v>
      </c>
      <c r="H1114" s="8">
        <v>6.1944309999999998</v>
      </c>
      <c r="I1114" s="6" t="s">
        <v>2475</v>
      </c>
      <c r="J1114" s="6" t="s">
        <v>2459</v>
      </c>
      <c r="K1114" s="6" t="s">
        <v>2468</v>
      </c>
      <c r="L1114" s="6"/>
      <c r="M1114" s="6"/>
      <c r="N1114" s="6" t="s">
        <v>2468</v>
      </c>
      <c r="O1114" s="6" t="s">
        <v>7</v>
      </c>
      <c r="P1114" s="6" t="str">
        <f>VLOOKUP(Tableau1[[#This Row],[SITES NAMES]],[1]Feuil1!$1:$1048576,8,FALSE)</f>
        <v>OK</v>
      </c>
      <c r="Q1114" s="6" t="str">
        <f>VLOOKUP(Tableau1[[#This Row],[SITES NAMES]],[1]Feuil1!$1:$1048576,9,FALSE)</f>
        <v>NO</v>
      </c>
      <c r="R1114" s="6" t="str">
        <f>VLOOKUP(Tableau1[[#This Row],[SITES NAMES]],[1]Feuil1!$1:$1048576,10,FALSE)</f>
        <v>YES</v>
      </c>
      <c r="S1114" s="6" t="s">
        <v>2469</v>
      </c>
      <c r="T1114" s="6" t="s">
        <v>2470</v>
      </c>
      <c r="U1114" s="6" t="s">
        <v>2471</v>
      </c>
      <c r="V1114" s="6" t="s">
        <v>2464</v>
      </c>
      <c r="W1114" s="6" t="s">
        <v>2476</v>
      </c>
      <c r="X1114" s="8">
        <v>70997358</v>
      </c>
      <c r="Y1114" s="6" t="s">
        <v>3238</v>
      </c>
      <c r="Z1114" s="6" t="s">
        <v>3264</v>
      </c>
      <c r="AA1114" s="35" t="s">
        <v>3616</v>
      </c>
      <c r="AB1114" s="35" t="s">
        <v>3608</v>
      </c>
      <c r="AC1114" s="35" t="s">
        <v>3617</v>
      </c>
      <c r="AD1114" s="35" t="s">
        <v>3610</v>
      </c>
      <c r="AE1114" s="35" t="s">
        <v>3610</v>
      </c>
      <c r="AF1114" s="35" t="s">
        <v>3611</v>
      </c>
      <c r="AG1114" s="35" t="s">
        <v>3612</v>
      </c>
      <c r="AH1114" s="35" t="s">
        <v>3618</v>
      </c>
    </row>
    <row r="1115" spans="1:34" ht="14.45" hidden="1" customHeight="1" x14ac:dyDescent="0.25">
      <c r="A1115" s="6" t="s">
        <v>1956</v>
      </c>
      <c r="B1115" s="7">
        <v>0</v>
      </c>
      <c r="C1115" s="6" t="s">
        <v>1955</v>
      </c>
      <c r="D1115" s="6" t="s">
        <v>66</v>
      </c>
      <c r="E1115" s="6" t="s">
        <v>3232</v>
      </c>
      <c r="F1115" s="18" t="s">
        <v>3230</v>
      </c>
      <c r="G1115" s="8">
        <v>1.2118500000000001</v>
      </c>
      <c r="H1115" s="8">
        <v>6.1289305560000003</v>
      </c>
      <c r="I1115" s="6" t="s">
        <v>2497</v>
      </c>
      <c r="J1115" s="6" t="s">
        <v>2459</v>
      </c>
      <c r="K1115" s="6" t="s">
        <v>2460</v>
      </c>
      <c r="L1115" s="6"/>
      <c r="M1115" s="6"/>
      <c r="N1115" s="6" t="s">
        <v>3268</v>
      </c>
      <c r="O1115" s="6" t="s">
        <v>7</v>
      </c>
      <c r="P1115" s="6"/>
      <c r="Q1115" s="6" t="str">
        <f>VLOOKUP(Tableau1[[#This Row],[SITES NAMES]],[1]Feuil1!$1:$1048576,9,FALSE)</f>
        <v>YES</v>
      </c>
      <c r="R1115" s="6" t="str">
        <f>VLOOKUP(Tableau1[[#This Row],[SITES NAMES]],[1]Feuil1!$1:$1048576,10,FALSE)</f>
        <v>NO</v>
      </c>
      <c r="S1115" s="6" t="s">
        <v>2461</v>
      </c>
      <c r="T1115" s="6" t="s">
        <v>2462</v>
      </c>
      <c r="U1115" s="6" t="s">
        <v>2463</v>
      </c>
      <c r="V1115" s="6" t="s">
        <v>2498</v>
      </c>
      <c r="W1115" s="6" t="s">
        <v>2476</v>
      </c>
      <c r="X1115" s="8"/>
      <c r="Y1115" s="6" t="s">
        <v>3238</v>
      </c>
      <c r="Z1115" s="6" t="s">
        <v>3262</v>
      </c>
      <c r="AA1115" s="35" t="s">
        <v>3621</v>
      </c>
      <c r="AB1115" s="35" t="s">
        <v>3608</v>
      </c>
      <c r="AC1115" s="35" t="s">
        <v>3624</v>
      </c>
      <c r="AD1115" s="35" t="s">
        <v>3610</v>
      </c>
      <c r="AE1115" s="35" t="s">
        <v>3610</v>
      </c>
      <c r="AF1115" s="35" t="s">
        <v>3611</v>
      </c>
      <c r="AG1115" s="35" t="s">
        <v>3612</v>
      </c>
      <c r="AH1115" s="35" t="s">
        <v>3625</v>
      </c>
    </row>
    <row r="1116" spans="1:34" ht="14.45" hidden="1" customHeight="1" x14ac:dyDescent="0.3">
      <c r="A1116" s="6" t="s">
        <v>111</v>
      </c>
      <c r="B1116" s="7">
        <v>44063</v>
      </c>
      <c r="C1116" s="6" t="s">
        <v>110</v>
      </c>
      <c r="D1116" s="6" t="s">
        <v>5</v>
      </c>
      <c r="E1116" s="6" t="s">
        <v>6</v>
      </c>
      <c r="F1116" s="6" t="s">
        <v>3229</v>
      </c>
      <c r="G1116" s="8">
        <v>1.474315</v>
      </c>
      <c r="H1116" s="8">
        <v>6.2392500000000002</v>
      </c>
      <c r="I1116" s="6" t="s">
        <v>2497</v>
      </c>
      <c r="J1116" s="6" t="s">
        <v>2459</v>
      </c>
      <c r="K1116" s="6" t="s">
        <v>2468</v>
      </c>
      <c r="L1116" s="6" t="s">
        <v>4</v>
      </c>
      <c r="M1116" s="6"/>
      <c r="N1116" s="6" t="s">
        <v>2468</v>
      </c>
      <c r="O1116" s="6" t="s">
        <v>7</v>
      </c>
      <c r="P1116" s="6" t="str">
        <f>VLOOKUP(Tableau1[[#This Row],[SITES NAMES]],[1]Feuil1!$1:$1048576,8,FALSE)</f>
        <v>OK</v>
      </c>
      <c r="Q1116" s="6" t="str">
        <f>VLOOKUP(Tableau1[[#This Row],[SITES NAMES]],[1]Feuil1!$1:$1048576,9,FALSE)</f>
        <v>NO</v>
      </c>
      <c r="R1116" s="6" t="str">
        <f>VLOOKUP(Tableau1[[#This Row],[SITES NAMES]],[1]Feuil1!$1:$1048576,10,FALSE)</f>
        <v>NO</v>
      </c>
      <c r="S1116" s="6" t="s">
        <v>2469</v>
      </c>
      <c r="T1116" s="6" t="s">
        <v>2470</v>
      </c>
      <c r="U1116" s="6" t="s">
        <v>2471</v>
      </c>
      <c r="V1116" s="6" t="s">
        <v>2464</v>
      </c>
      <c r="W1116" s="6" t="s">
        <v>2465</v>
      </c>
      <c r="X1116" s="8" t="s">
        <v>2517</v>
      </c>
      <c r="Y1116" s="6" t="s">
        <v>3241</v>
      </c>
      <c r="Z1116" t="e">
        <f>VLOOKUP(Tableau1[[#This Row],[SITES NAMES]],#REF!,3,FALSE)</f>
        <v>#REF!</v>
      </c>
      <c r="AA1116" s="37" t="s">
        <v>3626</v>
      </c>
      <c r="AB1116" s="38" t="s">
        <v>3627</v>
      </c>
      <c r="AC1116" s="37" t="s">
        <v>3633</v>
      </c>
      <c r="AD1116" s="37" t="s">
        <v>3628</v>
      </c>
      <c r="AE1116" s="37" t="s">
        <v>3629</v>
      </c>
      <c r="AF1116" s="39" t="s">
        <v>3630</v>
      </c>
      <c r="AG1116" s="37" t="s">
        <v>3631</v>
      </c>
      <c r="AH1116" s="37" t="s">
        <v>3632</v>
      </c>
    </row>
    <row r="1117" spans="1:34" ht="14.45" hidden="1" customHeight="1" x14ac:dyDescent="0.3">
      <c r="A1117" s="6" t="s">
        <v>2069</v>
      </c>
      <c r="B1117" s="7">
        <v>0</v>
      </c>
      <c r="C1117" s="6" t="s">
        <v>2068</v>
      </c>
      <c r="D1117" s="6" t="s">
        <v>132</v>
      </c>
      <c r="E1117" s="6" t="s">
        <v>2049</v>
      </c>
      <c r="F1117" s="6" t="s">
        <v>3229</v>
      </c>
      <c r="G1117" s="8">
        <v>1.603899</v>
      </c>
      <c r="H1117" s="8">
        <v>7.0216419999999999</v>
      </c>
      <c r="I1117" s="6" t="s">
        <v>2488</v>
      </c>
      <c r="J1117" s="6" t="s">
        <v>2459</v>
      </c>
      <c r="K1117" s="6" t="s">
        <v>2460</v>
      </c>
      <c r="L1117" s="6"/>
      <c r="M1117" s="6"/>
      <c r="N1117" s="6" t="s">
        <v>3268</v>
      </c>
      <c r="O1117" s="6" t="s">
        <v>7</v>
      </c>
      <c r="P1117" s="6" t="str">
        <f>VLOOKUP(Tableau1[[#This Row],[SITES NAMES]],[1]Feuil1!$1:$1048576,8,FALSE)</f>
        <v>OK</v>
      </c>
      <c r="Q1117" s="6" t="str">
        <f>VLOOKUP(Tableau1[[#This Row],[SITES NAMES]],[1]Feuil1!$1:$1048576,9,FALSE)</f>
        <v>NO</v>
      </c>
      <c r="R1117" s="6" t="str">
        <f>VLOOKUP(Tableau1[[#This Row],[SITES NAMES]],[1]Feuil1!$1:$1048576,10,FALSE)</f>
        <v>NO</v>
      </c>
      <c r="S1117" s="6" t="s">
        <v>2469</v>
      </c>
      <c r="T1117" s="6" t="s">
        <v>2470</v>
      </c>
      <c r="U1117" s="6" t="s">
        <v>2471</v>
      </c>
      <c r="V1117" s="6" t="s">
        <v>2472</v>
      </c>
      <c r="W1117" s="6" t="s">
        <v>2465</v>
      </c>
      <c r="X1117" s="8"/>
      <c r="Y1117" s="6" t="s">
        <v>3238</v>
      </c>
      <c r="Z1117" s="6" t="s">
        <v>3257</v>
      </c>
      <c r="AA1117" s="45" t="s">
        <v>3656</v>
      </c>
      <c r="AB1117" s="39" t="s">
        <v>3644</v>
      </c>
      <c r="AC1117" s="45" t="s">
        <v>3657</v>
      </c>
      <c r="AD1117" s="37" t="s">
        <v>3658</v>
      </c>
      <c r="AE1117" s="37" t="s">
        <v>3647</v>
      </c>
      <c r="AF1117" s="39" t="s">
        <v>3648</v>
      </c>
      <c r="AG1117" s="37" t="s">
        <v>3649</v>
      </c>
      <c r="AH1117" s="37" t="s">
        <v>3659</v>
      </c>
    </row>
    <row r="1118" spans="1:34" ht="14.45" hidden="1" customHeight="1" x14ac:dyDescent="0.3">
      <c r="A1118" s="6" t="s">
        <v>2134</v>
      </c>
      <c r="B1118" s="7">
        <v>43851</v>
      </c>
      <c r="C1118" s="6" t="s">
        <v>2133</v>
      </c>
      <c r="D1118" s="6" t="s">
        <v>132</v>
      </c>
      <c r="E1118" s="6" t="s">
        <v>2049</v>
      </c>
      <c r="F1118" s="6" t="s">
        <v>3229</v>
      </c>
      <c r="G1118" s="8">
        <v>1.61622</v>
      </c>
      <c r="H1118" s="8">
        <v>7.0194099999999997</v>
      </c>
      <c r="I1118" s="6" t="s">
        <v>2486</v>
      </c>
      <c r="J1118" s="6" t="s">
        <v>2459</v>
      </c>
      <c r="K1118" s="6" t="s">
        <v>2460</v>
      </c>
      <c r="L1118" s="6" t="s">
        <v>3460</v>
      </c>
      <c r="M1118" s="6"/>
      <c r="N1118" s="6" t="s">
        <v>3268</v>
      </c>
      <c r="O1118" s="6" t="s">
        <v>7</v>
      </c>
      <c r="P1118" s="6" t="str">
        <f>VLOOKUP(Tableau1[[#This Row],[SITES NAMES]],[1]Feuil1!$1:$1048576,8,FALSE)</f>
        <v>OK</v>
      </c>
      <c r="Q1118" s="6" t="str">
        <f>VLOOKUP(Tableau1[[#This Row],[SITES NAMES]],[1]Feuil1!$1:$1048576,9,FALSE)</f>
        <v>NO</v>
      </c>
      <c r="R1118" s="6" t="str">
        <f>VLOOKUP(Tableau1[[#This Row],[SITES NAMES]],[1]Feuil1!$1:$1048576,10,FALSE)</f>
        <v>NO</v>
      </c>
      <c r="S1118" s="6" t="s">
        <v>2469</v>
      </c>
      <c r="T1118" s="6" t="s">
        <v>2470</v>
      </c>
      <c r="U1118" s="6" t="s">
        <v>2471</v>
      </c>
      <c r="V1118" s="6" t="s">
        <v>2464</v>
      </c>
      <c r="W1118" s="6" t="s">
        <v>2465</v>
      </c>
      <c r="X1118" s="8" t="s">
        <v>3129</v>
      </c>
      <c r="Y1118" s="6" t="s">
        <v>3238</v>
      </c>
      <c r="Z1118" s="6" t="s">
        <v>3257</v>
      </c>
      <c r="AA1118" s="45" t="s">
        <v>3656</v>
      </c>
      <c r="AB1118" s="39" t="s">
        <v>3644</v>
      </c>
      <c r="AC1118" s="45" t="s">
        <v>3657</v>
      </c>
      <c r="AD1118" s="37" t="s">
        <v>3658</v>
      </c>
      <c r="AE1118" s="37" t="s">
        <v>3647</v>
      </c>
      <c r="AF1118" s="39" t="s">
        <v>3648</v>
      </c>
      <c r="AG1118" s="37" t="s">
        <v>3649</v>
      </c>
      <c r="AH1118" s="37" t="s">
        <v>3659</v>
      </c>
    </row>
    <row r="1119" spans="1:34" ht="14.45" hidden="1" customHeight="1" x14ac:dyDescent="0.25">
      <c r="A1119" s="6" t="s">
        <v>1434</v>
      </c>
      <c r="B1119" s="7">
        <v>46022</v>
      </c>
      <c r="C1119" s="6" t="s">
        <v>1433</v>
      </c>
      <c r="D1119" s="6" t="s">
        <v>66</v>
      </c>
      <c r="E1119" s="6" t="s">
        <v>3231</v>
      </c>
      <c r="F1119" s="6" t="s">
        <v>3229</v>
      </c>
      <c r="G1119" s="8">
        <v>1.2978229999999999</v>
      </c>
      <c r="H1119" s="8">
        <v>6.1592140000000004</v>
      </c>
      <c r="I1119" s="14" t="e">
        <v>#N/A</v>
      </c>
      <c r="J1119" s="6" t="s">
        <v>2459</v>
      </c>
      <c r="K1119" s="6" t="s">
        <v>2460</v>
      </c>
      <c r="L1119" s="6"/>
      <c r="M1119" s="6"/>
      <c r="N1119" s="6" t="s">
        <v>3268</v>
      </c>
      <c r="O1119" s="6" t="s">
        <v>1206</v>
      </c>
      <c r="P1119" s="6"/>
      <c r="Q1119" s="6"/>
      <c r="R1119" s="6"/>
      <c r="S1119" s="6"/>
      <c r="T1119" s="6"/>
      <c r="U1119" s="6"/>
      <c r="V1119" s="6"/>
      <c r="W1119" s="6"/>
      <c r="X1119" s="8"/>
      <c r="Y1119" s="6" t="s">
        <v>3238</v>
      </c>
      <c r="Z1119" s="6"/>
      <c r="AA1119" s="35" t="s">
        <v>3621</v>
      </c>
      <c r="AB1119" s="35" t="s">
        <v>3608</v>
      </c>
      <c r="AC1119" s="35" t="s">
        <v>3622</v>
      </c>
      <c r="AD1119" s="35" t="s">
        <v>3610</v>
      </c>
      <c r="AE1119" s="35" t="s">
        <v>3610</v>
      </c>
      <c r="AF1119" s="35" t="s">
        <v>3611</v>
      </c>
      <c r="AG1119" s="35" t="s">
        <v>3612</v>
      </c>
      <c r="AH1119" s="35" t="s">
        <v>3623</v>
      </c>
    </row>
    <row r="1120" spans="1:34" ht="14.45" hidden="1" customHeight="1" x14ac:dyDescent="0.3">
      <c r="A1120" s="6" t="s">
        <v>1149</v>
      </c>
      <c r="B1120" s="7">
        <v>0</v>
      </c>
      <c r="C1120" s="6" t="s">
        <v>1148</v>
      </c>
      <c r="D1120" s="6" t="s">
        <v>5</v>
      </c>
      <c r="E1120" s="6" t="s">
        <v>1003</v>
      </c>
      <c r="F1120" s="6" t="s">
        <v>3229</v>
      </c>
      <c r="G1120" s="8">
        <v>0.83442000000000005</v>
      </c>
      <c r="H1120" s="8">
        <v>7.11578</v>
      </c>
      <c r="I1120" s="6" t="s">
        <v>2467</v>
      </c>
      <c r="J1120" s="6" t="s">
        <v>2459</v>
      </c>
      <c r="K1120" s="6" t="s">
        <v>2460</v>
      </c>
      <c r="L1120" s="6" t="s">
        <v>1046</v>
      </c>
      <c r="M1120" s="6"/>
      <c r="N1120" s="6" t="s">
        <v>3268</v>
      </c>
      <c r="O1120" s="6" t="s">
        <v>40</v>
      </c>
      <c r="P1120" s="6" t="str">
        <f>VLOOKUP(Tableau1[[#This Row],[SITES NAMES]],[1]Feuil1!$1:$1048576,8,FALSE)</f>
        <v>OK</v>
      </c>
      <c r="Q1120" s="6" t="str">
        <f>VLOOKUP(Tableau1[[#This Row],[SITES NAMES]],[1]Feuil1!$1:$1048576,9,FALSE)</f>
        <v>NO</v>
      </c>
      <c r="R1120" s="6" t="str">
        <f>VLOOKUP(Tableau1[[#This Row],[SITES NAMES]],[1]Feuil1!$1:$1048576,10,FALSE)</f>
        <v>YES</v>
      </c>
      <c r="S1120" s="6" t="s">
        <v>2469</v>
      </c>
      <c r="T1120" s="6" t="s">
        <v>2470</v>
      </c>
      <c r="U1120" s="6" t="s">
        <v>2471</v>
      </c>
      <c r="V1120" s="6" t="s">
        <v>2472</v>
      </c>
      <c r="W1120" s="6" t="s">
        <v>2473</v>
      </c>
      <c r="X1120" s="8" t="s">
        <v>2889</v>
      </c>
      <c r="Y1120" s="6" t="s">
        <v>3241</v>
      </c>
      <c r="Z1120" s="6"/>
      <c r="AA1120" s="37" t="s">
        <v>3634</v>
      </c>
      <c r="AB1120" s="38" t="s">
        <v>3627</v>
      </c>
      <c r="AC1120" s="37" t="s">
        <v>3635</v>
      </c>
      <c r="AD1120" s="37" t="s">
        <v>3636</v>
      </c>
      <c r="AE1120" s="37" t="s">
        <v>3637</v>
      </c>
      <c r="AF1120" s="37" t="s">
        <v>3636</v>
      </c>
      <c r="AG1120" s="37" t="s">
        <v>3638</v>
      </c>
      <c r="AH1120" s="37" t="s">
        <v>3639</v>
      </c>
    </row>
    <row r="1121" spans="1:34" ht="14.45" hidden="1" customHeight="1" x14ac:dyDescent="0.3">
      <c r="A1121" s="6" t="s">
        <v>113</v>
      </c>
      <c r="B1121" s="7">
        <v>0</v>
      </c>
      <c r="C1121" s="6" t="s">
        <v>112</v>
      </c>
      <c r="D1121" s="6" t="s">
        <v>5</v>
      </c>
      <c r="E1121" s="6" t="s">
        <v>6</v>
      </c>
      <c r="F1121" s="6" t="s">
        <v>3229</v>
      </c>
      <c r="G1121" s="8">
        <v>1.5949500000000001</v>
      </c>
      <c r="H1121" s="8">
        <v>6.6592799999999999</v>
      </c>
      <c r="I1121" s="6" t="s">
        <v>2467</v>
      </c>
      <c r="J1121" s="6" t="s">
        <v>2459</v>
      </c>
      <c r="K1121" s="6" t="s">
        <v>2468</v>
      </c>
      <c r="L1121" s="6" t="s">
        <v>107</v>
      </c>
      <c r="M1121" s="6"/>
      <c r="N1121" s="6" t="s">
        <v>2468</v>
      </c>
      <c r="O1121" s="6" t="s">
        <v>18</v>
      </c>
      <c r="P1121" s="6" t="str">
        <f>VLOOKUP(Tableau1[[#This Row],[SITES NAMES]],[1]Feuil1!$1:$1048576,8,FALSE)</f>
        <v>OK</v>
      </c>
      <c r="Q1121" s="6" t="str">
        <f>VLOOKUP(Tableau1[[#This Row],[SITES NAMES]],[1]Feuil1!$1:$1048576,9,FALSE)</f>
        <v>NO</v>
      </c>
      <c r="R1121" s="6" t="str">
        <f>VLOOKUP(Tableau1[[#This Row],[SITES NAMES]],[1]Feuil1!$1:$1048576,10,FALSE)</f>
        <v>YES</v>
      </c>
      <c r="S1121" s="6" t="s">
        <v>2469</v>
      </c>
      <c r="T1121" s="6" t="s">
        <v>2470</v>
      </c>
      <c r="U1121" s="6" t="s">
        <v>2471</v>
      </c>
      <c r="V1121" s="6" t="s">
        <v>2472</v>
      </c>
      <c r="W1121" s="6" t="s">
        <v>2476</v>
      </c>
      <c r="X1121" s="8"/>
      <c r="Y1121" s="6" t="s">
        <v>3241</v>
      </c>
      <c r="Z1121" s="6"/>
      <c r="AA1121" s="37" t="s">
        <v>3626</v>
      </c>
      <c r="AB1121" s="38" t="s">
        <v>3627</v>
      </c>
      <c r="AC1121" s="37" t="s">
        <v>3633</v>
      </c>
      <c r="AD1121" s="37" t="s">
        <v>3628</v>
      </c>
      <c r="AE1121" s="37" t="s">
        <v>3629</v>
      </c>
      <c r="AF1121" s="39" t="s">
        <v>3630</v>
      </c>
      <c r="AG1121" s="37" t="s">
        <v>3631</v>
      </c>
      <c r="AH1121" s="37" t="s">
        <v>3632</v>
      </c>
    </row>
    <row r="1122" spans="1:34" ht="14.45" hidden="1" customHeight="1" x14ac:dyDescent="0.3">
      <c r="A1122" s="6" t="s">
        <v>907</v>
      </c>
      <c r="B1122" s="7">
        <v>0</v>
      </c>
      <c r="C1122" s="6" t="s">
        <v>906</v>
      </c>
      <c r="D1122" s="6" t="s">
        <v>657</v>
      </c>
      <c r="E1122" s="6" t="s">
        <v>3237</v>
      </c>
      <c r="F1122" s="6" t="s">
        <v>3229</v>
      </c>
      <c r="G1122" s="8">
        <v>1.2072400000000001</v>
      </c>
      <c r="H1122" s="8">
        <v>9.5692299999999992</v>
      </c>
      <c r="I1122" s="6" t="s">
        <v>2486</v>
      </c>
      <c r="J1122" s="6" t="s">
        <v>2459</v>
      </c>
      <c r="K1122" s="6" t="s">
        <v>2460</v>
      </c>
      <c r="L1122" s="6"/>
      <c r="M1122" s="6"/>
      <c r="N1122" s="6" t="s">
        <v>3268</v>
      </c>
      <c r="O1122" s="6" t="s">
        <v>7</v>
      </c>
      <c r="P1122" s="6" t="str">
        <f>VLOOKUP(Tableau1[[#This Row],[SITES NAMES]],[1]Feuil1!$1:$1048576,8,FALSE)</f>
        <v>OK</v>
      </c>
      <c r="Q1122" s="6" t="str">
        <f>VLOOKUP(Tableau1[[#This Row],[SITES NAMES]],[1]Feuil1!$1:$1048576,9,FALSE)</f>
        <v>NO</v>
      </c>
      <c r="R1122" s="6" t="str">
        <f>VLOOKUP(Tableau1[[#This Row],[SITES NAMES]],[1]Feuil1!$1:$1048576,10,FALSE)</f>
        <v>NO</v>
      </c>
      <c r="S1122" s="6" t="s">
        <v>2469</v>
      </c>
      <c r="T1122" s="6" t="s">
        <v>2470</v>
      </c>
      <c r="U1122" s="6" t="s">
        <v>2471</v>
      </c>
      <c r="V1122" s="6" t="s">
        <v>2464</v>
      </c>
      <c r="W1122" s="6" t="s">
        <v>2476</v>
      </c>
      <c r="X1122" s="8" t="s">
        <v>2808</v>
      </c>
      <c r="Y1122" s="6" t="s">
        <v>3239</v>
      </c>
      <c r="Z1122" s="6" t="s">
        <v>3253</v>
      </c>
      <c r="AA1122" s="37" t="s">
        <v>3692</v>
      </c>
      <c r="AB1122" s="38" t="s">
        <v>3683</v>
      </c>
      <c r="AC1122" s="39" t="s">
        <v>3693</v>
      </c>
      <c r="AD1122" s="39" t="s">
        <v>3694</v>
      </c>
      <c r="AE1122" s="37" t="s">
        <v>3695</v>
      </c>
      <c r="AF1122" s="39" t="s">
        <v>3696</v>
      </c>
      <c r="AG1122" s="40" t="s">
        <v>3685</v>
      </c>
      <c r="AH1122" s="37" t="s">
        <v>3697</v>
      </c>
    </row>
    <row r="1123" spans="1:34" ht="14.45" hidden="1" customHeight="1" x14ac:dyDescent="0.3">
      <c r="A1123" s="6" t="s">
        <v>909</v>
      </c>
      <c r="B1123" s="7">
        <v>0</v>
      </c>
      <c r="C1123" s="6" t="s">
        <v>908</v>
      </c>
      <c r="D1123" s="6" t="s">
        <v>657</v>
      </c>
      <c r="E1123" s="6" t="s">
        <v>3237</v>
      </c>
      <c r="F1123" s="18" t="s">
        <v>3230</v>
      </c>
      <c r="G1123" s="8">
        <v>1.2074</v>
      </c>
      <c r="H1123" s="8">
        <v>9.5585100000000001</v>
      </c>
      <c r="I1123" s="6" t="s">
        <v>2479</v>
      </c>
      <c r="J1123" s="6" t="s">
        <v>2459</v>
      </c>
      <c r="K1123" s="6" t="s">
        <v>2460</v>
      </c>
      <c r="L1123" s="6" t="s">
        <v>961</v>
      </c>
      <c r="M1123" s="6" t="s">
        <v>845</v>
      </c>
      <c r="N1123" s="6" t="s">
        <v>3268</v>
      </c>
      <c r="O1123" s="6" t="s">
        <v>7</v>
      </c>
      <c r="P1123" s="6" t="str">
        <f>VLOOKUP(Tableau1[[#This Row],[SITES NAMES]],[1]Feuil1!$1:$1048576,8,FALSE)</f>
        <v>NOK</v>
      </c>
      <c r="Q1123" s="6" t="str">
        <f>VLOOKUP(Tableau1[[#This Row],[SITES NAMES]],[1]Feuil1!$1:$1048576,9,FALSE)</f>
        <v>YES</v>
      </c>
      <c r="R1123" s="6" t="str">
        <f>VLOOKUP(Tableau1[[#This Row],[SITES NAMES]],[1]Feuil1!$1:$1048576,10,FALSE)</f>
        <v>NO</v>
      </c>
      <c r="S1123" s="6" t="s">
        <v>2469</v>
      </c>
      <c r="T1123" s="6" t="s">
        <v>2470</v>
      </c>
      <c r="U1123" s="6" t="s">
        <v>2471</v>
      </c>
      <c r="V1123" s="6" t="s">
        <v>2478</v>
      </c>
      <c r="W1123" s="6" t="s">
        <v>2476</v>
      </c>
      <c r="X1123" s="8" t="s">
        <v>2809</v>
      </c>
      <c r="Y1123" s="6" t="s">
        <v>3239</v>
      </c>
      <c r="Z1123" s="6" t="s">
        <v>3253</v>
      </c>
      <c r="AA1123" s="37" t="s">
        <v>3692</v>
      </c>
      <c r="AB1123" s="38" t="s">
        <v>3683</v>
      </c>
      <c r="AC1123" s="39" t="s">
        <v>3693</v>
      </c>
      <c r="AD1123" s="39" t="s">
        <v>3694</v>
      </c>
      <c r="AE1123" s="37" t="s">
        <v>3695</v>
      </c>
      <c r="AF1123" s="39" t="s">
        <v>3696</v>
      </c>
      <c r="AG1123" s="40" t="s">
        <v>3685</v>
      </c>
      <c r="AH1123" s="37" t="s">
        <v>3697</v>
      </c>
    </row>
    <row r="1124" spans="1:34" ht="14.45" hidden="1" customHeight="1" x14ac:dyDescent="0.3">
      <c r="A1124" s="6" t="s">
        <v>253</v>
      </c>
      <c r="B1124" s="7">
        <v>0</v>
      </c>
      <c r="C1124" s="6" t="s">
        <v>252</v>
      </c>
      <c r="D1124" s="6" t="s">
        <v>132</v>
      </c>
      <c r="E1124" s="6" t="s">
        <v>251</v>
      </c>
      <c r="F1124" s="6" t="s">
        <v>3229</v>
      </c>
      <c r="G1124" s="8">
        <v>0.59582999999999997</v>
      </c>
      <c r="H1124" s="8">
        <v>7.5147680000000001</v>
      </c>
      <c r="I1124" s="6" t="s">
        <v>2477</v>
      </c>
      <c r="J1124" s="6" t="s">
        <v>2459</v>
      </c>
      <c r="K1124" s="6" t="s">
        <v>2468</v>
      </c>
      <c r="L1124" s="6" t="s">
        <v>3588</v>
      </c>
      <c r="M1124" s="6"/>
      <c r="N1124" s="6" t="s">
        <v>2468</v>
      </c>
      <c r="O1124" s="6" t="s">
        <v>7</v>
      </c>
      <c r="P1124" s="6" t="str">
        <f>VLOOKUP(Tableau1[[#This Row],[SITES NAMES]],[1]Feuil1!$1:$1048576,8,FALSE)</f>
        <v>OK</v>
      </c>
      <c r="Q1124" s="6" t="str">
        <f>VLOOKUP(Tableau1[[#This Row],[SITES NAMES]],[1]Feuil1!$1:$1048576,9,FALSE)</f>
        <v>NO</v>
      </c>
      <c r="R1124" s="6" t="str">
        <f>VLOOKUP(Tableau1[[#This Row],[SITES NAMES]],[1]Feuil1!$1:$1048576,10,FALSE)</f>
        <v>YES</v>
      </c>
      <c r="S1124" s="6" t="s">
        <v>2469</v>
      </c>
      <c r="T1124" s="6" t="s">
        <v>2470</v>
      </c>
      <c r="U1124" s="6" t="s">
        <v>2480</v>
      </c>
      <c r="V1124" s="6" t="s">
        <v>2472</v>
      </c>
      <c r="W1124" s="6" t="s">
        <v>2473</v>
      </c>
      <c r="X1124" s="8" t="s">
        <v>2567</v>
      </c>
      <c r="Y1124" s="6" t="s">
        <v>3238</v>
      </c>
      <c r="Z1124" s="6" t="s">
        <v>3256</v>
      </c>
      <c r="AA1124" s="37" t="s">
        <v>3651</v>
      </c>
      <c r="AB1124" s="39" t="s">
        <v>3644</v>
      </c>
      <c r="AC1124" s="45" t="s">
        <v>3652</v>
      </c>
      <c r="AD1124" s="39" t="s">
        <v>3646</v>
      </c>
      <c r="AE1124" s="37" t="s">
        <v>3653</v>
      </c>
      <c r="AF1124" s="37" t="s">
        <v>3654</v>
      </c>
      <c r="AG1124" s="37" t="s">
        <v>3649</v>
      </c>
      <c r="AH1124" s="37" t="s">
        <v>3655</v>
      </c>
    </row>
    <row r="1125" spans="1:34" ht="14.45" hidden="1" customHeight="1" x14ac:dyDescent="0.3">
      <c r="A1125" s="6" t="s">
        <v>115</v>
      </c>
      <c r="B1125" s="7">
        <v>0</v>
      </c>
      <c r="C1125" s="6" t="s">
        <v>114</v>
      </c>
      <c r="D1125" s="6" t="s">
        <v>5</v>
      </c>
      <c r="E1125" s="6" t="s">
        <v>6</v>
      </c>
      <c r="F1125" s="6" t="s">
        <v>3229</v>
      </c>
      <c r="G1125" s="8">
        <v>1.5339149999999999</v>
      </c>
      <c r="H1125" s="8">
        <v>6.7808999999999999</v>
      </c>
      <c r="I1125" s="6" t="s">
        <v>2477</v>
      </c>
      <c r="J1125" s="6" t="s">
        <v>2459</v>
      </c>
      <c r="K1125" s="6" t="s">
        <v>2468</v>
      </c>
      <c r="L1125" s="6" t="s">
        <v>109</v>
      </c>
      <c r="M1125" s="6"/>
      <c r="N1125" s="6" t="s">
        <v>2468</v>
      </c>
      <c r="O1125" s="6" t="s">
        <v>40</v>
      </c>
      <c r="P1125" s="6" t="str">
        <f>VLOOKUP(Tableau1[[#This Row],[SITES NAMES]],[1]Feuil1!$1:$1048576,8,FALSE)</f>
        <v>OK</v>
      </c>
      <c r="Q1125" s="6" t="str">
        <f>VLOOKUP(Tableau1[[#This Row],[SITES NAMES]],[1]Feuil1!$1:$1048576,9,FALSE)</f>
        <v>NO</v>
      </c>
      <c r="R1125" s="6" t="str">
        <f>VLOOKUP(Tableau1[[#This Row],[SITES NAMES]],[1]Feuil1!$1:$1048576,10,FALSE)</f>
        <v>NO</v>
      </c>
      <c r="S1125" s="6" t="s">
        <v>2469</v>
      </c>
      <c r="T1125" s="6" t="s">
        <v>2470</v>
      </c>
      <c r="U1125" s="6" t="s">
        <v>2480</v>
      </c>
      <c r="V1125" s="6" t="s">
        <v>2472</v>
      </c>
      <c r="W1125" s="6" t="s">
        <v>2473</v>
      </c>
      <c r="X1125" s="8" t="s">
        <v>2518</v>
      </c>
      <c r="Y1125" s="6" t="s">
        <v>3241</v>
      </c>
      <c r="Z1125" t="e">
        <f>VLOOKUP(Tableau1[[#This Row],[SITES NAMES]],#REF!,3,FALSE)</f>
        <v>#REF!</v>
      </c>
      <c r="AA1125" s="37" t="s">
        <v>3626</v>
      </c>
      <c r="AB1125" s="38" t="s">
        <v>3627</v>
      </c>
      <c r="AC1125" s="37" t="s">
        <v>3633</v>
      </c>
      <c r="AD1125" s="37" t="s">
        <v>3628</v>
      </c>
      <c r="AE1125" s="37" t="s">
        <v>3629</v>
      </c>
      <c r="AF1125" s="39" t="s">
        <v>3630</v>
      </c>
      <c r="AG1125" s="37" t="s">
        <v>3631</v>
      </c>
      <c r="AH1125" s="37" t="s">
        <v>3632</v>
      </c>
    </row>
    <row r="1126" spans="1:34" ht="14.45" hidden="1" customHeight="1" x14ac:dyDescent="0.3">
      <c r="A1126" s="6" t="s">
        <v>1964</v>
      </c>
      <c r="B1126" s="7">
        <v>43931</v>
      </c>
      <c r="C1126" s="6" t="s">
        <v>1963</v>
      </c>
      <c r="D1126" s="6" t="s">
        <v>395</v>
      </c>
      <c r="E1126" s="6" t="s">
        <v>1965</v>
      </c>
      <c r="F1126" s="6" t="s">
        <v>3229</v>
      </c>
      <c r="G1126" s="8">
        <v>0.55878300000000003</v>
      </c>
      <c r="H1126" s="8">
        <v>10.488595999999999</v>
      </c>
      <c r="I1126" s="6" t="s">
        <v>2482</v>
      </c>
      <c r="J1126" s="6" t="s">
        <v>2459</v>
      </c>
      <c r="K1126" s="6" t="s">
        <v>2468</v>
      </c>
      <c r="L1126" s="6" t="s">
        <v>3586</v>
      </c>
      <c r="M1126" s="6"/>
      <c r="N1126" s="6" t="s">
        <v>2468</v>
      </c>
      <c r="O1126" s="6" t="s">
        <v>40</v>
      </c>
      <c r="P1126" s="6" t="str">
        <f>VLOOKUP(Tableau1[[#This Row],[SITES NAMES]],[1]Feuil1!$1:$1048576,8,FALSE)</f>
        <v>NOK</v>
      </c>
      <c r="Q1126" s="6" t="str">
        <f>VLOOKUP(Tableau1[[#This Row],[SITES NAMES]],[1]Feuil1!$1:$1048576,9,FALSE)</f>
        <v>NO</v>
      </c>
      <c r="R1126" s="6" t="str">
        <f>VLOOKUP(Tableau1[[#This Row],[SITES NAMES]],[1]Feuil1!$1:$1048576,10,FALSE)</f>
        <v>YES</v>
      </c>
      <c r="S1126" s="6" t="s">
        <v>2469</v>
      </c>
      <c r="T1126" s="6" t="s">
        <v>2470</v>
      </c>
      <c r="U1126" s="6" t="s">
        <v>2471</v>
      </c>
      <c r="V1126" s="6" t="s">
        <v>2472</v>
      </c>
      <c r="W1126" s="6" t="s">
        <v>2473</v>
      </c>
      <c r="X1126" s="8" t="s">
        <v>3064</v>
      </c>
      <c r="Y1126" s="6" t="s">
        <v>3240</v>
      </c>
      <c r="Z1126" s="6" t="s">
        <v>3255</v>
      </c>
      <c r="AA1126" s="37" t="s">
        <v>3712</v>
      </c>
      <c r="AB1126" s="39" t="s">
        <v>3705</v>
      </c>
      <c r="AC1126" s="37" t="s">
        <v>3713</v>
      </c>
      <c r="AD1126" s="37" t="s">
        <v>3712</v>
      </c>
      <c r="AE1126" s="37" t="s">
        <v>3712</v>
      </c>
      <c r="AF1126" s="37" t="s">
        <v>3712</v>
      </c>
      <c r="AG1126" s="40" t="s">
        <v>3714</v>
      </c>
      <c r="AH1126" s="37" t="s">
        <v>3715</v>
      </c>
    </row>
    <row r="1127" spans="1:34" ht="14.45" hidden="1" customHeight="1" x14ac:dyDescent="0.25">
      <c r="A1127" s="6" t="s">
        <v>1718</v>
      </c>
      <c r="B1127" s="7">
        <v>0</v>
      </c>
      <c r="C1127" s="6" t="s">
        <v>1717</v>
      </c>
      <c r="D1127" s="6" t="s">
        <v>66</v>
      </c>
      <c r="E1127" s="6" t="s">
        <v>3234</v>
      </c>
      <c r="F1127" s="18" t="s">
        <v>3230</v>
      </c>
      <c r="G1127" s="8">
        <v>1.1826000000000001</v>
      </c>
      <c r="H1127" s="8">
        <v>6.1977141920000003</v>
      </c>
      <c r="I1127" s="6" t="s">
        <v>2497</v>
      </c>
      <c r="J1127" s="6" t="s">
        <v>2459</v>
      </c>
      <c r="K1127" s="6" t="s">
        <v>2460</v>
      </c>
      <c r="L1127" s="6"/>
      <c r="M1127" s="6"/>
      <c r="N1127" s="6" t="s">
        <v>3268</v>
      </c>
      <c r="O1127" s="6" t="s">
        <v>7</v>
      </c>
      <c r="P1127" s="6" t="str">
        <f>VLOOKUP(Tableau1[[#This Row],[SITES NAMES]],[1]Feuil1!$1:$1048576,8,FALSE)</f>
        <v>OK</v>
      </c>
      <c r="Q1127" s="6" t="str">
        <f>VLOOKUP(Tableau1[[#This Row],[SITES NAMES]],[1]Feuil1!$1:$1048576,9,FALSE)</f>
        <v>YES</v>
      </c>
      <c r="R1127" s="6" t="str">
        <f>VLOOKUP(Tableau1[[#This Row],[SITES NAMES]],[1]Feuil1!$1:$1048576,10,FALSE)</f>
        <v>NO</v>
      </c>
      <c r="S1127" s="6" t="s">
        <v>2469</v>
      </c>
      <c r="T1127" s="6" t="s">
        <v>2470</v>
      </c>
      <c r="U1127" s="6" t="s">
        <v>2471</v>
      </c>
      <c r="V1127" s="6" t="s">
        <v>2478</v>
      </c>
      <c r="W1127" s="6" t="s">
        <v>2476</v>
      </c>
      <c r="X1127" s="8" t="s">
        <v>3009</v>
      </c>
      <c r="Y1127" s="6" t="s">
        <v>3238</v>
      </c>
      <c r="Z1127" s="6" t="s">
        <v>3265</v>
      </c>
      <c r="AA1127" s="35" t="s">
        <v>3607</v>
      </c>
      <c r="AB1127" s="35" t="s">
        <v>3608</v>
      </c>
      <c r="AC1127" s="35" t="s">
        <v>3614</v>
      </c>
      <c r="AD1127" s="35" t="s">
        <v>3610</v>
      </c>
      <c r="AE1127" s="35" t="s">
        <v>3610</v>
      </c>
      <c r="AF1127" s="35" t="s">
        <v>3611</v>
      </c>
      <c r="AG1127" s="35" t="s">
        <v>3612</v>
      </c>
      <c r="AH1127" s="35" t="s">
        <v>3615</v>
      </c>
    </row>
    <row r="1128" spans="1:34" ht="14.45" hidden="1" customHeight="1" x14ac:dyDescent="0.25">
      <c r="A1128" s="6" t="s">
        <v>1720</v>
      </c>
      <c r="B1128" s="7">
        <v>0</v>
      </c>
      <c r="C1128" s="6" t="s">
        <v>1719</v>
      </c>
      <c r="D1128" s="6" t="s">
        <v>66</v>
      </c>
      <c r="E1128" s="6" t="s">
        <v>3234</v>
      </c>
      <c r="F1128" s="18" t="s">
        <v>3230</v>
      </c>
      <c r="G1128" s="8">
        <v>1.1864444439999999</v>
      </c>
      <c r="H1128" s="8">
        <v>6.1890641520000003</v>
      </c>
      <c r="I1128" s="6" t="s">
        <v>2497</v>
      </c>
      <c r="J1128" s="6" t="s">
        <v>2459</v>
      </c>
      <c r="K1128" s="6" t="s">
        <v>2460</v>
      </c>
      <c r="L1128" s="6" t="s">
        <v>1718</v>
      </c>
      <c r="M1128" s="6" t="s">
        <v>1781</v>
      </c>
      <c r="N1128" s="6" t="s">
        <v>3268</v>
      </c>
      <c r="O1128" s="6" t="s">
        <v>7</v>
      </c>
      <c r="P1128" s="6" t="str">
        <f>VLOOKUP(Tableau1[[#This Row],[SITES NAMES]],[1]Feuil1!$1:$1048576,8,FALSE)</f>
        <v>NOK</v>
      </c>
      <c r="Q1128" s="6" t="str">
        <f>VLOOKUP(Tableau1[[#This Row],[SITES NAMES]],[1]Feuil1!$1:$1048576,9,FALSE)</f>
        <v>NO</v>
      </c>
      <c r="R1128" s="6" t="str">
        <f>VLOOKUP(Tableau1[[#This Row],[SITES NAMES]],[1]Feuil1!$1:$1048576,10,FALSE)</f>
        <v>NO</v>
      </c>
      <c r="S1128" s="6" t="s">
        <v>2469</v>
      </c>
      <c r="T1128" s="6" t="s">
        <v>2470</v>
      </c>
      <c r="U1128" s="6" t="s">
        <v>2471</v>
      </c>
      <c r="V1128" s="6" t="s">
        <v>2478</v>
      </c>
      <c r="W1128" s="6" t="s">
        <v>2476</v>
      </c>
      <c r="X1128" s="8" t="s">
        <v>3010</v>
      </c>
      <c r="Y1128" s="6" t="s">
        <v>3238</v>
      </c>
      <c r="Z1128" s="6" t="s">
        <v>3265</v>
      </c>
      <c r="AA1128" s="35" t="s">
        <v>3607</v>
      </c>
      <c r="AB1128" s="35" t="s">
        <v>3608</v>
      </c>
      <c r="AC1128" s="35" t="s">
        <v>3614</v>
      </c>
      <c r="AD1128" s="35" t="s">
        <v>3610</v>
      </c>
      <c r="AE1128" s="35" t="s">
        <v>3610</v>
      </c>
      <c r="AF1128" s="35" t="s">
        <v>3611</v>
      </c>
      <c r="AG1128" s="35" t="s">
        <v>3612</v>
      </c>
      <c r="AH1128" s="35" t="s">
        <v>3615</v>
      </c>
    </row>
    <row r="1129" spans="1:34" ht="14.45" hidden="1" customHeight="1" x14ac:dyDescent="0.25">
      <c r="A1129" s="6" t="s">
        <v>1823</v>
      </c>
      <c r="B1129" s="7">
        <v>45090</v>
      </c>
      <c r="C1129" s="6" t="s">
        <v>1822</v>
      </c>
      <c r="D1129" s="6" t="s">
        <v>66</v>
      </c>
      <c r="E1129" s="6" t="s">
        <v>3234</v>
      </c>
      <c r="F1129" s="6" t="s">
        <v>3229</v>
      </c>
      <c r="G1129" s="8">
        <v>1.1891830000000001</v>
      </c>
      <c r="H1129" s="8">
        <v>6.19346</v>
      </c>
      <c r="I1129" s="6" t="s">
        <v>2475</v>
      </c>
      <c r="J1129" s="6" t="s">
        <v>2459</v>
      </c>
      <c r="K1129" s="6" t="s">
        <v>2460</v>
      </c>
      <c r="L1129" s="6" t="s">
        <v>1510</v>
      </c>
      <c r="M1129" s="6" t="s">
        <v>1720</v>
      </c>
      <c r="N1129" s="6" t="s">
        <v>3268</v>
      </c>
      <c r="O1129" s="6" t="s">
        <v>7</v>
      </c>
      <c r="P1129" s="6" t="str">
        <f>VLOOKUP(Tableau1[[#This Row],[SITES NAMES]],[1]Feuil1!$1:$1048576,8,FALSE)</f>
        <v>OK</v>
      </c>
      <c r="Q1129" s="6" t="str">
        <f>VLOOKUP(Tableau1[[#This Row],[SITES NAMES]],[1]Feuil1!$1:$1048576,9,FALSE)</f>
        <v>NO</v>
      </c>
      <c r="R1129" s="6" t="str">
        <f>VLOOKUP(Tableau1[[#This Row],[SITES NAMES]],[1]Feuil1!$1:$1048576,10,FALSE)</f>
        <v>NO</v>
      </c>
      <c r="S1129" s="6" t="s">
        <v>2469</v>
      </c>
      <c r="T1129" s="6" t="s">
        <v>2470</v>
      </c>
      <c r="U1129" s="6" t="s">
        <v>2471</v>
      </c>
      <c r="V1129" s="6" t="s">
        <v>2478</v>
      </c>
      <c r="W1129" s="6" t="s">
        <v>2465</v>
      </c>
      <c r="X1129" s="8">
        <v>70997359</v>
      </c>
      <c r="Y1129" s="6" t="s">
        <v>3238</v>
      </c>
      <c r="Z1129" s="6" t="s">
        <v>3265</v>
      </c>
      <c r="AA1129" s="35" t="s">
        <v>3607</v>
      </c>
      <c r="AB1129" s="35" t="s">
        <v>3608</v>
      </c>
      <c r="AC1129" s="35" t="s">
        <v>3614</v>
      </c>
      <c r="AD1129" s="35" t="s">
        <v>3610</v>
      </c>
      <c r="AE1129" s="35" t="s">
        <v>3610</v>
      </c>
      <c r="AF1129" s="35" t="s">
        <v>3611</v>
      </c>
      <c r="AG1129" s="35" t="s">
        <v>3612</v>
      </c>
      <c r="AH1129" s="35" t="s">
        <v>3615</v>
      </c>
    </row>
    <row r="1130" spans="1:34" ht="14.45" hidden="1" customHeight="1" x14ac:dyDescent="0.3">
      <c r="A1130" s="6" t="s">
        <v>1151</v>
      </c>
      <c r="B1130" s="7">
        <v>0</v>
      </c>
      <c r="C1130" s="6" t="s">
        <v>1150</v>
      </c>
      <c r="D1130" s="6" t="s">
        <v>5</v>
      </c>
      <c r="E1130" s="6" t="s">
        <v>1003</v>
      </c>
      <c r="F1130" s="6" t="s">
        <v>3229</v>
      </c>
      <c r="G1130" s="8">
        <v>0.660717</v>
      </c>
      <c r="H1130" s="8">
        <v>6.8775409999999999</v>
      </c>
      <c r="I1130" s="6" t="s">
        <v>2486</v>
      </c>
      <c r="J1130" s="6" t="s">
        <v>2459</v>
      </c>
      <c r="K1130" s="6" t="s">
        <v>2460</v>
      </c>
      <c r="L1130" s="6" t="s">
        <v>1005</v>
      </c>
      <c r="M1130" s="6" t="s">
        <v>1003</v>
      </c>
      <c r="N1130" s="6" t="s">
        <v>3268</v>
      </c>
      <c r="O1130" s="6" t="s">
        <v>7</v>
      </c>
      <c r="P1130" s="6" t="str">
        <f>VLOOKUP(Tableau1[[#This Row],[SITES NAMES]],[1]Feuil1!$1:$1048576,8,FALSE)</f>
        <v>NOK</v>
      </c>
      <c r="Q1130" s="6" t="str">
        <f>VLOOKUP(Tableau1[[#This Row],[SITES NAMES]],[1]Feuil1!$1:$1048576,9,FALSE)</f>
        <v>NO</v>
      </c>
      <c r="R1130" s="6" t="str">
        <f>VLOOKUP(Tableau1[[#This Row],[SITES NAMES]],[1]Feuil1!$1:$1048576,10,FALSE)</f>
        <v>NO</v>
      </c>
      <c r="S1130" s="6" t="s">
        <v>2469</v>
      </c>
      <c r="T1130" s="6" t="s">
        <v>2470</v>
      </c>
      <c r="U1130" s="6" t="s">
        <v>2480</v>
      </c>
      <c r="V1130" s="6" t="s">
        <v>2472</v>
      </c>
      <c r="W1130" s="6" t="s">
        <v>2465</v>
      </c>
      <c r="X1130" s="8" t="s">
        <v>2890</v>
      </c>
      <c r="Y1130" s="6" t="s">
        <v>3241</v>
      </c>
      <c r="Z1130" s="6"/>
      <c r="AA1130" s="37" t="s">
        <v>3634</v>
      </c>
      <c r="AB1130" s="38" t="s">
        <v>3627</v>
      </c>
      <c r="AC1130" s="37" t="s">
        <v>3635</v>
      </c>
      <c r="AD1130" s="37" t="s">
        <v>3636</v>
      </c>
      <c r="AE1130" s="37" t="s">
        <v>3637</v>
      </c>
      <c r="AF1130" s="37" t="s">
        <v>3636</v>
      </c>
      <c r="AG1130" s="37" t="s">
        <v>3638</v>
      </c>
      <c r="AH1130" s="37" t="s">
        <v>3639</v>
      </c>
    </row>
    <row r="1131" spans="1:34" ht="14.45" hidden="1" customHeight="1" x14ac:dyDescent="0.3">
      <c r="A1131" s="6" t="s">
        <v>1153</v>
      </c>
      <c r="B1131" s="7">
        <v>0</v>
      </c>
      <c r="C1131" s="6" t="s">
        <v>1152</v>
      </c>
      <c r="D1131" s="6" t="s">
        <v>5</v>
      </c>
      <c r="E1131" s="6" t="s">
        <v>1003</v>
      </c>
      <c r="F1131" s="6" t="s">
        <v>3229</v>
      </c>
      <c r="G1131" s="8">
        <v>0.88641999999999999</v>
      </c>
      <c r="H1131" s="8">
        <v>6.5603300000000004</v>
      </c>
      <c r="I1131" s="6" t="s">
        <v>2477</v>
      </c>
      <c r="J1131" s="6" t="s">
        <v>2459</v>
      </c>
      <c r="K1131" s="6" t="s">
        <v>2460</v>
      </c>
      <c r="L1131" s="6" t="s">
        <v>1392</v>
      </c>
      <c r="M1131" s="6" t="s">
        <v>678</v>
      </c>
      <c r="N1131" s="6" t="s">
        <v>3268</v>
      </c>
      <c r="O1131" s="6" t="s">
        <v>40</v>
      </c>
      <c r="P1131" s="6" t="str">
        <f>VLOOKUP(Tableau1[[#This Row],[SITES NAMES]],[1]Feuil1!$1:$1048576,8,FALSE)</f>
        <v>OK</v>
      </c>
      <c r="Q1131" s="6" t="str">
        <f>VLOOKUP(Tableau1[[#This Row],[SITES NAMES]],[1]Feuil1!$1:$1048576,9,FALSE)</f>
        <v>NO</v>
      </c>
      <c r="R1131" s="6" t="str">
        <f>VLOOKUP(Tableau1[[#This Row],[SITES NAMES]],[1]Feuil1!$1:$1048576,10,FALSE)</f>
        <v>NO</v>
      </c>
      <c r="S1131" s="6" t="s">
        <v>2469</v>
      </c>
      <c r="T1131" s="6" t="s">
        <v>2470</v>
      </c>
      <c r="U1131" s="6" t="s">
        <v>2471</v>
      </c>
      <c r="V1131" s="6" t="s">
        <v>2472</v>
      </c>
      <c r="W1131" s="6" t="s">
        <v>2473</v>
      </c>
      <c r="X1131" s="8" t="s">
        <v>2891</v>
      </c>
      <c r="Y1131" s="6" t="s">
        <v>3241</v>
      </c>
      <c r="Z1131" t="e">
        <f>VLOOKUP(Tableau1[[#This Row],[SITES NAMES]],#REF!,3,FALSE)</f>
        <v>#REF!</v>
      </c>
      <c r="AA1131" s="37" t="s">
        <v>3634</v>
      </c>
      <c r="AB1131" s="38" t="s">
        <v>3627</v>
      </c>
      <c r="AC1131" s="37" t="s">
        <v>3635</v>
      </c>
      <c r="AD1131" s="37" t="s">
        <v>3636</v>
      </c>
      <c r="AE1131" s="37" t="s">
        <v>3637</v>
      </c>
      <c r="AF1131" s="37" t="s">
        <v>3636</v>
      </c>
      <c r="AG1131" s="37" t="s">
        <v>3638</v>
      </c>
      <c r="AH1131" s="37" t="s">
        <v>3639</v>
      </c>
    </row>
    <row r="1132" spans="1:34" ht="14.45" hidden="1" customHeight="1" x14ac:dyDescent="0.3">
      <c r="A1132" s="6" t="s">
        <v>1155</v>
      </c>
      <c r="B1132" s="7">
        <v>43880</v>
      </c>
      <c r="C1132" s="6" t="s">
        <v>1154</v>
      </c>
      <c r="D1132" s="6" t="s">
        <v>5</v>
      </c>
      <c r="E1132" s="6" t="s">
        <v>1003</v>
      </c>
      <c r="F1132" s="6" t="s">
        <v>3229</v>
      </c>
      <c r="G1132" s="8">
        <v>0.63563999999999998</v>
      </c>
      <c r="H1132" s="8">
        <v>7.0692399999999997</v>
      </c>
      <c r="I1132" s="6" t="s">
        <v>2467</v>
      </c>
      <c r="J1132" s="6" t="s">
        <v>2459</v>
      </c>
      <c r="K1132" s="6" t="s">
        <v>2468</v>
      </c>
      <c r="L1132" s="6"/>
      <c r="M1132" s="6"/>
      <c r="N1132" s="6" t="s">
        <v>2468</v>
      </c>
      <c r="O1132" s="6" t="s">
        <v>40</v>
      </c>
      <c r="P1132" s="6" t="str">
        <f>VLOOKUP(Tableau1[[#This Row],[SITES NAMES]],[1]Feuil1!$1:$1048576,8,FALSE)</f>
        <v>OK</v>
      </c>
      <c r="Q1132" s="6" t="str">
        <f>VLOOKUP(Tableau1[[#This Row],[SITES NAMES]],[1]Feuil1!$1:$1048576,9,FALSE)</f>
        <v>NO</v>
      </c>
      <c r="R1132" s="6" t="str">
        <f>VLOOKUP(Tableau1[[#This Row],[SITES NAMES]],[1]Feuil1!$1:$1048576,10,FALSE)</f>
        <v>YES</v>
      </c>
      <c r="S1132" s="6" t="s">
        <v>2461</v>
      </c>
      <c r="T1132" s="6" t="s">
        <v>2462</v>
      </c>
      <c r="U1132" s="6" t="s">
        <v>2463</v>
      </c>
      <c r="V1132" s="6" t="s">
        <v>2472</v>
      </c>
      <c r="W1132" s="6" t="s">
        <v>2473</v>
      </c>
      <c r="X1132" s="8" t="s">
        <v>2892</v>
      </c>
      <c r="Y1132" s="6" t="s">
        <v>3241</v>
      </c>
      <c r="Z1132" s="6"/>
      <c r="AA1132" s="37" t="s">
        <v>3634</v>
      </c>
      <c r="AB1132" s="38" t="s">
        <v>3627</v>
      </c>
      <c r="AC1132" s="37" t="s">
        <v>3635</v>
      </c>
      <c r="AD1132" s="37" t="s">
        <v>3636</v>
      </c>
      <c r="AE1132" s="37" t="s">
        <v>3637</v>
      </c>
      <c r="AF1132" s="37" t="s">
        <v>3636</v>
      </c>
      <c r="AG1132" s="37" t="s">
        <v>3638</v>
      </c>
      <c r="AH1132" s="37" t="s">
        <v>3639</v>
      </c>
    </row>
    <row r="1133" spans="1:34" ht="14.45" hidden="1" customHeight="1" x14ac:dyDescent="0.3">
      <c r="A1133" s="6" t="s">
        <v>1030</v>
      </c>
      <c r="B1133" s="7">
        <v>0</v>
      </c>
      <c r="C1133" s="6" t="s">
        <v>1029</v>
      </c>
      <c r="D1133" s="6" t="s">
        <v>5</v>
      </c>
      <c r="E1133" s="6" t="s">
        <v>1003</v>
      </c>
      <c r="F1133" s="6" t="s">
        <v>3229</v>
      </c>
      <c r="G1133" s="8">
        <v>0.71089100000000005</v>
      </c>
      <c r="H1133" s="8">
        <v>7.1228020000000001</v>
      </c>
      <c r="I1133" s="6" t="s">
        <v>2488</v>
      </c>
      <c r="J1133" s="6" t="s">
        <v>2459</v>
      </c>
      <c r="K1133" s="6" t="s">
        <v>2468</v>
      </c>
      <c r="L1133" s="6" t="s">
        <v>3589</v>
      </c>
      <c r="M1133" s="6"/>
      <c r="N1133" s="6" t="s">
        <v>2468</v>
      </c>
      <c r="O1133" s="6" t="s">
        <v>7</v>
      </c>
      <c r="P1133" s="6" t="str">
        <f>VLOOKUP(Tableau1[[#This Row],[SITES NAMES]],[1]Feuil1!$1:$1048576,8,FALSE)</f>
        <v>OK</v>
      </c>
      <c r="Q1133" s="6" t="str">
        <f>VLOOKUP(Tableau1[[#This Row],[SITES NAMES]],[1]Feuil1!$1:$1048576,9,FALSE)</f>
        <v>NO</v>
      </c>
      <c r="R1133" s="6" t="str">
        <f>VLOOKUP(Tableau1[[#This Row],[SITES NAMES]],[1]Feuil1!$1:$1048576,10,FALSE)</f>
        <v>NO</v>
      </c>
      <c r="S1133" s="6" t="s">
        <v>2469</v>
      </c>
      <c r="T1133" s="6" t="s">
        <v>2470</v>
      </c>
      <c r="U1133" s="6" t="s">
        <v>2480</v>
      </c>
      <c r="V1133" s="6" t="s">
        <v>2464</v>
      </c>
      <c r="W1133" s="6" t="s">
        <v>2465</v>
      </c>
      <c r="X1133" s="8" t="s">
        <v>2848</v>
      </c>
      <c r="Y1133" s="6" t="s">
        <v>3241</v>
      </c>
      <c r="Z1133" s="6"/>
      <c r="AA1133" s="37" t="s">
        <v>3634</v>
      </c>
      <c r="AB1133" s="38" t="s">
        <v>3627</v>
      </c>
      <c r="AC1133" s="37" t="s">
        <v>3635</v>
      </c>
      <c r="AD1133" s="37" t="s">
        <v>3636</v>
      </c>
      <c r="AE1133" s="37" t="s">
        <v>3637</v>
      </c>
      <c r="AF1133" s="37" t="s">
        <v>3636</v>
      </c>
      <c r="AG1133" s="37" t="s">
        <v>3638</v>
      </c>
      <c r="AH1133" s="37" t="s">
        <v>3639</v>
      </c>
    </row>
    <row r="1134" spans="1:34" ht="14.45" hidden="1" customHeight="1" x14ac:dyDescent="0.3">
      <c r="A1134" s="6" t="s">
        <v>2411</v>
      </c>
      <c r="B1134" s="7">
        <v>0</v>
      </c>
      <c r="C1134" s="6" t="s">
        <v>2410</v>
      </c>
      <c r="D1134" s="6" t="s">
        <v>5</v>
      </c>
      <c r="E1134" s="6" t="s">
        <v>2333</v>
      </c>
      <c r="F1134" s="6" t="s">
        <v>3229</v>
      </c>
      <c r="G1134" s="8">
        <v>1.36435</v>
      </c>
      <c r="H1134" s="8">
        <v>6.5413699999999997</v>
      </c>
      <c r="I1134" s="6" t="s">
        <v>2497</v>
      </c>
      <c r="J1134" s="6" t="s">
        <v>2459</v>
      </c>
      <c r="K1134" s="6" t="s">
        <v>2460</v>
      </c>
      <c r="L1134" s="6" t="s">
        <v>2335</v>
      </c>
      <c r="M1134" s="6"/>
      <c r="N1134" s="6" t="s">
        <v>3268</v>
      </c>
      <c r="O1134" s="6" t="s">
        <v>7</v>
      </c>
      <c r="P1134" s="6" t="str">
        <f>VLOOKUP(Tableau1[[#This Row],[SITES NAMES]],[1]Feuil1!$1:$1048576,8,FALSE)</f>
        <v>OK</v>
      </c>
      <c r="Q1134" s="6" t="str">
        <f>VLOOKUP(Tableau1[[#This Row],[SITES NAMES]],[1]Feuil1!$1:$1048576,9,FALSE)</f>
        <v>YES</v>
      </c>
      <c r="R1134" s="6" t="str">
        <f>VLOOKUP(Tableau1[[#This Row],[SITES NAMES]],[1]Feuil1!$1:$1048576,10,FALSE)</f>
        <v>NO</v>
      </c>
      <c r="S1134" s="6" t="s">
        <v>2461</v>
      </c>
      <c r="T1134" s="6" t="s">
        <v>2462</v>
      </c>
      <c r="U1134" s="6" t="s">
        <v>2463</v>
      </c>
      <c r="V1134" s="6" t="s">
        <v>2464</v>
      </c>
      <c r="W1134" s="6" t="s">
        <v>2473</v>
      </c>
      <c r="X1134" s="8" t="s">
        <v>3222</v>
      </c>
      <c r="Y1134" s="6" t="s">
        <v>3241</v>
      </c>
      <c r="Z1134" s="6"/>
      <c r="AA1134" s="37"/>
      <c r="AB1134" s="38" t="s">
        <v>3627</v>
      </c>
      <c r="AC1134" s="37" t="s">
        <v>3640</v>
      </c>
      <c r="AD1134" s="39" t="s">
        <v>3641</v>
      </c>
      <c r="AE1134" s="37"/>
      <c r="AF1134" s="39" t="s">
        <v>3641</v>
      </c>
      <c r="AG1134" s="37"/>
      <c r="AH1134" s="37" t="s">
        <v>3642</v>
      </c>
    </row>
    <row r="1135" spans="1:34" ht="15.75" hidden="1" x14ac:dyDescent="0.3">
      <c r="A1135" s="6" t="s">
        <v>2333</v>
      </c>
      <c r="B1135" s="7">
        <v>0</v>
      </c>
      <c r="C1135" s="6" t="s">
        <v>2412</v>
      </c>
      <c r="D1135" s="6" t="s">
        <v>5</v>
      </c>
      <c r="E1135" s="6" t="s">
        <v>2333</v>
      </c>
      <c r="F1135" s="18" t="s">
        <v>3230</v>
      </c>
      <c r="G1135" s="8">
        <v>1.2103305559999999</v>
      </c>
      <c r="H1135" s="8">
        <v>6.4238055559999996</v>
      </c>
      <c r="I1135" s="6" t="s">
        <v>2497</v>
      </c>
      <c r="J1135" s="6" t="s">
        <v>2459</v>
      </c>
      <c r="K1135" s="6" t="s">
        <v>2460</v>
      </c>
      <c r="L1135" s="6"/>
      <c r="M1135" s="6"/>
      <c r="N1135" s="21" t="s">
        <v>3269</v>
      </c>
      <c r="O1135" s="6" t="s">
        <v>7</v>
      </c>
      <c r="P1135" s="6" t="str">
        <f>VLOOKUP(Tableau1[[#This Row],[SITES NAMES]],[1]Feuil1!$1:$1048576,8,FALSE)</f>
        <v>NOK</v>
      </c>
      <c r="Q1135" s="6" t="str">
        <f>VLOOKUP(Tableau1[[#This Row],[SITES NAMES]],[1]Feuil1!$1:$1048576,9,FALSE)</f>
        <v>NO</v>
      </c>
      <c r="R1135" s="6" t="str">
        <f>VLOOKUP(Tableau1[[#This Row],[SITES NAMES]],[1]Feuil1!$1:$1048576,10,FALSE)</f>
        <v>NO</v>
      </c>
      <c r="S1135" s="6" t="s">
        <v>2469</v>
      </c>
      <c r="T1135" s="6" t="s">
        <v>2470</v>
      </c>
      <c r="U1135" s="6" t="s">
        <v>2471</v>
      </c>
      <c r="V1135" s="6" t="s">
        <v>2498</v>
      </c>
      <c r="W1135" s="6" t="s">
        <v>2476</v>
      </c>
      <c r="X1135" s="8" t="s">
        <v>3223</v>
      </c>
      <c r="Y1135" s="6" t="s">
        <v>3241</v>
      </c>
      <c r="Z1135" s="6"/>
      <c r="AA1135" s="37"/>
      <c r="AB1135" s="38" t="s">
        <v>3627</v>
      </c>
      <c r="AC1135" s="37" t="s">
        <v>3640</v>
      </c>
      <c r="AD1135" s="39" t="s">
        <v>3641</v>
      </c>
      <c r="AE1135" s="37"/>
      <c r="AF1135" s="39" t="s">
        <v>3641</v>
      </c>
      <c r="AG1135" s="37"/>
      <c r="AH1135" s="37" t="s">
        <v>3642</v>
      </c>
    </row>
    <row r="1136" spans="1:34" ht="14.45" hidden="1" customHeight="1" x14ac:dyDescent="0.3">
      <c r="A1136" s="6" t="s">
        <v>2414</v>
      </c>
      <c r="B1136" s="7">
        <v>45248</v>
      </c>
      <c r="C1136" s="6" t="s">
        <v>2413</v>
      </c>
      <c r="D1136" s="6" t="s">
        <v>5</v>
      </c>
      <c r="E1136" s="6" t="s">
        <v>2333</v>
      </c>
      <c r="F1136" s="6" t="s">
        <v>3229</v>
      </c>
      <c r="G1136" s="8">
        <v>1.2033130000000001</v>
      </c>
      <c r="H1136" s="8">
        <v>6.4392209999999999</v>
      </c>
      <c r="I1136" s="6" t="s">
        <v>2475</v>
      </c>
      <c r="J1136" s="6" t="s">
        <v>2459</v>
      </c>
      <c r="K1136" s="6" t="s">
        <v>2468</v>
      </c>
      <c r="L1136" s="6" t="s">
        <v>2428</v>
      </c>
      <c r="M1136" s="6"/>
      <c r="N1136" s="6" t="s">
        <v>2468</v>
      </c>
      <c r="O1136" s="6" t="s">
        <v>7</v>
      </c>
      <c r="P1136" s="6" t="str">
        <f>VLOOKUP(Tableau1[[#This Row],[SITES NAMES]],[1]Feuil1!$1:$1048576,8,FALSE)</f>
        <v>OK</v>
      </c>
      <c r="Q1136" s="6" t="str">
        <f>VLOOKUP(Tableau1[[#This Row],[SITES NAMES]],[1]Feuil1!$1:$1048576,9,FALSE)</f>
        <v>NO</v>
      </c>
      <c r="R1136" s="6" t="str">
        <f>VLOOKUP(Tableau1[[#This Row],[SITES NAMES]],[1]Feuil1!$1:$1048576,10,FALSE)</f>
        <v>NO</v>
      </c>
      <c r="S1136" s="6" t="s">
        <v>2469</v>
      </c>
      <c r="T1136" s="6" t="s">
        <v>2470</v>
      </c>
      <c r="U1136" s="6" t="s">
        <v>2471</v>
      </c>
      <c r="V1136" s="6" t="s">
        <v>2472</v>
      </c>
      <c r="W1136" s="6" t="s">
        <v>2531</v>
      </c>
      <c r="X1136" s="8"/>
      <c r="Y1136" s="6" t="s">
        <v>3241</v>
      </c>
      <c r="Z1136" s="6"/>
      <c r="AA1136" s="37"/>
      <c r="AB1136" s="38" t="s">
        <v>3627</v>
      </c>
      <c r="AC1136" s="37" t="s">
        <v>3640</v>
      </c>
      <c r="AD1136" s="39" t="s">
        <v>3641</v>
      </c>
      <c r="AE1136" s="37"/>
      <c r="AF1136" s="39" t="s">
        <v>3641</v>
      </c>
      <c r="AG1136" s="37"/>
      <c r="AH1136" s="37" t="s">
        <v>3642</v>
      </c>
    </row>
    <row r="1137" spans="1:34" ht="14.45" hidden="1" customHeight="1" x14ac:dyDescent="0.3">
      <c r="A1137" s="6" t="s">
        <v>2416</v>
      </c>
      <c r="B1137" s="7">
        <v>0</v>
      </c>
      <c r="C1137" s="6" t="s">
        <v>2415</v>
      </c>
      <c r="D1137" s="6" t="s">
        <v>5</v>
      </c>
      <c r="E1137" s="6" t="s">
        <v>2333</v>
      </c>
      <c r="F1137" s="6" t="s">
        <v>3229</v>
      </c>
      <c r="G1137" s="8">
        <v>1.2227749999999999</v>
      </c>
      <c r="H1137" s="8">
        <v>6.4330220000000002</v>
      </c>
      <c r="I1137" s="6" t="s">
        <v>2497</v>
      </c>
      <c r="J1137" s="6" t="s">
        <v>2459</v>
      </c>
      <c r="K1137" s="6" t="s">
        <v>2460</v>
      </c>
      <c r="L1137" s="6" t="s">
        <v>2430</v>
      </c>
      <c r="M1137" s="6" t="s">
        <v>2426</v>
      </c>
      <c r="N1137" s="6" t="s">
        <v>3268</v>
      </c>
      <c r="O1137" s="6" t="s">
        <v>7</v>
      </c>
      <c r="P1137" s="6" t="str">
        <f>VLOOKUP(Tableau1[[#This Row],[SITES NAMES]],[1]Feuil1!$1:$1048576,8,FALSE)</f>
        <v>OK</v>
      </c>
      <c r="Q1137" s="6" t="str">
        <f>VLOOKUP(Tableau1[[#This Row],[SITES NAMES]],[1]Feuil1!$1:$1048576,9,FALSE)</f>
        <v>NO</v>
      </c>
      <c r="R1137" s="6" t="str">
        <f>VLOOKUP(Tableau1[[#This Row],[SITES NAMES]],[1]Feuil1!$1:$1048576,10,FALSE)</f>
        <v>NO</v>
      </c>
      <c r="S1137" s="6" t="s">
        <v>2469</v>
      </c>
      <c r="T1137" s="6" t="s">
        <v>2470</v>
      </c>
      <c r="U1137" s="6" t="s">
        <v>2480</v>
      </c>
      <c r="V1137" s="6" t="s">
        <v>2464</v>
      </c>
      <c r="W1137" s="6" t="s">
        <v>2476</v>
      </c>
      <c r="X1137" s="8"/>
      <c r="Y1137" s="6" t="s">
        <v>3241</v>
      </c>
      <c r="Z1137" s="6"/>
      <c r="AA1137" s="37"/>
      <c r="AB1137" s="38" t="s">
        <v>3627</v>
      </c>
      <c r="AC1137" s="37" t="s">
        <v>3640</v>
      </c>
      <c r="AD1137" s="39" t="s">
        <v>3641</v>
      </c>
      <c r="AE1137" s="37"/>
      <c r="AF1137" s="39" t="s">
        <v>3641</v>
      </c>
      <c r="AG1137" s="37"/>
      <c r="AH1137" s="37" t="s">
        <v>3642</v>
      </c>
    </row>
    <row r="1138" spans="1:34" ht="14.45" hidden="1" customHeight="1" x14ac:dyDescent="0.3">
      <c r="A1138" s="6" t="s">
        <v>2418</v>
      </c>
      <c r="B1138" s="7">
        <v>44544</v>
      </c>
      <c r="C1138" s="6" t="s">
        <v>2417</v>
      </c>
      <c r="D1138" s="6" t="s">
        <v>5</v>
      </c>
      <c r="E1138" s="6" t="s">
        <v>2333</v>
      </c>
      <c r="F1138" s="6" t="s">
        <v>3229</v>
      </c>
      <c r="G1138" s="8">
        <v>1.20767</v>
      </c>
      <c r="H1138" s="8">
        <v>6.4088099999999999</v>
      </c>
      <c r="I1138" s="6" t="s">
        <v>2497</v>
      </c>
      <c r="J1138" s="6" t="s">
        <v>2459</v>
      </c>
      <c r="K1138" s="6" t="s">
        <v>2460</v>
      </c>
      <c r="L1138" s="6"/>
      <c r="M1138" s="6"/>
      <c r="N1138" s="6" t="s">
        <v>3268</v>
      </c>
      <c r="O1138" s="6" t="s">
        <v>7</v>
      </c>
      <c r="P1138" s="6" t="str">
        <f>VLOOKUP(Tableau1[[#This Row],[SITES NAMES]],[1]Feuil1!$1:$1048576,8,FALSE)</f>
        <v>OK</v>
      </c>
      <c r="Q1138" s="6" t="str">
        <f>VLOOKUP(Tableau1[[#This Row],[SITES NAMES]],[1]Feuil1!$1:$1048576,9,FALSE)</f>
        <v>NO</v>
      </c>
      <c r="R1138" s="6" t="str">
        <f>VLOOKUP(Tableau1[[#This Row],[SITES NAMES]],[1]Feuil1!$1:$1048576,10,FALSE)</f>
        <v>YES</v>
      </c>
      <c r="S1138" s="6" t="s">
        <v>2469</v>
      </c>
      <c r="T1138" s="6" t="s">
        <v>2470</v>
      </c>
      <c r="U1138" s="6" t="s">
        <v>2480</v>
      </c>
      <c r="V1138" s="6" t="s">
        <v>2464</v>
      </c>
      <c r="W1138" s="6" t="s">
        <v>2476</v>
      </c>
      <c r="X1138" s="8"/>
      <c r="Y1138" s="6" t="s">
        <v>3241</v>
      </c>
      <c r="Z1138" s="6"/>
      <c r="AA1138" s="37"/>
      <c r="AB1138" s="38" t="s">
        <v>3627</v>
      </c>
      <c r="AC1138" s="37" t="s">
        <v>3640</v>
      </c>
      <c r="AD1138" s="39" t="s">
        <v>3641</v>
      </c>
      <c r="AE1138" s="37"/>
      <c r="AF1138" s="39" t="s">
        <v>3641</v>
      </c>
      <c r="AG1138" s="37"/>
      <c r="AH1138" s="37" t="s">
        <v>3642</v>
      </c>
    </row>
    <row r="1139" spans="1:34" ht="14.45" hidden="1" customHeight="1" x14ac:dyDescent="0.3">
      <c r="A1139" s="6" t="s">
        <v>2420</v>
      </c>
      <c r="B1139" s="7">
        <v>44611</v>
      </c>
      <c r="C1139" s="6" t="s">
        <v>2419</v>
      </c>
      <c r="D1139" s="6" t="s">
        <v>5</v>
      </c>
      <c r="E1139" s="6" t="s">
        <v>2333</v>
      </c>
      <c r="F1139" s="6" t="s">
        <v>3229</v>
      </c>
      <c r="G1139" s="8">
        <v>1.20103</v>
      </c>
      <c r="H1139" s="8">
        <v>6.4268799999999997</v>
      </c>
      <c r="I1139" s="6" t="s">
        <v>2479</v>
      </c>
      <c r="J1139" s="6" t="s">
        <v>2459</v>
      </c>
      <c r="K1139" s="6" t="s">
        <v>2460</v>
      </c>
      <c r="L1139" s="6" t="s">
        <v>2379</v>
      </c>
      <c r="M1139" s="6"/>
      <c r="N1139" s="6" t="s">
        <v>3268</v>
      </c>
      <c r="O1139" s="6" t="s">
        <v>7</v>
      </c>
      <c r="P1139" s="6" t="str">
        <f>VLOOKUP(Tableau1[[#This Row],[SITES NAMES]],[1]Feuil1!$1:$1048576,8,FALSE)</f>
        <v>OK</v>
      </c>
      <c r="Q1139" s="6" t="str">
        <f>VLOOKUP(Tableau1[[#This Row],[SITES NAMES]],[1]Feuil1!$1:$1048576,9,FALSE)</f>
        <v>NO</v>
      </c>
      <c r="R1139" s="6" t="str">
        <f>VLOOKUP(Tableau1[[#This Row],[SITES NAMES]],[1]Feuil1!$1:$1048576,10,FALSE)</f>
        <v>YES</v>
      </c>
      <c r="S1139" s="6" t="s">
        <v>2461</v>
      </c>
      <c r="T1139" s="6" t="s">
        <v>2462</v>
      </c>
      <c r="U1139" s="6" t="s">
        <v>2463</v>
      </c>
      <c r="V1139" s="6" t="s">
        <v>2472</v>
      </c>
      <c r="W1139" s="6" t="s">
        <v>2476</v>
      </c>
      <c r="X1139" s="8" t="s">
        <v>3224</v>
      </c>
      <c r="Y1139" s="6" t="s">
        <v>3241</v>
      </c>
      <c r="Z1139" s="6"/>
      <c r="AA1139" s="37"/>
      <c r="AB1139" s="38" t="s">
        <v>3627</v>
      </c>
      <c r="AC1139" s="37" t="s">
        <v>3640</v>
      </c>
      <c r="AD1139" s="39" t="s">
        <v>3641</v>
      </c>
      <c r="AE1139" s="37"/>
      <c r="AF1139" s="39" t="s">
        <v>3641</v>
      </c>
      <c r="AG1139" s="37"/>
      <c r="AH1139" s="37" t="s">
        <v>3642</v>
      </c>
    </row>
    <row r="1140" spans="1:34" ht="14.45" hidden="1" customHeight="1" x14ac:dyDescent="0.3">
      <c r="A1140" s="6" t="s">
        <v>2422</v>
      </c>
      <c r="B1140" s="7">
        <v>45140</v>
      </c>
      <c r="C1140" s="6" t="s">
        <v>2421</v>
      </c>
      <c r="D1140" s="6" t="s">
        <v>5</v>
      </c>
      <c r="E1140" s="6" t="s">
        <v>2333</v>
      </c>
      <c r="F1140" s="6" t="s">
        <v>3229</v>
      </c>
      <c r="G1140" s="8">
        <v>1.1631739999999999</v>
      </c>
      <c r="H1140" s="8">
        <v>6.4073719999999996</v>
      </c>
      <c r="I1140" s="6" t="s">
        <v>2479</v>
      </c>
      <c r="J1140" s="6" t="s">
        <v>2459</v>
      </c>
      <c r="K1140" s="6" t="s">
        <v>2468</v>
      </c>
      <c r="L1140" s="6" t="s">
        <v>2379</v>
      </c>
      <c r="M1140" s="6"/>
      <c r="N1140" s="6" t="s">
        <v>2468</v>
      </c>
      <c r="O1140" s="6" t="s">
        <v>7</v>
      </c>
      <c r="P1140" s="6" t="str">
        <f>VLOOKUP(Tableau1[[#This Row],[SITES NAMES]],[1]Feuil1!$1:$1048576,8,FALSE)</f>
        <v>OK</v>
      </c>
      <c r="Q1140" s="6" t="str">
        <f>VLOOKUP(Tableau1[[#This Row],[SITES NAMES]],[1]Feuil1!$1:$1048576,9,FALSE)</f>
        <v>NO</v>
      </c>
      <c r="R1140" s="6" t="str">
        <f>VLOOKUP(Tableau1[[#This Row],[SITES NAMES]],[1]Feuil1!$1:$1048576,10,FALSE)</f>
        <v>NO</v>
      </c>
      <c r="S1140" s="6" t="s">
        <v>2461</v>
      </c>
      <c r="T1140" s="6" t="s">
        <v>2462</v>
      </c>
      <c r="U1140" s="6" t="s">
        <v>2463</v>
      </c>
      <c r="V1140" s="6" t="s">
        <v>2464</v>
      </c>
      <c r="W1140" s="6" t="s">
        <v>2476</v>
      </c>
      <c r="X1140" s="8"/>
      <c r="Y1140" s="6" t="s">
        <v>3241</v>
      </c>
      <c r="Z1140" s="6"/>
      <c r="AA1140" s="37"/>
      <c r="AB1140" s="38" t="s">
        <v>3627</v>
      </c>
      <c r="AC1140" s="37" t="s">
        <v>3640</v>
      </c>
      <c r="AD1140" s="39" t="s">
        <v>3641</v>
      </c>
      <c r="AE1140" s="37"/>
      <c r="AF1140" s="39" t="s">
        <v>3641</v>
      </c>
      <c r="AG1140" s="37"/>
      <c r="AH1140" s="37" t="s">
        <v>3642</v>
      </c>
    </row>
    <row r="1141" spans="1:34" ht="14.45" hidden="1" customHeight="1" x14ac:dyDescent="0.3">
      <c r="A1141" s="6" t="s">
        <v>2424</v>
      </c>
      <c r="B1141" s="7">
        <v>45137</v>
      </c>
      <c r="C1141" s="6" t="s">
        <v>2423</v>
      </c>
      <c r="D1141" s="6" t="s">
        <v>5</v>
      </c>
      <c r="E1141" s="6" t="s">
        <v>2333</v>
      </c>
      <c r="F1141" s="6" t="s">
        <v>3229</v>
      </c>
      <c r="G1141" s="8">
        <v>1.197551</v>
      </c>
      <c r="H1141" s="8">
        <v>6.4148459999999998</v>
      </c>
      <c r="I1141" s="6" t="s">
        <v>2479</v>
      </c>
      <c r="J1141" s="6" t="s">
        <v>2459</v>
      </c>
      <c r="K1141" s="6" t="s">
        <v>2460</v>
      </c>
      <c r="L1141" s="6" t="s">
        <v>2333</v>
      </c>
      <c r="M1141" s="6"/>
      <c r="N1141" s="6" t="s">
        <v>3268</v>
      </c>
      <c r="O1141" s="6" t="s">
        <v>7</v>
      </c>
      <c r="P1141" s="6" t="str">
        <f>VLOOKUP(Tableau1[[#This Row],[SITES NAMES]],[1]Feuil1!$1:$1048576,8,FALSE)</f>
        <v>NOK</v>
      </c>
      <c r="Q1141" s="6" t="str">
        <f>VLOOKUP(Tableau1[[#This Row],[SITES NAMES]],[1]Feuil1!$1:$1048576,9,FALSE)</f>
        <v>NO</v>
      </c>
      <c r="R1141" s="6" t="str">
        <f>VLOOKUP(Tableau1[[#This Row],[SITES NAMES]],[1]Feuil1!$1:$1048576,10,FALSE)</f>
        <v>NO</v>
      </c>
      <c r="S1141" s="6" t="s">
        <v>2469</v>
      </c>
      <c r="T1141" s="6" t="s">
        <v>2470</v>
      </c>
      <c r="U1141" s="6" t="s">
        <v>2480</v>
      </c>
      <c r="V1141" s="6" t="s">
        <v>2464</v>
      </c>
      <c r="W1141" s="6" t="s">
        <v>2476</v>
      </c>
      <c r="X1141" s="8"/>
      <c r="Y1141" s="6" t="s">
        <v>3241</v>
      </c>
      <c r="Z1141" s="6"/>
      <c r="AA1141" s="37"/>
      <c r="AB1141" s="38" t="s">
        <v>3627</v>
      </c>
      <c r="AC1141" s="37" t="s">
        <v>3640</v>
      </c>
      <c r="AD1141" s="39" t="s">
        <v>3641</v>
      </c>
      <c r="AE1141" s="37"/>
      <c r="AF1141" s="39" t="s">
        <v>3641</v>
      </c>
      <c r="AG1141" s="37"/>
      <c r="AH1141" s="37" t="s">
        <v>3642</v>
      </c>
    </row>
    <row r="1142" spans="1:34" ht="14.45" hidden="1" customHeight="1" x14ac:dyDescent="0.3">
      <c r="A1142" s="6" t="s">
        <v>2355</v>
      </c>
      <c r="B1142" s="7">
        <v>46022</v>
      </c>
      <c r="C1142" s="6" t="s">
        <v>2354</v>
      </c>
      <c r="D1142" s="6" t="s">
        <v>5</v>
      </c>
      <c r="E1142" s="6" t="s">
        <v>2333</v>
      </c>
      <c r="F1142" s="6" t="s">
        <v>3229</v>
      </c>
      <c r="G1142" s="8">
        <v>1.2230399999999999</v>
      </c>
      <c r="H1142" s="8">
        <v>6.4141180000000002</v>
      </c>
      <c r="I1142" s="12" t="s">
        <v>2475</v>
      </c>
      <c r="J1142" s="6" t="s">
        <v>2459</v>
      </c>
      <c r="K1142" s="6" t="s">
        <v>2468</v>
      </c>
      <c r="L1142" s="6"/>
      <c r="M1142" s="6"/>
      <c r="N1142" s="6" t="s">
        <v>2468</v>
      </c>
      <c r="O1142" s="6" t="s">
        <v>37</v>
      </c>
      <c r="P1142" s="6"/>
      <c r="Q1142" s="6"/>
      <c r="R1142" s="6"/>
      <c r="S1142" s="6"/>
      <c r="T1142" s="6"/>
      <c r="U1142" s="6"/>
      <c r="V1142" s="6"/>
      <c r="W1142" s="6"/>
      <c r="X1142" s="8"/>
      <c r="Y1142" s="6" t="s">
        <v>3241</v>
      </c>
      <c r="Z1142" s="6"/>
      <c r="AA1142" s="37"/>
      <c r="AB1142" s="38" t="s">
        <v>3627</v>
      </c>
      <c r="AC1142" s="37" t="s">
        <v>3640</v>
      </c>
      <c r="AD1142" s="39" t="s">
        <v>3641</v>
      </c>
      <c r="AE1142" s="37"/>
      <c r="AF1142" s="39" t="s">
        <v>3641</v>
      </c>
      <c r="AG1142" s="37"/>
      <c r="AH1142" s="37" t="s">
        <v>3642</v>
      </c>
    </row>
    <row r="1143" spans="1:34" ht="14.45" hidden="1" customHeight="1" x14ac:dyDescent="0.3">
      <c r="A1143" s="6" t="s">
        <v>2357</v>
      </c>
      <c r="B1143" s="7">
        <v>46022</v>
      </c>
      <c r="C1143" s="6" t="s">
        <v>2356</v>
      </c>
      <c r="D1143" s="6" t="s">
        <v>5</v>
      </c>
      <c r="E1143" s="6" t="s">
        <v>2333</v>
      </c>
      <c r="F1143" s="6" t="s">
        <v>3229</v>
      </c>
      <c r="G1143" s="8">
        <v>1.193063</v>
      </c>
      <c r="H1143" s="8">
        <v>6.4460959999999998</v>
      </c>
      <c r="I1143" s="13" t="s">
        <v>2479</v>
      </c>
      <c r="J1143" s="6" t="s">
        <v>2459</v>
      </c>
      <c r="K1143" s="6" t="s">
        <v>2468</v>
      </c>
      <c r="L1143" s="6"/>
      <c r="M1143" s="6"/>
      <c r="N1143" s="6" t="s">
        <v>2468</v>
      </c>
      <c r="O1143" s="6" t="s">
        <v>7</v>
      </c>
      <c r="P1143" s="6"/>
      <c r="Q1143" s="6"/>
      <c r="R1143" s="6"/>
      <c r="S1143" s="6"/>
      <c r="T1143" s="6"/>
      <c r="U1143" s="6"/>
      <c r="V1143" s="6"/>
      <c r="W1143" s="6"/>
      <c r="X1143" s="8"/>
      <c r="Y1143" s="6" t="s">
        <v>3241</v>
      </c>
      <c r="Z1143" s="6"/>
      <c r="AA1143" s="37"/>
      <c r="AB1143" s="38" t="s">
        <v>3627</v>
      </c>
      <c r="AC1143" s="37" t="s">
        <v>3640</v>
      </c>
      <c r="AD1143" s="39" t="s">
        <v>3641</v>
      </c>
      <c r="AE1143" s="37"/>
      <c r="AF1143" s="39" t="s">
        <v>3641</v>
      </c>
      <c r="AG1143" s="37"/>
      <c r="AH1143" s="37" t="s">
        <v>3642</v>
      </c>
    </row>
    <row r="1144" spans="1:34" ht="15.75" hidden="1" x14ac:dyDescent="0.3">
      <c r="A1144" s="6" t="s">
        <v>2426</v>
      </c>
      <c r="B1144" s="7">
        <v>0</v>
      </c>
      <c r="C1144" s="6" t="s">
        <v>2425</v>
      </c>
      <c r="D1144" s="6" t="s">
        <v>5</v>
      </c>
      <c r="E1144" s="6" t="s">
        <v>2333</v>
      </c>
      <c r="F1144" s="6" t="s">
        <v>3229</v>
      </c>
      <c r="G1144" s="8">
        <v>1.207194444</v>
      </c>
      <c r="H1144" s="8">
        <v>6.448888889</v>
      </c>
      <c r="I1144" s="6" t="s">
        <v>2486</v>
      </c>
      <c r="J1144" s="6" t="s">
        <v>2459</v>
      </c>
      <c r="K1144" s="6" t="s">
        <v>2460</v>
      </c>
      <c r="L1144" s="6" t="s">
        <v>2428</v>
      </c>
      <c r="M1144" s="6" t="s">
        <v>2333</v>
      </c>
      <c r="N1144" s="21" t="s">
        <v>3269</v>
      </c>
      <c r="O1144" s="6" t="s">
        <v>7</v>
      </c>
      <c r="P1144" s="6" t="str">
        <f>VLOOKUP(Tableau1[[#This Row],[SITES NAMES]],[1]Feuil1!$1:$1048576,8,FALSE)</f>
        <v>OK</v>
      </c>
      <c r="Q1144" s="6" t="str">
        <f>VLOOKUP(Tableau1[[#This Row],[SITES NAMES]],[1]Feuil1!$1:$1048576,9,FALSE)</f>
        <v>NO</v>
      </c>
      <c r="R1144" s="6" t="str">
        <f>VLOOKUP(Tableau1[[#This Row],[SITES NAMES]],[1]Feuil1!$1:$1048576,10,FALSE)</f>
        <v>NO</v>
      </c>
      <c r="S1144" s="6" t="s">
        <v>2461</v>
      </c>
      <c r="T1144" s="6" t="s">
        <v>2462</v>
      </c>
      <c r="U1144" s="6" t="s">
        <v>2463</v>
      </c>
      <c r="V1144" s="6" t="s">
        <v>2472</v>
      </c>
      <c r="W1144" s="6" t="s">
        <v>2476</v>
      </c>
      <c r="X1144" s="8" t="s">
        <v>3225</v>
      </c>
      <c r="Y1144" s="6" t="s">
        <v>3241</v>
      </c>
      <c r="Z1144" s="6"/>
      <c r="AA1144" s="37"/>
      <c r="AB1144" s="38" t="s">
        <v>3627</v>
      </c>
      <c r="AC1144" s="37" t="s">
        <v>3640</v>
      </c>
      <c r="AD1144" s="39" t="s">
        <v>3641</v>
      </c>
      <c r="AE1144" s="37"/>
      <c r="AF1144" s="39" t="s">
        <v>3641</v>
      </c>
      <c r="AG1144" s="37"/>
      <c r="AH1144" s="37" t="s">
        <v>3642</v>
      </c>
    </row>
    <row r="1145" spans="1:34" ht="14.45" hidden="1" customHeight="1" x14ac:dyDescent="0.3">
      <c r="A1145" s="6" t="s">
        <v>2428</v>
      </c>
      <c r="B1145" s="7">
        <v>43867</v>
      </c>
      <c r="C1145" s="6" t="s">
        <v>2427</v>
      </c>
      <c r="D1145" s="6" t="s">
        <v>5</v>
      </c>
      <c r="E1145" s="6" t="s">
        <v>2333</v>
      </c>
      <c r="F1145" s="6" t="s">
        <v>3229</v>
      </c>
      <c r="G1145" s="8">
        <v>1.2106600000000001</v>
      </c>
      <c r="H1145" s="8">
        <v>6.4360999999999997</v>
      </c>
      <c r="I1145" s="6" t="s">
        <v>2475</v>
      </c>
      <c r="J1145" s="6" t="s">
        <v>2459</v>
      </c>
      <c r="K1145" s="6" t="s">
        <v>2460</v>
      </c>
      <c r="L1145" s="6" t="s">
        <v>2426</v>
      </c>
      <c r="M1145" s="6"/>
      <c r="N1145" s="6" t="s">
        <v>3268</v>
      </c>
      <c r="O1145" s="6" t="s">
        <v>7</v>
      </c>
      <c r="P1145" s="6" t="str">
        <f>VLOOKUP(Tableau1[[#This Row],[SITES NAMES]],[1]Feuil1!$1:$1048576,8,FALSE)</f>
        <v>OK</v>
      </c>
      <c r="Q1145" s="6" t="str">
        <f>VLOOKUP(Tableau1[[#This Row],[SITES NAMES]],[1]Feuil1!$1:$1048576,9,FALSE)</f>
        <v>NO</v>
      </c>
      <c r="R1145" s="6" t="str">
        <f>VLOOKUP(Tableau1[[#This Row],[SITES NAMES]],[1]Feuil1!$1:$1048576,10,FALSE)</f>
        <v>NO</v>
      </c>
      <c r="S1145" s="6" t="s">
        <v>2469</v>
      </c>
      <c r="T1145" s="6" t="s">
        <v>2470</v>
      </c>
      <c r="U1145" s="6" t="s">
        <v>2471</v>
      </c>
      <c r="V1145" s="6" t="s">
        <v>2464</v>
      </c>
      <c r="W1145" s="6" t="s">
        <v>2476</v>
      </c>
      <c r="X1145" s="8"/>
      <c r="Y1145" s="6" t="s">
        <v>3241</v>
      </c>
      <c r="Z1145" s="6"/>
      <c r="AA1145" s="37"/>
      <c r="AB1145" s="38" t="s">
        <v>3627</v>
      </c>
      <c r="AC1145" s="37" t="s">
        <v>3640</v>
      </c>
      <c r="AD1145" s="39" t="s">
        <v>3641</v>
      </c>
      <c r="AE1145" s="37"/>
      <c r="AF1145" s="39" t="s">
        <v>3641</v>
      </c>
      <c r="AG1145" s="37"/>
      <c r="AH1145" s="37" t="s">
        <v>3642</v>
      </c>
    </row>
    <row r="1146" spans="1:34" ht="14.45" hidden="1" customHeight="1" x14ac:dyDescent="0.3">
      <c r="A1146" s="6" t="s">
        <v>2430</v>
      </c>
      <c r="B1146" s="7">
        <v>44112</v>
      </c>
      <c r="C1146" s="6" t="s">
        <v>2429</v>
      </c>
      <c r="D1146" s="6" t="s">
        <v>5</v>
      </c>
      <c r="E1146" s="6" t="s">
        <v>2333</v>
      </c>
      <c r="F1146" s="18" t="s">
        <v>3230</v>
      </c>
      <c r="G1146" s="8">
        <v>1.21753</v>
      </c>
      <c r="H1146" s="8">
        <v>6.4220600000000001</v>
      </c>
      <c r="I1146" s="6" t="s">
        <v>2475</v>
      </c>
      <c r="J1146" s="6" t="s">
        <v>2459</v>
      </c>
      <c r="K1146" s="6" t="s">
        <v>2460</v>
      </c>
      <c r="L1146" s="6" t="s">
        <v>2416</v>
      </c>
      <c r="M1146" s="6" t="s">
        <v>2333</v>
      </c>
      <c r="N1146" s="6" t="s">
        <v>3268</v>
      </c>
      <c r="O1146" s="6" t="s">
        <v>7</v>
      </c>
      <c r="P1146" s="6" t="str">
        <f>VLOOKUP(Tableau1[[#This Row],[SITES NAMES]],[1]Feuil1!$1:$1048576,8,FALSE)</f>
        <v>OK</v>
      </c>
      <c r="Q1146" s="6" t="str">
        <f>VLOOKUP(Tableau1[[#This Row],[SITES NAMES]],[1]Feuil1!$1:$1048576,9,FALSE)</f>
        <v>NO</v>
      </c>
      <c r="R1146" s="6" t="str">
        <f>VLOOKUP(Tableau1[[#This Row],[SITES NAMES]],[1]Feuil1!$1:$1048576,10,FALSE)</f>
        <v>NO</v>
      </c>
      <c r="S1146" s="6" t="s">
        <v>2461</v>
      </c>
      <c r="T1146" s="6" t="s">
        <v>2462</v>
      </c>
      <c r="U1146" s="6" t="s">
        <v>2463</v>
      </c>
      <c r="V1146" s="6" t="s">
        <v>2478</v>
      </c>
      <c r="W1146" s="6" t="s">
        <v>2476</v>
      </c>
      <c r="X1146" s="8" t="s">
        <v>3226</v>
      </c>
      <c r="Y1146" s="6" t="s">
        <v>3241</v>
      </c>
      <c r="Z1146" s="6"/>
      <c r="AA1146" s="37"/>
      <c r="AB1146" s="38" t="s">
        <v>3627</v>
      </c>
      <c r="AC1146" s="37" t="s">
        <v>3640</v>
      </c>
      <c r="AD1146" s="39" t="s">
        <v>3641</v>
      </c>
      <c r="AE1146" s="37"/>
      <c r="AF1146" s="39" t="s">
        <v>3641</v>
      </c>
      <c r="AG1146" s="37"/>
      <c r="AH1146" s="37" t="s">
        <v>3642</v>
      </c>
    </row>
    <row r="1147" spans="1:34" ht="14.45" hidden="1" customHeight="1" x14ac:dyDescent="0.25">
      <c r="A1147" s="6" t="s">
        <v>1958</v>
      </c>
      <c r="B1147" s="7">
        <v>0</v>
      </c>
      <c r="C1147" s="6" t="s">
        <v>1957</v>
      </c>
      <c r="D1147" s="6" t="s">
        <v>66</v>
      </c>
      <c r="E1147" s="6" t="s">
        <v>3232</v>
      </c>
      <c r="F1147" s="6" t="s">
        <v>3229</v>
      </c>
      <c r="G1147" s="8">
        <v>1.2139169999999999</v>
      </c>
      <c r="H1147" s="8">
        <v>6.124911</v>
      </c>
      <c r="I1147" s="6" t="s">
        <v>2497</v>
      </c>
      <c r="J1147" s="6" t="s">
        <v>2459</v>
      </c>
      <c r="K1147" s="6" t="s">
        <v>2460</v>
      </c>
      <c r="L1147" s="6" t="s">
        <v>1932</v>
      </c>
      <c r="M1147" s="6" t="s">
        <v>1940</v>
      </c>
      <c r="N1147" s="6" t="s">
        <v>3268</v>
      </c>
      <c r="O1147" s="6" t="s">
        <v>7</v>
      </c>
      <c r="P1147" s="6" t="str">
        <f>VLOOKUP(Tableau1[[#This Row],[SITES NAMES]],[1]Feuil1!$1:$1048576,8,FALSE)</f>
        <v>OK</v>
      </c>
      <c r="Q1147" s="6" t="str">
        <f>VLOOKUP(Tableau1[[#This Row],[SITES NAMES]],[1]Feuil1!$1:$1048576,9,FALSE)</f>
        <v>NO</v>
      </c>
      <c r="R1147" s="6" t="str">
        <f>VLOOKUP(Tableau1[[#This Row],[SITES NAMES]],[1]Feuil1!$1:$1048576,10,FALSE)</f>
        <v>NO</v>
      </c>
      <c r="S1147" s="6" t="s">
        <v>2461</v>
      </c>
      <c r="T1147" s="6" t="s">
        <v>2462</v>
      </c>
      <c r="U1147" s="6" t="s">
        <v>2463</v>
      </c>
      <c r="V1147" s="6" t="s">
        <v>2498</v>
      </c>
      <c r="W1147" s="6" t="s">
        <v>2476</v>
      </c>
      <c r="X1147" s="8" t="s">
        <v>3063</v>
      </c>
      <c r="Y1147" s="6" t="s">
        <v>3238</v>
      </c>
      <c r="Z1147" s="6" t="s">
        <v>3262</v>
      </c>
      <c r="AA1147" s="35" t="s">
        <v>3621</v>
      </c>
      <c r="AB1147" s="35" t="s">
        <v>3608</v>
      </c>
      <c r="AC1147" s="35" t="s">
        <v>3624</v>
      </c>
      <c r="AD1147" s="35" t="s">
        <v>3610</v>
      </c>
      <c r="AE1147" s="35" t="s">
        <v>3610</v>
      </c>
      <c r="AF1147" s="35" t="s">
        <v>3611</v>
      </c>
      <c r="AG1147" s="35" t="s">
        <v>3612</v>
      </c>
      <c r="AH1147" s="35" t="s">
        <v>3625</v>
      </c>
    </row>
    <row r="1148" spans="1:34" ht="14.45" hidden="1" customHeight="1" x14ac:dyDescent="0.25">
      <c r="A1148" s="6" t="s">
        <v>1696</v>
      </c>
      <c r="B1148" s="7">
        <v>45179</v>
      </c>
      <c r="C1148" s="6" t="s">
        <v>1695</v>
      </c>
      <c r="D1148" s="6" t="s">
        <v>66</v>
      </c>
      <c r="E1148" s="6" t="s">
        <v>3236</v>
      </c>
      <c r="F1148" s="6" t="s">
        <v>3229</v>
      </c>
      <c r="G1148" s="8">
        <v>1.10101</v>
      </c>
      <c r="H1148" s="8">
        <v>6.2301000000000002</v>
      </c>
      <c r="I1148" s="6" t="s">
        <v>2475</v>
      </c>
      <c r="J1148" s="6" t="s">
        <v>2459</v>
      </c>
      <c r="K1148" s="6" t="s">
        <v>2529</v>
      </c>
      <c r="L1148" s="6" t="s">
        <v>1616</v>
      </c>
      <c r="M1148" s="6"/>
      <c r="N1148" s="6" t="s">
        <v>2468</v>
      </c>
      <c r="O1148" s="6" t="s">
        <v>7</v>
      </c>
      <c r="P1148" s="6" t="str">
        <f>VLOOKUP(Tableau1[[#This Row],[SITES NAMES]],[1]Feuil1!$1:$1048576,8,FALSE)</f>
        <v>OK</v>
      </c>
      <c r="Q1148" s="6" t="str">
        <f>VLOOKUP(Tableau1[[#This Row],[SITES NAMES]],[1]Feuil1!$1:$1048576,9,FALSE)</f>
        <v>NO</v>
      </c>
      <c r="R1148" s="6" t="str">
        <f>VLOOKUP(Tableau1[[#This Row],[SITES NAMES]],[1]Feuil1!$1:$1048576,10,FALSE)</f>
        <v>NO</v>
      </c>
      <c r="S1148" s="6" t="s">
        <v>2461</v>
      </c>
      <c r="T1148" s="6" t="s">
        <v>2462</v>
      </c>
      <c r="U1148" s="6" t="s">
        <v>2463</v>
      </c>
      <c r="V1148" s="6" t="s">
        <v>2464</v>
      </c>
      <c r="W1148" s="6" t="s">
        <v>2465</v>
      </c>
      <c r="X1148" s="8"/>
      <c r="Y1148" s="6" t="s">
        <v>3238</v>
      </c>
      <c r="Z1148" s="6" t="s">
        <v>3263</v>
      </c>
      <c r="AA1148" s="35" t="s">
        <v>3616</v>
      </c>
      <c r="AB1148" s="35" t="s">
        <v>3608</v>
      </c>
      <c r="AC1148" s="35" t="s">
        <v>3619</v>
      </c>
      <c r="AD1148" s="35" t="s">
        <v>3610</v>
      </c>
      <c r="AE1148" s="35" t="s">
        <v>3610</v>
      </c>
      <c r="AF1148" s="35" t="s">
        <v>3611</v>
      </c>
      <c r="AG1148" s="35" t="s">
        <v>3612</v>
      </c>
      <c r="AH1148" s="35" t="s">
        <v>3620</v>
      </c>
    </row>
    <row r="1149" spans="1:34" ht="14.45" hidden="1" customHeight="1" x14ac:dyDescent="0.25">
      <c r="A1149" s="6" t="s">
        <v>1300</v>
      </c>
      <c r="B1149" s="7">
        <v>0</v>
      </c>
      <c r="C1149" s="6" t="s">
        <v>1299</v>
      </c>
      <c r="D1149" s="6" t="s">
        <v>66</v>
      </c>
      <c r="E1149" s="6" t="s">
        <v>1924</v>
      </c>
      <c r="F1149" s="6" t="s">
        <v>3229</v>
      </c>
      <c r="G1149" s="8">
        <v>1.214828</v>
      </c>
      <c r="H1149" s="8">
        <v>6.1660237880000004</v>
      </c>
      <c r="I1149" s="6" t="s">
        <v>2497</v>
      </c>
      <c r="J1149" s="6" t="s">
        <v>2459</v>
      </c>
      <c r="K1149" s="6" t="s">
        <v>2460</v>
      </c>
      <c r="L1149" s="6" t="s">
        <v>1300</v>
      </c>
      <c r="M1149" s="6" t="s">
        <v>1288</v>
      </c>
      <c r="N1149" s="6" t="s">
        <v>3268</v>
      </c>
      <c r="O1149" s="6" t="s">
        <v>7</v>
      </c>
      <c r="P1149" s="6" t="str">
        <f>VLOOKUP(Tableau1[[#This Row],[SITES NAMES]],[1]Feuil1!$1:$1048576,8,FALSE)</f>
        <v>OK</v>
      </c>
      <c r="Q1149" s="6" t="str">
        <f>VLOOKUP(Tableau1[[#This Row],[SITES NAMES]],[1]Feuil1!$1:$1048576,9,FALSE)</f>
        <v>NO</v>
      </c>
      <c r="R1149" s="6" t="str">
        <f>VLOOKUP(Tableau1[[#This Row],[SITES NAMES]],[1]Feuil1!$1:$1048576,10,FALSE)</f>
        <v>NO</v>
      </c>
      <c r="S1149" s="6" t="s">
        <v>2461</v>
      </c>
      <c r="T1149" s="6" t="s">
        <v>2462</v>
      </c>
      <c r="U1149" s="6" t="s">
        <v>2463</v>
      </c>
      <c r="V1149" s="6" t="s">
        <v>2498</v>
      </c>
      <c r="W1149" s="6" t="s">
        <v>2476</v>
      </c>
      <c r="X1149" s="8" t="s">
        <v>2923</v>
      </c>
      <c r="Y1149" s="6" t="s">
        <v>3238</v>
      </c>
      <c r="Z1149" s="6" t="s">
        <v>3261</v>
      </c>
      <c r="AA1149" s="35" t="s">
        <v>3607</v>
      </c>
      <c r="AB1149" s="35" t="s">
        <v>3608</v>
      </c>
      <c r="AC1149" s="35" t="s">
        <v>3609</v>
      </c>
      <c r="AD1149" s="35" t="s">
        <v>3610</v>
      </c>
      <c r="AE1149" s="35" t="s">
        <v>3610</v>
      </c>
      <c r="AF1149" s="35" t="s">
        <v>3611</v>
      </c>
      <c r="AG1149" s="35" t="s">
        <v>3612</v>
      </c>
      <c r="AH1149" s="35" t="s">
        <v>3613</v>
      </c>
    </row>
    <row r="1150" spans="1:34" ht="14.45" hidden="1" customHeight="1" x14ac:dyDescent="0.25">
      <c r="A1150" s="6" t="s">
        <v>1960</v>
      </c>
      <c r="B1150" s="7">
        <v>0</v>
      </c>
      <c r="C1150" s="6" t="s">
        <v>1959</v>
      </c>
      <c r="D1150" s="6" t="s">
        <v>66</v>
      </c>
      <c r="E1150" s="6" t="s">
        <v>3232</v>
      </c>
      <c r="F1150" s="6" t="s">
        <v>3229</v>
      </c>
      <c r="G1150" s="8">
        <v>1.213311</v>
      </c>
      <c r="H1150" s="8">
        <v>6.1273476330000003</v>
      </c>
      <c r="I1150" s="6" t="s">
        <v>2497</v>
      </c>
      <c r="J1150" s="6" t="s">
        <v>2459</v>
      </c>
      <c r="K1150" s="6" t="s">
        <v>2460</v>
      </c>
      <c r="L1150" s="6" t="s">
        <v>1956</v>
      </c>
      <c r="M1150" s="6" t="s">
        <v>1940</v>
      </c>
      <c r="N1150" s="6" t="s">
        <v>3268</v>
      </c>
      <c r="O1150" s="6" t="s">
        <v>7</v>
      </c>
      <c r="P1150" s="6"/>
      <c r="Q1150" s="6" t="str">
        <f>VLOOKUP(Tableau1[[#This Row],[SITES NAMES]],[1]Feuil1!$1:$1048576,9,FALSE)</f>
        <v>YES</v>
      </c>
      <c r="R1150" s="6" t="str">
        <f>VLOOKUP(Tableau1[[#This Row],[SITES NAMES]],[1]Feuil1!$1:$1048576,10,FALSE)</f>
        <v>YES</v>
      </c>
      <c r="S1150" s="6" t="s">
        <v>2469</v>
      </c>
      <c r="T1150" s="6" t="s">
        <v>2470</v>
      </c>
      <c r="U1150" s="6" t="s">
        <v>2480</v>
      </c>
      <c r="V1150" s="6" t="s">
        <v>2498</v>
      </c>
      <c r="W1150" s="6" t="s">
        <v>2476</v>
      </c>
      <c r="X1150" s="8"/>
      <c r="Y1150" s="6" t="s">
        <v>3238</v>
      </c>
      <c r="Z1150" s="6" t="s">
        <v>3262</v>
      </c>
      <c r="AA1150" s="35" t="s">
        <v>3621</v>
      </c>
      <c r="AB1150" s="35" t="s">
        <v>3608</v>
      </c>
      <c r="AC1150" s="35" t="s">
        <v>3624</v>
      </c>
      <c r="AD1150" s="35" t="s">
        <v>3610</v>
      </c>
      <c r="AE1150" s="35" t="s">
        <v>3610</v>
      </c>
      <c r="AF1150" s="35" t="s">
        <v>3611</v>
      </c>
      <c r="AG1150" s="35" t="s">
        <v>3612</v>
      </c>
      <c r="AH1150" s="35" t="s">
        <v>3625</v>
      </c>
    </row>
    <row r="1151" spans="1:34" ht="14.45" hidden="1" customHeight="1" x14ac:dyDescent="0.25">
      <c r="A1151" s="6" t="s">
        <v>1722</v>
      </c>
      <c r="B1151" s="7">
        <v>0</v>
      </c>
      <c r="C1151" s="6" t="s">
        <v>1721</v>
      </c>
      <c r="D1151" s="6" t="s">
        <v>66</v>
      </c>
      <c r="E1151" s="6" t="s">
        <v>3234</v>
      </c>
      <c r="F1151" s="6" t="s">
        <v>3229</v>
      </c>
      <c r="G1151" s="8">
        <v>1.1596869999999999</v>
      </c>
      <c r="H1151" s="8">
        <v>6.2164282010000003</v>
      </c>
      <c r="I1151" s="6" t="s">
        <v>2486</v>
      </c>
      <c r="J1151" s="6" t="s">
        <v>2459</v>
      </c>
      <c r="K1151" s="6" t="s">
        <v>2460</v>
      </c>
      <c r="L1151" s="6" t="s">
        <v>1747</v>
      </c>
      <c r="M1151" s="6" t="s">
        <v>1704</v>
      </c>
      <c r="N1151" s="6" t="s">
        <v>3268</v>
      </c>
      <c r="O1151" s="6" t="s">
        <v>7</v>
      </c>
      <c r="P1151" s="6" t="str">
        <f>VLOOKUP(Tableau1[[#This Row],[SITES NAMES]],[1]Feuil1!$1:$1048576,8,FALSE)</f>
        <v>OK</v>
      </c>
      <c r="Q1151" s="6" t="str">
        <f>VLOOKUP(Tableau1[[#This Row],[SITES NAMES]],[1]Feuil1!$1:$1048576,9,FALSE)</f>
        <v>NO</v>
      </c>
      <c r="R1151" s="6" t="str">
        <f>VLOOKUP(Tableau1[[#This Row],[SITES NAMES]],[1]Feuil1!$1:$1048576,10,FALSE)</f>
        <v>NO</v>
      </c>
      <c r="S1151" s="6" t="s">
        <v>2461</v>
      </c>
      <c r="T1151" s="6" t="s">
        <v>2462</v>
      </c>
      <c r="U1151" s="6" t="s">
        <v>2463</v>
      </c>
      <c r="V1151" s="6" t="s">
        <v>2478</v>
      </c>
      <c r="W1151" s="6" t="s">
        <v>2476</v>
      </c>
      <c r="X1151" s="8" t="s">
        <v>3011</v>
      </c>
      <c r="Y1151" s="6" t="s">
        <v>3238</v>
      </c>
      <c r="Z1151" s="6" t="s">
        <v>3265</v>
      </c>
      <c r="AA1151" s="35" t="s">
        <v>3607</v>
      </c>
      <c r="AB1151" s="35" t="s">
        <v>3608</v>
      </c>
      <c r="AC1151" s="35" t="s">
        <v>3614</v>
      </c>
      <c r="AD1151" s="35" t="s">
        <v>3610</v>
      </c>
      <c r="AE1151" s="35" t="s">
        <v>3610</v>
      </c>
      <c r="AF1151" s="35" t="s">
        <v>3611</v>
      </c>
      <c r="AG1151" s="35" t="s">
        <v>3612</v>
      </c>
      <c r="AH1151" s="35" t="s">
        <v>3615</v>
      </c>
    </row>
    <row r="1152" spans="1:34" ht="14.45" hidden="1" customHeight="1" x14ac:dyDescent="0.3">
      <c r="A1152" s="6" t="s">
        <v>315</v>
      </c>
      <c r="B1152" s="7">
        <v>43901</v>
      </c>
      <c r="C1152" s="6" t="s">
        <v>314</v>
      </c>
      <c r="D1152" s="6" t="s">
        <v>132</v>
      </c>
      <c r="E1152" s="6" t="s">
        <v>251</v>
      </c>
      <c r="F1152" s="6" t="s">
        <v>3229</v>
      </c>
      <c r="G1152" s="8">
        <v>0.73253000000000001</v>
      </c>
      <c r="H1152" s="8">
        <v>7.670852</v>
      </c>
      <c r="I1152" s="6" t="s">
        <v>2467</v>
      </c>
      <c r="J1152" s="6" t="s">
        <v>2459</v>
      </c>
      <c r="K1152" s="6" t="s">
        <v>2468</v>
      </c>
      <c r="L1152" s="6" t="s">
        <v>3590</v>
      </c>
      <c r="M1152" s="6"/>
      <c r="N1152" s="6" t="s">
        <v>2468</v>
      </c>
      <c r="O1152" s="6" t="s">
        <v>40</v>
      </c>
      <c r="P1152" s="6" t="str">
        <f>VLOOKUP(Tableau1[[#This Row],[SITES NAMES]],[1]Feuil1!$1:$1048576,8,FALSE)</f>
        <v>OK</v>
      </c>
      <c r="Q1152" s="6" t="str">
        <f>VLOOKUP(Tableau1[[#This Row],[SITES NAMES]],[1]Feuil1!$1:$1048576,9,FALSE)</f>
        <v>NO</v>
      </c>
      <c r="R1152" s="6" t="str">
        <f>VLOOKUP(Tableau1[[#This Row],[SITES NAMES]],[1]Feuil1!$1:$1048576,10,FALSE)</f>
        <v>YES</v>
      </c>
      <c r="S1152" s="6" t="s">
        <v>2469</v>
      </c>
      <c r="T1152" s="6" t="s">
        <v>2470</v>
      </c>
      <c r="U1152" s="6" t="s">
        <v>2480</v>
      </c>
      <c r="V1152" s="6" t="s">
        <v>2472</v>
      </c>
      <c r="W1152" s="6" t="s">
        <v>2473</v>
      </c>
      <c r="X1152" s="8" t="s">
        <v>2589</v>
      </c>
      <c r="Y1152" s="6" t="s">
        <v>3238</v>
      </c>
      <c r="Z1152" s="6" t="s">
        <v>3256</v>
      </c>
      <c r="AA1152" s="37" t="s">
        <v>3651</v>
      </c>
      <c r="AB1152" s="39" t="s">
        <v>3644</v>
      </c>
      <c r="AC1152" s="45" t="s">
        <v>3652</v>
      </c>
      <c r="AD1152" s="39" t="s">
        <v>3646</v>
      </c>
      <c r="AE1152" s="37" t="s">
        <v>3653</v>
      </c>
      <c r="AF1152" s="37" t="s">
        <v>3654</v>
      </c>
      <c r="AG1152" s="37" t="s">
        <v>3649</v>
      </c>
      <c r="AH1152" s="37" t="s">
        <v>3655</v>
      </c>
    </row>
    <row r="1153" spans="1:34" ht="14.45" hidden="1" customHeight="1" x14ac:dyDescent="0.3">
      <c r="A1153" s="6" t="s">
        <v>117</v>
      </c>
      <c r="B1153" s="7">
        <v>43890</v>
      </c>
      <c r="C1153" s="6" t="s">
        <v>116</v>
      </c>
      <c r="D1153" s="6" t="s">
        <v>5</v>
      </c>
      <c r="E1153" s="6" t="s">
        <v>6</v>
      </c>
      <c r="F1153" s="6" t="s">
        <v>3229</v>
      </c>
      <c r="G1153" s="8">
        <v>1.4972620000000001</v>
      </c>
      <c r="H1153" s="8">
        <v>6.4214609999999999</v>
      </c>
      <c r="I1153" s="6" t="s">
        <v>2482</v>
      </c>
      <c r="J1153" s="6" t="s">
        <v>2459</v>
      </c>
      <c r="K1153" s="6" t="s">
        <v>2468</v>
      </c>
      <c r="L1153" s="6" t="s">
        <v>63</v>
      </c>
      <c r="M1153" s="6"/>
      <c r="N1153" s="6" t="s">
        <v>2468</v>
      </c>
      <c r="O1153" s="6" t="s">
        <v>7</v>
      </c>
      <c r="P1153" s="6" t="str">
        <f>VLOOKUP(Tableau1[[#This Row],[SITES NAMES]],[1]Feuil1!$1:$1048576,8,FALSE)</f>
        <v>NOK</v>
      </c>
      <c r="Q1153" s="6" t="str">
        <f>VLOOKUP(Tableau1[[#This Row],[SITES NAMES]],[1]Feuil1!$1:$1048576,9,FALSE)</f>
        <v>NO</v>
      </c>
      <c r="R1153" s="6" t="str">
        <f>VLOOKUP(Tableau1[[#This Row],[SITES NAMES]],[1]Feuil1!$1:$1048576,10,FALSE)</f>
        <v>NO</v>
      </c>
      <c r="S1153" s="6" t="s">
        <v>2469</v>
      </c>
      <c r="T1153" s="6" t="s">
        <v>2470</v>
      </c>
      <c r="U1153" s="6" t="s">
        <v>2480</v>
      </c>
      <c r="V1153" s="6" t="s">
        <v>2472</v>
      </c>
      <c r="W1153" s="6" t="s">
        <v>2473</v>
      </c>
      <c r="X1153" s="8"/>
      <c r="Y1153" s="6" t="s">
        <v>3241</v>
      </c>
      <c r="Z1153" s="6"/>
      <c r="AA1153" s="37" t="s">
        <v>3626</v>
      </c>
      <c r="AB1153" s="38" t="s">
        <v>3627</v>
      </c>
      <c r="AC1153" s="37" t="s">
        <v>3633</v>
      </c>
      <c r="AD1153" s="37" t="s">
        <v>3628</v>
      </c>
      <c r="AE1153" s="37" t="s">
        <v>3629</v>
      </c>
      <c r="AF1153" s="39" t="s">
        <v>3630</v>
      </c>
      <c r="AG1153" s="37" t="s">
        <v>3631</v>
      </c>
      <c r="AH1153" s="37" t="s">
        <v>3632</v>
      </c>
    </row>
    <row r="1154" spans="1:34" ht="14.45" hidden="1" customHeight="1" x14ac:dyDescent="0.3">
      <c r="A1154" s="6" t="s">
        <v>119</v>
      </c>
      <c r="B1154" s="7">
        <v>0</v>
      </c>
      <c r="C1154" s="6" t="s">
        <v>118</v>
      </c>
      <c r="D1154" s="6" t="s">
        <v>5</v>
      </c>
      <c r="E1154" s="6" t="s">
        <v>6</v>
      </c>
      <c r="F1154" s="18" t="s">
        <v>3230</v>
      </c>
      <c r="G1154" s="8">
        <v>1.529898</v>
      </c>
      <c r="H1154" s="8">
        <v>6.3354480000000004</v>
      </c>
      <c r="I1154" s="6" t="s">
        <v>2486</v>
      </c>
      <c r="J1154" s="6" t="s">
        <v>2459</v>
      </c>
      <c r="K1154" s="6" t="s">
        <v>2460</v>
      </c>
      <c r="L1154" s="6" t="s">
        <v>121</v>
      </c>
      <c r="M1154" s="6" t="s">
        <v>2438</v>
      </c>
      <c r="N1154" s="6" t="s">
        <v>3268</v>
      </c>
      <c r="O1154" s="6" t="s">
        <v>7</v>
      </c>
      <c r="P1154" s="6" t="str">
        <f>VLOOKUP(Tableau1[[#This Row],[SITES NAMES]],[1]Feuil1!$1:$1048576,8,FALSE)</f>
        <v>OK</v>
      </c>
      <c r="Q1154" s="6" t="str">
        <f>VLOOKUP(Tableau1[[#This Row],[SITES NAMES]],[1]Feuil1!$1:$1048576,9,FALSE)</f>
        <v>NO</v>
      </c>
      <c r="R1154" s="6" t="str">
        <f>VLOOKUP(Tableau1[[#This Row],[SITES NAMES]],[1]Feuil1!$1:$1048576,10,FALSE)</f>
        <v>NO</v>
      </c>
      <c r="S1154" s="6" t="s">
        <v>2461</v>
      </c>
      <c r="T1154" s="6" t="s">
        <v>2462</v>
      </c>
      <c r="U1154" s="6" t="s">
        <v>2463</v>
      </c>
      <c r="V1154" s="6" t="s">
        <v>2464</v>
      </c>
      <c r="W1154" s="6" t="s">
        <v>2476</v>
      </c>
      <c r="X1154" s="8" t="s">
        <v>2519</v>
      </c>
      <c r="Y1154" s="6" t="s">
        <v>3241</v>
      </c>
      <c r="Z1154" s="6"/>
      <c r="AA1154" s="37" t="s">
        <v>3626</v>
      </c>
      <c r="AB1154" s="38" t="s">
        <v>3627</v>
      </c>
      <c r="AC1154" s="37" t="s">
        <v>3633</v>
      </c>
      <c r="AD1154" s="37" t="s">
        <v>3628</v>
      </c>
      <c r="AE1154" s="37" t="s">
        <v>3629</v>
      </c>
      <c r="AF1154" s="39" t="s">
        <v>3630</v>
      </c>
      <c r="AG1154" s="37" t="s">
        <v>3631</v>
      </c>
      <c r="AH1154" s="37" t="s">
        <v>3632</v>
      </c>
    </row>
    <row r="1155" spans="1:34" ht="14.45" hidden="1" customHeight="1" x14ac:dyDescent="0.3">
      <c r="A1155" s="6" t="s">
        <v>121</v>
      </c>
      <c r="B1155" s="7">
        <v>44811</v>
      </c>
      <c r="C1155" s="6" t="s">
        <v>120</v>
      </c>
      <c r="D1155" s="6" t="s">
        <v>5</v>
      </c>
      <c r="E1155" s="6" t="s">
        <v>6</v>
      </c>
      <c r="F1155" s="6" t="s">
        <v>3229</v>
      </c>
      <c r="G1155" s="8">
        <v>1.5193490000000001</v>
      </c>
      <c r="H1155" s="8">
        <v>6.3431839999999999</v>
      </c>
      <c r="I1155" s="6" t="s">
        <v>2479</v>
      </c>
      <c r="J1155" s="6" t="s">
        <v>2459</v>
      </c>
      <c r="K1155" s="6" t="s">
        <v>2460</v>
      </c>
      <c r="L1155" s="6" t="s">
        <v>123</v>
      </c>
      <c r="M1155" s="6" t="s">
        <v>119</v>
      </c>
      <c r="N1155" s="6" t="s">
        <v>3268</v>
      </c>
      <c r="O1155" s="6" t="s">
        <v>7</v>
      </c>
      <c r="P1155" s="6" t="str">
        <f>VLOOKUP(Tableau1[[#This Row],[SITES NAMES]],[1]Feuil1!$1:$1048576,8,FALSE)</f>
        <v>OK</v>
      </c>
      <c r="Q1155" s="6" t="str">
        <f>VLOOKUP(Tableau1[[#This Row],[SITES NAMES]],[1]Feuil1!$1:$1048576,9,FALSE)</f>
        <v>NO</v>
      </c>
      <c r="R1155" s="6" t="str">
        <f>VLOOKUP(Tableau1[[#This Row],[SITES NAMES]],[1]Feuil1!$1:$1048576,10,FALSE)</f>
        <v>YES</v>
      </c>
      <c r="S1155" s="6" t="s">
        <v>2461</v>
      </c>
      <c r="T1155" s="6" t="s">
        <v>2462</v>
      </c>
      <c r="U1155" s="6" t="s">
        <v>2463</v>
      </c>
      <c r="V1155" s="6" t="s">
        <v>2464</v>
      </c>
      <c r="W1155" s="6" t="s">
        <v>2465</v>
      </c>
      <c r="X1155" s="8"/>
      <c r="Y1155" s="6" t="s">
        <v>3241</v>
      </c>
      <c r="Z1155" s="6"/>
      <c r="AA1155" s="37" t="s">
        <v>3626</v>
      </c>
      <c r="AB1155" s="38" t="s">
        <v>3627</v>
      </c>
      <c r="AC1155" s="37" t="s">
        <v>3633</v>
      </c>
      <c r="AD1155" s="37" t="s">
        <v>3628</v>
      </c>
      <c r="AE1155" s="37" t="s">
        <v>3629</v>
      </c>
      <c r="AF1155" s="39" t="s">
        <v>3630</v>
      </c>
      <c r="AG1155" s="37" t="s">
        <v>3631</v>
      </c>
      <c r="AH1155" s="37" t="s">
        <v>3632</v>
      </c>
    </row>
    <row r="1156" spans="1:34" ht="14.45" hidden="1" customHeight="1" x14ac:dyDescent="0.3">
      <c r="A1156" s="6" t="s">
        <v>123</v>
      </c>
      <c r="B1156" s="7">
        <v>0</v>
      </c>
      <c r="C1156" s="6" t="s">
        <v>122</v>
      </c>
      <c r="D1156" s="6" t="s">
        <v>5</v>
      </c>
      <c r="E1156" s="6" t="s">
        <v>6</v>
      </c>
      <c r="F1156" s="6" t="s">
        <v>3229</v>
      </c>
      <c r="G1156" s="8">
        <v>1.5224500000000001</v>
      </c>
      <c r="H1156" s="8">
        <v>6.3251900000000001</v>
      </c>
      <c r="I1156" s="6" t="s">
        <v>2486</v>
      </c>
      <c r="J1156" s="6" t="s">
        <v>2459</v>
      </c>
      <c r="K1156" s="6" t="s">
        <v>2460</v>
      </c>
      <c r="L1156" s="6" t="s">
        <v>6</v>
      </c>
      <c r="M1156" s="6" t="s">
        <v>121</v>
      </c>
      <c r="N1156" s="6" t="s">
        <v>3268</v>
      </c>
      <c r="O1156" s="6" t="s">
        <v>7</v>
      </c>
      <c r="P1156" s="6" t="str">
        <f>VLOOKUP(Tableau1[[#This Row],[SITES NAMES]],[1]Feuil1!$1:$1048576,8,FALSE)</f>
        <v>OK</v>
      </c>
      <c r="Q1156" s="6" t="str">
        <f>VLOOKUP(Tableau1[[#This Row],[SITES NAMES]],[1]Feuil1!$1:$1048576,9,FALSE)</f>
        <v>NO</v>
      </c>
      <c r="R1156" s="6" t="str">
        <f>VLOOKUP(Tableau1[[#This Row],[SITES NAMES]],[1]Feuil1!$1:$1048576,10,FALSE)</f>
        <v>NO</v>
      </c>
      <c r="S1156" s="6" t="s">
        <v>2469</v>
      </c>
      <c r="T1156" s="6" t="s">
        <v>2470</v>
      </c>
      <c r="U1156" s="6" t="s">
        <v>2480</v>
      </c>
      <c r="V1156" s="6" t="s">
        <v>2472</v>
      </c>
      <c r="W1156" s="6" t="s">
        <v>2476</v>
      </c>
      <c r="X1156" s="8" t="s">
        <v>2520</v>
      </c>
      <c r="Y1156" s="6" t="s">
        <v>3241</v>
      </c>
      <c r="Z1156" s="6"/>
      <c r="AA1156" s="37" t="s">
        <v>3626</v>
      </c>
      <c r="AB1156" s="38" t="s">
        <v>3627</v>
      </c>
      <c r="AC1156" s="37" t="s">
        <v>3633</v>
      </c>
      <c r="AD1156" s="37" t="s">
        <v>3628</v>
      </c>
      <c r="AE1156" s="37" t="s">
        <v>3629</v>
      </c>
      <c r="AF1156" s="39" t="s">
        <v>3630</v>
      </c>
      <c r="AG1156" s="37" t="s">
        <v>3631</v>
      </c>
      <c r="AH1156" s="37" t="s">
        <v>3632</v>
      </c>
    </row>
    <row r="1157" spans="1:34" ht="14.45" hidden="1" customHeight="1" x14ac:dyDescent="0.3">
      <c r="A1157" s="6" t="s">
        <v>125</v>
      </c>
      <c r="B1157" s="7">
        <v>0</v>
      </c>
      <c r="C1157" s="6" t="s">
        <v>124</v>
      </c>
      <c r="D1157" s="6" t="s">
        <v>5</v>
      </c>
      <c r="E1157" s="6" t="s">
        <v>6</v>
      </c>
      <c r="F1157" s="6" t="s">
        <v>3229</v>
      </c>
      <c r="G1157" s="8">
        <v>1.5029399999999999</v>
      </c>
      <c r="H1157" s="8">
        <v>6.5857900000000003</v>
      </c>
      <c r="I1157" s="6" t="s">
        <v>2497</v>
      </c>
      <c r="J1157" s="6" t="s">
        <v>2459</v>
      </c>
      <c r="K1157" s="6" t="s">
        <v>2460</v>
      </c>
      <c r="L1157" s="6" t="s">
        <v>77</v>
      </c>
      <c r="M1157" s="6" t="s">
        <v>109</v>
      </c>
      <c r="N1157" s="6" t="s">
        <v>3268</v>
      </c>
      <c r="O1157" s="6" t="s">
        <v>7</v>
      </c>
      <c r="P1157" s="6" t="str">
        <f>VLOOKUP(Tableau1[[#This Row],[SITES NAMES]],[1]Feuil1!$1:$1048576,8,FALSE)</f>
        <v>OK</v>
      </c>
      <c r="Q1157" s="6" t="str">
        <f>VLOOKUP(Tableau1[[#This Row],[SITES NAMES]],[1]Feuil1!$1:$1048576,9,FALSE)</f>
        <v>NO</v>
      </c>
      <c r="R1157" s="6" t="str">
        <f>VLOOKUP(Tableau1[[#This Row],[SITES NAMES]],[1]Feuil1!$1:$1048576,10,FALSE)</f>
        <v>NO</v>
      </c>
      <c r="S1157" s="6" t="s">
        <v>2469</v>
      </c>
      <c r="T1157" s="6" t="s">
        <v>2470</v>
      </c>
      <c r="U1157" s="6" t="s">
        <v>2480</v>
      </c>
      <c r="V1157" s="6" t="s">
        <v>2472</v>
      </c>
      <c r="W1157" s="6" t="s">
        <v>2473</v>
      </c>
      <c r="X1157" s="8"/>
      <c r="Y1157" s="6" t="s">
        <v>3241</v>
      </c>
      <c r="Z1157" s="6"/>
      <c r="AA1157" s="37" t="s">
        <v>3626</v>
      </c>
      <c r="AB1157" s="38" t="s">
        <v>3627</v>
      </c>
      <c r="AC1157" s="37" t="s">
        <v>3633</v>
      </c>
      <c r="AD1157" s="37" t="s">
        <v>3628</v>
      </c>
      <c r="AE1157" s="37" t="s">
        <v>3629</v>
      </c>
      <c r="AF1157" s="39" t="s">
        <v>3630</v>
      </c>
      <c r="AG1157" s="37" t="s">
        <v>3631</v>
      </c>
      <c r="AH1157" s="37" t="s">
        <v>3632</v>
      </c>
    </row>
    <row r="1158" spans="1:34" ht="14.45" hidden="1" customHeight="1" x14ac:dyDescent="0.3">
      <c r="A1158" s="6" t="s">
        <v>317</v>
      </c>
      <c r="B1158" s="7">
        <v>0</v>
      </c>
      <c r="C1158" s="6" t="s">
        <v>316</v>
      </c>
      <c r="D1158" s="6" t="s">
        <v>132</v>
      </c>
      <c r="E1158" s="6" t="s">
        <v>251</v>
      </c>
      <c r="F1158" s="6" t="s">
        <v>3229</v>
      </c>
      <c r="G1158" s="8">
        <v>0.86031999999999997</v>
      </c>
      <c r="H1158" s="8">
        <v>7.8500899999999998</v>
      </c>
      <c r="I1158" s="14" t="s">
        <v>2477</v>
      </c>
      <c r="J1158" s="6" t="s">
        <v>2459</v>
      </c>
      <c r="K1158" s="6" t="s">
        <v>2468</v>
      </c>
      <c r="L1158" s="6" t="s">
        <v>620</v>
      </c>
      <c r="M1158" s="6"/>
      <c r="N1158" s="6" t="s">
        <v>2468</v>
      </c>
      <c r="O1158" s="6" t="s">
        <v>40</v>
      </c>
      <c r="P1158" s="6" t="str">
        <f>VLOOKUP(Tableau1[[#This Row],[SITES NAMES]],[1]Feuil1!$1:$1048576,8,FALSE)</f>
        <v>OK</v>
      </c>
      <c r="Q1158" s="6" t="str">
        <f>VLOOKUP(Tableau1[[#This Row],[SITES NAMES]],[1]Feuil1!$1:$1048576,9,FALSE)</f>
        <v>NO</v>
      </c>
      <c r="R1158" s="6" t="str">
        <f>VLOOKUP(Tableau1[[#This Row],[SITES NAMES]],[1]Feuil1!$1:$1048576,10,FALSE)</f>
        <v>NO</v>
      </c>
      <c r="S1158" s="6" t="s">
        <v>2469</v>
      </c>
      <c r="T1158" s="6" t="s">
        <v>2470</v>
      </c>
      <c r="U1158" s="6" t="s">
        <v>2480</v>
      </c>
      <c r="V1158" s="6" t="s">
        <v>2472</v>
      </c>
      <c r="W1158" s="6" t="s">
        <v>2473</v>
      </c>
      <c r="X1158" s="8" t="s">
        <v>2590</v>
      </c>
      <c r="Y1158" s="6" t="s">
        <v>3238</v>
      </c>
      <c r="Z1158" s="6" t="s">
        <v>3256</v>
      </c>
      <c r="AA1158" s="37" t="s">
        <v>3651</v>
      </c>
      <c r="AB1158" s="39" t="s">
        <v>3644</v>
      </c>
      <c r="AC1158" s="45" t="s">
        <v>3652</v>
      </c>
      <c r="AD1158" s="39" t="s">
        <v>3646</v>
      </c>
      <c r="AE1158" s="37" t="s">
        <v>3653</v>
      </c>
      <c r="AF1158" s="37" t="s">
        <v>3654</v>
      </c>
      <c r="AG1158" s="37" t="s">
        <v>3649</v>
      </c>
      <c r="AH1158" s="37" t="s">
        <v>3655</v>
      </c>
    </row>
    <row r="1159" spans="1:34" ht="14.45" hidden="1" customHeight="1" x14ac:dyDescent="0.25">
      <c r="A1159" s="6" t="s">
        <v>1436</v>
      </c>
      <c r="B1159" s="7">
        <v>44127</v>
      </c>
      <c r="C1159" s="6" t="s">
        <v>1435</v>
      </c>
      <c r="D1159" s="6" t="s">
        <v>66</v>
      </c>
      <c r="E1159" s="6" t="s">
        <v>3231</v>
      </c>
      <c r="F1159" s="6" t="s">
        <v>3229</v>
      </c>
      <c r="G1159" s="8">
        <v>1.2942199999999999</v>
      </c>
      <c r="H1159" s="8">
        <v>6.1510899999999999</v>
      </c>
      <c r="I1159" s="14" t="s">
        <v>2475</v>
      </c>
      <c r="J1159" s="6" t="s">
        <v>2459</v>
      </c>
      <c r="K1159" s="6" t="s">
        <v>2460</v>
      </c>
      <c r="L1159" s="6" t="s">
        <v>1432</v>
      </c>
      <c r="M1159" s="6" t="s">
        <v>1421</v>
      </c>
      <c r="N1159" s="6" t="s">
        <v>3268</v>
      </c>
      <c r="O1159" s="6" t="s">
        <v>1206</v>
      </c>
      <c r="P1159" s="6"/>
      <c r="Q1159" s="6" t="str">
        <f>VLOOKUP(Tableau1[[#This Row],[SITES NAMES]],[1]Feuil1!$1:$1048576,9,FALSE)</f>
        <v>NO</v>
      </c>
      <c r="R1159" s="6" t="str">
        <f>VLOOKUP(Tableau1[[#This Row],[SITES NAMES]],[1]Feuil1!$1:$1048576,10,FALSE)</f>
        <v>NO</v>
      </c>
      <c r="S1159" s="6" t="s">
        <v>2469</v>
      </c>
      <c r="T1159" s="6" t="s">
        <v>2470</v>
      </c>
      <c r="U1159" s="6" t="s">
        <v>2471</v>
      </c>
      <c r="V1159" s="6" t="s">
        <v>2498</v>
      </c>
      <c r="W1159" s="6" t="s">
        <v>2476</v>
      </c>
      <c r="X1159" s="8" t="s">
        <v>2948</v>
      </c>
      <c r="Y1159" s="6" t="s">
        <v>3238</v>
      </c>
      <c r="Z1159" s="6"/>
      <c r="AA1159" s="35" t="s">
        <v>3621</v>
      </c>
      <c r="AB1159" s="35" t="s">
        <v>3608</v>
      </c>
      <c r="AC1159" s="35" t="s">
        <v>3622</v>
      </c>
      <c r="AD1159" s="35" t="s">
        <v>3610</v>
      </c>
      <c r="AE1159" s="35" t="s">
        <v>3610</v>
      </c>
      <c r="AF1159" s="35" t="s">
        <v>3611</v>
      </c>
      <c r="AG1159" s="35" t="s">
        <v>3612</v>
      </c>
      <c r="AH1159" s="35" t="s">
        <v>3623</v>
      </c>
    </row>
    <row r="1160" spans="1:34" ht="14.45" hidden="1" customHeight="1" x14ac:dyDescent="0.3">
      <c r="A1160" s="6" t="s">
        <v>2136</v>
      </c>
      <c r="B1160" s="7">
        <v>0</v>
      </c>
      <c r="C1160" s="6" t="s">
        <v>2135</v>
      </c>
      <c r="D1160" s="6" t="s">
        <v>132</v>
      </c>
      <c r="E1160" s="6" t="s">
        <v>2049</v>
      </c>
      <c r="F1160" s="6" t="s">
        <v>3229</v>
      </c>
      <c r="G1160" s="8">
        <v>1.1638500000000001</v>
      </c>
      <c r="H1160" s="8">
        <v>7.1470000000000002</v>
      </c>
      <c r="I1160" s="6" t="s">
        <v>2467</v>
      </c>
      <c r="J1160" s="6" t="s">
        <v>2459</v>
      </c>
      <c r="K1160" s="6" t="s">
        <v>2460</v>
      </c>
      <c r="L1160" s="6" t="s">
        <v>2138</v>
      </c>
      <c r="M1160" s="6" t="s">
        <v>2059</v>
      </c>
      <c r="N1160" s="6" t="s">
        <v>3268</v>
      </c>
      <c r="O1160" s="6" t="s">
        <v>7</v>
      </c>
      <c r="P1160" s="6" t="str">
        <f>VLOOKUP(Tableau1[[#This Row],[SITES NAMES]],[1]Feuil1!$1:$1048576,8,FALSE)</f>
        <v>OK</v>
      </c>
      <c r="Q1160" s="6" t="str">
        <f>VLOOKUP(Tableau1[[#This Row],[SITES NAMES]],[1]Feuil1!$1:$1048576,9,FALSE)</f>
        <v>NO</v>
      </c>
      <c r="R1160" s="6" t="str">
        <f>VLOOKUP(Tableau1[[#This Row],[SITES NAMES]],[1]Feuil1!$1:$1048576,10,FALSE)</f>
        <v>NO</v>
      </c>
      <c r="S1160" s="6" t="s">
        <v>2469</v>
      </c>
      <c r="T1160" s="6" t="s">
        <v>2470</v>
      </c>
      <c r="U1160" s="6" t="s">
        <v>2471</v>
      </c>
      <c r="V1160" s="6" t="s">
        <v>2472</v>
      </c>
      <c r="W1160" s="6" t="s">
        <v>2465</v>
      </c>
      <c r="X1160" s="8" t="s">
        <v>3130</v>
      </c>
      <c r="Y1160" s="6" t="s">
        <v>3238</v>
      </c>
      <c r="Z1160" s="6" t="s">
        <v>3257</v>
      </c>
      <c r="AA1160" s="45" t="s">
        <v>3656</v>
      </c>
      <c r="AB1160" s="39" t="s">
        <v>3644</v>
      </c>
      <c r="AC1160" s="45" t="s">
        <v>3657</v>
      </c>
      <c r="AD1160" s="37" t="s">
        <v>3658</v>
      </c>
      <c r="AE1160" s="37" t="s">
        <v>3647</v>
      </c>
      <c r="AF1160" s="39" t="s">
        <v>3648</v>
      </c>
      <c r="AG1160" s="37" t="s">
        <v>3649</v>
      </c>
      <c r="AH1160" s="37" t="s">
        <v>3659</v>
      </c>
    </row>
    <row r="1161" spans="1:34" ht="14.45" hidden="1" customHeight="1" x14ac:dyDescent="0.3">
      <c r="A1161" s="6" t="s">
        <v>2138</v>
      </c>
      <c r="B1161" s="7">
        <v>0</v>
      </c>
      <c r="C1161" s="6" t="s">
        <v>2137</v>
      </c>
      <c r="D1161" s="6" t="s">
        <v>132</v>
      </c>
      <c r="E1161" s="6" t="s">
        <v>2049</v>
      </c>
      <c r="F1161" s="6" t="s">
        <v>3229</v>
      </c>
      <c r="G1161" s="8">
        <v>1.1582699999999999</v>
      </c>
      <c r="H1161" s="8">
        <v>7.17666</v>
      </c>
      <c r="I1161" s="6" t="s">
        <v>2486</v>
      </c>
      <c r="J1161" s="6" t="s">
        <v>2459</v>
      </c>
      <c r="K1161" s="6" t="s">
        <v>2460</v>
      </c>
      <c r="L1161" s="6" t="s">
        <v>2071</v>
      </c>
      <c r="M1161" s="6" t="s">
        <v>2136</v>
      </c>
      <c r="N1161" s="6" t="s">
        <v>3268</v>
      </c>
      <c r="O1161" s="6" t="s">
        <v>7</v>
      </c>
      <c r="P1161" s="6" t="str">
        <f>VLOOKUP(Tableau1[[#This Row],[SITES NAMES]],[1]Feuil1!$1:$1048576,8,FALSE)</f>
        <v>OK</v>
      </c>
      <c r="Q1161" s="6" t="str">
        <f>VLOOKUP(Tableau1[[#This Row],[SITES NAMES]],[1]Feuil1!$1:$1048576,9,FALSE)</f>
        <v>NO</v>
      </c>
      <c r="R1161" s="6" t="str">
        <f>VLOOKUP(Tableau1[[#This Row],[SITES NAMES]],[1]Feuil1!$1:$1048576,10,FALSE)</f>
        <v>NO</v>
      </c>
      <c r="S1161" s="6" t="s">
        <v>2461</v>
      </c>
      <c r="T1161" s="6" t="s">
        <v>2462</v>
      </c>
      <c r="U1161" s="6" t="s">
        <v>2463</v>
      </c>
      <c r="V1161" s="6" t="s">
        <v>2464</v>
      </c>
      <c r="W1161" s="6" t="s">
        <v>2465</v>
      </c>
      <c r="X1161" s="8" t="s">
        <v>3131</v>
      </c>
      <c r="Y1161" s="6" t="s">
        <v>3238</v>
      </c>
      <c r="Z1161" s="6" t="s">
        <v>3257</v>
      </c>
      <c r="AA1161" s="45" t="s">
        <v>3656</v>
      </c>
      <c r="AB1161" s="39" t="s">
        <v>3644</v>
      </c>
      <c r="AC1161" s="45" t="s">
        <v>3657</v>
      </c>
      <c r="AD1161" s="37" t="s">
        <v>3658</v>
      </c>
      <c r="AE1161" s="37" t="s">
        <v>3647</v>
      </c>
      <c r="AF1161" s="39" t="s">
        <v>3648</v>
      </c>
      <c r="AG1161" s="37" t="s">
        <v>3649</v>
      </c>
      <c r="AH1161" s="37" t="s">
        <v>3659</v>
      </c>
    </row>
    <row r="1162" spans="1:34" ht="14.45" hidden="1" customHeight="1" x14ac:dyDescent="0.3">
      <c r="A1162" s="6" t="s">
        <v>384</v>
      </c>
      <c r="B1162" s="7">
        <v>0</v>
      </c>
      <c r="C1162" s="6" t="s">
        <v>383</v>
      </c>
      <c r="D1162" s="6" t="s">
        <v>320</v>
      </c>
      <c r="E1162" s="6" t="s">
        <v>321</v>
      </c>
      <c r="F1162" s="6" t="s">
        <v>3229</v>
      </c>
      <c r="G1162" s="8">
        <v>1.02884</v>
      </c>
      <c r="H1162" s="8">
        <v>8.2695799999999995</v>
      </c>
      <c r="I1162" s="6" t="s">
        <v>2467</v>
      </c>
      <c r="J1162" s="6" t="s">
        <v>2459</v>
      </c>
      <c r="K1162" s="6" t="s">
        <v>2460</v>
      </c>
      <c r="L1162" s="6"/>
      <c r="M1162" s="6"/>
      <c r="N1162" s="6" t="s">
        <v>3268</v>
      </c>
      <c r="O1162" s="6" t="s">
        <v>40</v>
      </c>
      <c r="P1162" s="6" t="str">
        <f>VLOOKUP(Tableau1[[#This Row],[SITES NAMES]],[1]Feuil1!$1:$1048576,8,FALSE)</f>
        <v>OK</v>
      </c>
      <c r="Q1162" s="6" t="str">
        <f>VLOOKUP(Tableau1[[#This Row],[SITES NAMES]],[1]Feuil1!$1:$1048576,9,FALSE)</f>
        <v>NO</v>
      </c>
      <c r="R1162" s="6" t="str">
        <f>VLOOKUP(Tableau1[[#This Row],[SITES NAMES]],[1]Feuil1!$1:$1048576,10,FALSE)</f>
        <v>NO</v>
      </c>
      <c r="S1162" s="6" t="s">
        <v>2461</v>
      </c>
      <c r="T1162" s="6" t="s">
        <v>2462</v>
      </c>
      <c r="U1162" s="6" t="s">
        <v>2463</v>
      </c>
      <c r="V1162" s="6" t="s">
        <v>2472</v>
      </c>
      <c r="W1162" s="6" t="s">
        <v>2473</v>
      </c>
      <c r="X1162" s="8" t="s">
        <v>2614</v>
      </c>
      <c r="Y1162" s="6" t="s">
        <v>3238</v>
      </c>
      <c r="Z1162" s="6" t="s">
        <v>3266</v>
      </c>
      <c r="AA1162" s="37" t="s">
        <v>3664</v>
      </c>
      <c r="AB1162" s="39" t="s">
        <v>3665</v>
      </c>
      <c r="AC1162" s="37" t="s">
        <v>3666</v>
      </c>
      <c r="AD1162" s="37" t="s">
        <v>3667</v>
      </c>
      <c r="AE1162" s="37" t="s">
        <v>3668</v>
      </c>
      <c r="AF1162" s="37" t="s">
        <v>3669</v>
      </c>
      <c r="AG1162" s="37" t="s">
        <v>3670</v>
      </c>
      <c r="AH1162" s="37" t="s">
        <v>3671</v>
      </c>
    </row>
    <row r="1163" spans="1:34" ht="14.45" hidden="1" customHeight="1" x14ac:dyDescent="0.3">
      <c r="A1163" s="6" t="s">
        <v>558</v>
      </c>
      <c r="B1163" s="7">
        <v>44630</v>
      </c>
      <c r="C1163" s="6" t="s">
        <v>557</v>
      </c>
      <c r="D1163" s="6" t="s">
        <v>395</v>
      </c>
      <c r="E1163" s="6" t="s">
        <v>396</v>
      </c>
      <c r="F1163" s="6" t="s">
        <v>3229</v>
      </c>
      <c r="G1163" s="8">
        <v>-1.4816899999999999E-2</v>
      </c>
      <c r="H1163" s="8">
        <v>10.802083</v>
      </c>
      <c r="I1163" s="6" t="s">
        <v>2477</v>
      </c>
      <c r="J1163" s="6" t="s">
        <v>2459</v>
      </c>
      <c r="K1163" s="6" t="s">
        <v>2468</v>
      </c>
      <c r="L1163" s="6" t="s">
        <v>440</v>
      </c>
      <c r="M1163" s="6"/>
      <c r="N1163" s="6" t="s">
        <v>2468</v>
      </c>
      <c r="O1163" s="6" t="s">
        <v>40</v>
      </c>
      <c r="P1163" s="6" t="str">
        <f>VLOOKUP(Tableau1[[#This Row],[SITES NAMES]],[1]Feuil1!$1:$1048576,8,FALSE)</f>
        <v>OK</v>
      </c>
      <c r="Q1163" s="6" t="str">
        <f>VLOOKUP(Tableau1[[#This Row],[SITES NAMES]],[1]Feuil1!$1:$1048576,9,FALSE)</f>
        <v>NO</v>
      </c>
      <c r="R1163" s="6" t="str">
        <f>VLOOKUP(Tableau1[[#This Row],[SITES NAMES]],[1]Feuil1!$1:$1048576,10,FALSE)</f>
        <v>YES</v>
      </c>
      <c r="S1163" s="6" t="s">
        <v>2461</v>
      </c>
      <c r="T1163" s="6" t="s">
        <v>2462</v>
      </c>
      <c r="U1163" s="6" t="s">
        <v>2463</v>
      </c>
      <c r="V1163" s="6" t="s">
        <v>2472</v>
      </c>
      <c r="W1163" s="6" t="s">
        <v>2473</v>
      </c>
      <c r="X1163" s="8" t="s">
        <v>2677</v>
      </c>
      <c r="Y1163" s="6" t="s">
        <v>3240</v>
      </c>
      <c r="Z1163" s="6" t="s">
        <v>3255</v>
      </c>
      <c r="AA1163" s="37" t="s">
        <v>3704</v>
      </c>
      <c r="AB1163" s="39" t="s">
        <v>3705</v>
      </c>
      <c r="AC1163" s="37" t="s">
        <v>3706</v>
      </c>
      <c r="AD1163" s="37" t="s">
        <v>3707</v>
      </c>
      <c r="AE1163" s="37" t="s">
        <v>3708</v>
      </c>
      <c r="AF1163" s="37" t="s">
        <v>3709</v>
      </c>
      <c r="AG1163" s="46" t="s">
        <v>3710</v>
      </c>
      <c r="AH1163" s="37" t="s">
        <v>3711</v>
      </c>
    </row>
    <row r="1164" spans="1:34" ht="14.45" hidden="1" customHeight="1" x14ac:dyDescent="0.3">
      <c r="A1164" s="6" t="s">
        <v>2330</v>
      </c>
      <c r="B1164" s="7">
        <v>43727</v>
      </c>
      <c r="C1164" s="6" t="s">
        <v>2329</v>
      </c>
      <c r="D1164" s="6" t="s">
        <v>320</v>
      </c>
      <c r="E1164" s="6" t="s">
        <v>2274</v>
      </c>
      <c r="F1164" s="6" t="s">
        <v>3229</v>
      </c>
      <c r="G1164" s="8">
        <v>1.25695</v>
      </c>
      <c r="H1164" s="8">
        <v>9.0036799999999992</v>
      </c>
      <c r="I1164" s="6" t="s">
        <v>2477</v>
      </c>
      <c r="J1164" s="6" t="s">
        <v>2459</v>
      </c>
      <c r="K1164" s="6" t="s">
        <v>2468</v>
      </c>
      <c r="L1164" s="6" t="s">
        <v>2179</v>
      </c>
      <c r="M1164" s="6"/>
      <c r="N1164" s="6" t="s">
        <v>2468</v>
      </c>
      <c r="O1164" s="6" t="s">
        <v>7</v>
      </c>
      <c r="P1164" s="6" t="str">
        <f>VLOOKUP(Tableau1[[#This Row],[SITES NAMES]],[1]Feuil1!$1:$1048576,8,FALSE)</f>
        <v>OK</v>
      </c>
      <c r="Q1164" s="6" t="str">
        <f>VLOOKUP(Tableau1[[#This Row],[SITES NAMES]],[1]Feuil1!$1:$1048576,9,FALSE)</f>
        <v>NO</v>
      </c>
      <c r="R1164" s="6" t="str">
        <f>VLOOKUP(Tableau1[[#This Row],[SITES NAMES]],[1]Feuil1!$1:$1048576,10,FALSE)</f>
        <v>NO</v>
      </c>
      <c r="S1164" s="6" t="s">
        <v>2469</v>
      </c>
      <c r="T1164" s="6" t="s">
        <v>2470</v>
      </c>
      <c r="U1164" s="6" t="s">
        <v>2480</v>
      </c>
      <c r="V1164" s="6" t="s">
        <v>2472</v>
      </c>
      <c r="W1164" s="6" t="s">
        <v>2473</v>
      </c>
      <c r="X1164" s="8" t="s">
        <v>3197</v>
      </c>
      <c r="Y1164" s="6" t="s">
        <v>3238</v>
      </c>
      <c r="Z1164" s="6" t="s">
        <v>3254</v>
      </c>
      <c r="AA1164" s="37" t="s">
        <v>3678</v>
      </c>
      <c r="AB1164" s="39" t="s">
        <v>3665</v>
      </c>
      <c r="AC1164" s="37" t="s">
        <v>3679</v>
      </c>
      <c r="AD1164" s="37" t="s">
        <v>3678</v>
      </c>
      <c r="AE1164" s="37" t="s">
        <v>3680</v>
      </c>
      <c r="AF1164" s="39" t="s">
        <v>3676</v>
      </c>
      <c r="AG1164" s="37" t="s">
        <v>3670</v>
      </c>
      <c r="AH1164" s="37" t="s">
        <v>3681</v>
      </c>
    </row>
    <row r="1165" spans="1:34" ht="14.45" hidden="1" customHeight="1" x14ac:dyDescent="0.25">
      <c r="A1165" s="6" t="s">
        <v>1574</v>
      </c>
      <c r="B1165" s="7">
        <v>44123</v>
      </c>
      <c r="C1165" s="6" t="s">
        <v>1573</v>
      </c>
      <c r="D1165" s="6" t="s">
        <v>66</v>
      </c>
      <c r="E1165" s="6" t="s">
        <v>3233</v>
      </c>
      <c r="F1165" s="6" t="s">
        <v>3229</v>
      </c>
      <c r="G1165" s="8">
        <v>1.2425569999999999</v>
      </c>
      <c r="H1165" s="8">
        <v>6.3644970000000001</v>
      </c>
      <c r="I1165" s="6" t="s">
        <v>2497</v>
      </c>
      <c r="J1165" s="6" t="s">
        <v>2459</v>
      </c>
      <c r="K1165" s="6" t="s">
        <v>2468</v>
      </c>
      <c r="L1165" s="6" t="s">
        <v>3362</v>
      </c>
      <c r="M1165" s="6"/>
      <c r="N1165" s="6" t="s">
        <v>2468</v>
      </c>
      <c r="O1165" s="6" t="s">
        <v>7</v>
      </c>
      <c r="P1165" s="6" t="str">
        <f>VLOOKUP(Tableau1[[#This Row],[SITES NAMES]],[1]Feuil1!$1:$1048576,8,FALSE)</f>
        <v>OK</v>
      </c>
      <c r="Q1165" s="6" t="str">
        <f>VLOOKUP(Tableau1[[#This Row],[SITES NAMES]],[1]Feuil1!$1:$1048576,9,FALSE)</f>
        <v>NO</v>
      </c>
      <c r="R1165" s="6"/>
      <c r="S1165" s="6" t="s">
        <v>2469</v>
      </c>
      <c r="T1165" s="6" t="s">
        <v>2470</v>
      </c>
      <c r="U1165" s="6" t="s">
        <v>2480</v>
      </c>
      <c r="V1165" s="6" t="s">
        <v>2464</v>
      </c>
      <c r="W1165" s="6" t="s">
        <v>2465</v>
      </c>
      <c r="X1165" s="8"/>
      <c r="Y1165" s="6" t="s">
        <v>3238</v>
      </c>
      <c r="Z1165" s="6" t="s">
        <v>3264</v>
      </c>
      <c r="AA1165" s="35" t="s">
        <v>3616</v>
      </c>
      <c r="AB1165" s="35" t="s">
        <v>3608</v>
      </c>
      <c r="AC1165" s="35" t="s">
        <v>3617</v>
      </c>
      <c r="AD1165" s="35" t="s">
        <v>3610</v>
      </c>
      <c r="AE1165" s="35" t="s">
        <v>3610</v>
      </c>
      <c r="AF1165" s="35" t="s">
        <v>3611</v>
      </c>
      <c r="AG1165" s="35" t="s">
        <v>3612</v>
      </c>
      <c r="AH1165" s="35" t="s">
        <v>3618</v>
      </c>
    </row>
    <row r="1166" spans="1:34" ht="14.45" hidden="1" customHeight="1" x14ac:dyDescent="0.3">
      <c r="A1166" s="6" t="s">
        <v>386</v>
      </c>
      <c r="B1166" s="7">
        <v>0</v>
      </c>
      <c r="C1166" s="6" t="s">
        <v>385</v>
      </c>
      <c r="D1166" s="6" t="s">
        <v>320</v>
      </c>
      <c r="E1166" s="6" t="s">
        <v>321</v>
      </c>
      <c r="F1166" s="6" t="s">
        <v>3229</v>
      </c>
      <c r="G1166" s="8">
        <v>0.88463000000000003</v>
      </c>
      <c r="H1166" s="8">
        <v>8.0701099999999997</v>
      </c>
      <c r="I1166" s="6" t="s">
        <v>2477</v>
      </c>
      <c r="J1166" s="6" t="s">
        <v>2459</v>
      </c>
      <c r="K1166" s="6" t="s">
        <v>2468</v>
      </c>
      <c r="L1166" s="6" t="s">
        <v>3591</v>
      </c>
      <c r="M1166" s="6"/>
      <c r="N1166" s="6" t="s">
        <v>2468</v>
      </c>
      <c r="O1166" s="6" t="s">
        <v>40</v>
      </c>
      <c r="P1166" s="6" t="str">
        <f>VLOOKUP(Tableau1[[#This Row],[SITES NAMES]],[1]Feuil1!$1:$1048576,8,FALSE)</f>
        <v>OK</v>
      </c>
      <c r="Q1166" s="6" t="str">
        <f>VLOOKUP(Tableau1[[#This Row],[SITES NAMES]],[1]Feuil1!$1:$1048576,9,FALSE)</f>
        <v>NO</v>
      </c>
      <c r="R1166" s="6" t="str">
        <f>VLOOKUP(Tableau1[[#This Row],[SITES NAMES]],[1]Feuil1!$1:$1048576,10,FALSE)</f>
        <v>NO</v>
      </c>
      <c r="S1166" s="6" t="s">
        <v>2469</v>
      </c>
      <c r="T1166" s="6" t="s">
        <v>2470</v>
      </c>
      <c r="U1166" s="6" t="s">
        <v>2471</v>
      </c>
      <c r="V1166" s="6" t="s">
        <v>2472</v>
      </c>
      <c r="W1166" s="6" t="s">
        <v>2473</v>
      </c>
      <c r="X1166" s="8" t="s">
        <v>2615</v>
      </c>
      <c r="Y1166" s="6" t="s">
        <v>3238</v>
      </c>
      <c r="Z1166" s="6" t="s">
        <v>3266</v>
      </c>
      <c r="AA1166" s="37" t="s">
        <v>3664</v>
      </c>
      <c r="AB1166" s="39" t="s">
        <v>3665</v>
      </c>
      <c r="AC1166" s="37" t="s">
        <v>3666</v>
      </c>
      <c r="AD1166" s="37" t="s">
        <v>3667</v>
      </c>
      <c r="AE1166" s="37" t="s">
        <v>3668</v>
      </c>
      <c r="AF1166" s="37" t="s">
        <v>3669</v>
      </c>
      <c r="AG1166" s="37" t="s">
        <v>3670</v>
      </c>
      <c r="AH1166" s="37" t="s">
        <v>3671</v>
      </c>
    </row>
    <row r="1167" spans="1:34" ht="14.45" hidden="1" customHeight="1" x14ac:dyDescent="0.25">
      <c r="A1167" s="6" t="s">
        <v>1825</v>
      </c>
      <c r="B1167" s="7">
        <v>0</v>
      </c>
      <c r="C1167" s="6" t="s">
        <v>1824</v>
      </c>
      <c r="D1167" s="6" t="s">
        <v>66</v>
      </c>
      <c r="E1167" s="6" t="s">
        <v>3234</v>
      </c>
      <c r="F1167" s="6" t="s">
        <v>3229</v>
      </c>
      <c r="G1167" s="8">
        <v>1.1647670000000001</v>
      </c>
      <c r="H1167" s="8">
        <v>6.1973690000000001</v>
      </c>
      <c r="I1167" s="6" t="s">
        <v>2497</v>
      </c>
      <c r="J1167" s="6" t="s">
        <v>2459</v>
      </c>
      <c r="K1167" s="6" t="s">
        <v>2460</v>
      </c>
      <c r="L1167" s="6" t="s">
        <v>1833</v>
      </c>
      <c r="M1167" s="6" t="s">
        <v>1510</v>
      </c>
      <c r="N1167" s="6" t="s">
        <v>3268</v>
      </c>
      <c r="O1167" s="6" t="s">
        <v>7</v>
      </c>
      <c r="P1167" s="6" t="str">
        <f>VLOOKUP(Tableau1[[#This Row],[SITES NAMES]],[1]Feuil1!$1:$1048576,8,FALSE)</f>
        <v>OK</v>
      </c>
      <c r="Q1167" s="6" t="str">
        <f>VLOOKUP(Tableau1[[#This Row],[SITES NAMES]],[1]Feuil1!$1:$1048576,9,FALSE)</f>
        <v>NO</v>
      </c>
      <c r="R1167" s="6" t="str">
        <f>VLOOKUP(Tableau1[[#This Row],[SITES NAMES]],[1]Feuil1!$1:$1048576,10,FALSE)</f>
        <v>NO</v>
      </c>
      <c r="S1167" s="6" t="s">
        <v>2469</v>
      </c>
      <c r="T1167" s="6" t="s">
        <v>2470</v>
      </c>
      <c r="U1167" s="6" t="s">
        <v>2471</v>
      </c>
      <c r="V1167" s="6" t="s">
        <v>2498</v>
      </c>
      <c r="W1167" s="6" t="s">
        <v>2476</v>
      </c>
      <c r="X1167" s="8" t="s">
        <v>3036</v>
      </c>
      <c r="Y1167" s="6" t="s">
        <v>3238</v>
      </c>
      <c r="Z1167" s="6" t="s">
        <v>3265</v>
      </c>
      <c r="AA1167" s="35" t="s">
        <v>3607</v>
      </c>
      <c r="AB1167" s="35" t="s">
        <v>3608</v>
      </c>
      <c r="AC1167" s="35" t="s">
        <v>3614</v>
      </c>
      <c r="AD1167" s="35" t="s">
        <v>3610</v>
      </c>
      <c r="AE1167" s="35" t="s">
        <v>3610</v>
      </c>
      <c r="AF1167" s="35" t="s">
        <v>3611</v>
      </c>
      <c r="AG1167" s="35" t="s">
        <v>3612</v>
      </c>
      <c r="AH1167" s="35" t="s">
        <v>3615</v>
      </c>
    </row>
    <row r="1168" spans="1:34" ht="14.45" hidden="1" customHeight="1" x14ac:dyDescent="0.25">
      <c r="A1168" s="6" t="s">
        <v>1827</v>
      </c>
      <c r="B1168" s="7">
        <v>43430</v>
      </c>
      <c r="C1168" s="6" t="s">
        <v>1826</v>
      </c>
      <c r="D1168" s="6" t="s">
        <v>66</v>
      </c>
      <c r="E1168" s="6" t="s">
        <v>3234</v>
      </c>
      <c r="F1168" s="6" t="s">
        <v>3229</v>
      </c>
      <c r="G1168" s="8">
        <v>1.16926</v>
      </c>
      <c r="H1168" s="8">
        <v>6.2043999999999997</v>
      </c>
      <c r="I1168" s="6" t="s">
        <v>2497</v>
      </c>
      <c r="J1168" s="6" t="s">
        <v>2459</v>
      </c>
      <c r="K1168" s="6" t="s">
        <v>2460</v>
      </c>
      <c r="L1168" s="6"/>
      <c r="M1168" s="6"/>
      <c r="N1168" s="6" t="s">
        <v>3268</v>
      </c>
      <c r="O1168" s="6" t="s">
        <v>1206</v>
      </c>
      <c r="P1168" s="6"/>
      <c r="Q1168" s="6" t="str">
        <f>VLOOKUP(Tableau1[[#This Row],[SITES NAMES]],[1]Feuil1!$1:$1048576,9,FALSE)</f>
        <v>YES</v>
      </c>
      <c r="R1168" s="6" t="str">
        <f>VLOOKUP(Tableau1[[#This Row],[SITES NAMES]],[1]Feuil1!$1:$1048576,10,FALSE)</f>
        <v>NO</v>
      </c>
      <c r="S1168" s="6" t="s">
        <v>2469</v>
      </c>
      <c r="T1168" s="6" t="s">
        <v>2470</v>
      </c>
      <c r="U1168" s="6" t="s">
        <v>2471</v>
      </c>
      <c r="V1168" s="6" t="s">
        <v>2464</v>
      </c>
      <c r="W1168" s="6" t="s">
        <v>2476</v>
      </c>
      <c r="X1168" s="8"/>
      <c r="Y1168" s="6" t="s">
        <v>3238</v>
      </c>
      <c r="Z1168" s="6" t="s">
        <v>3265</v>
      </c>
      <c r="AA1168" s="35" t="s">
        <v>3607</v>
      </c>
      <c r="AB1168" s="35" t="s">
        <v>3608</v>
      </c>
      <c r="AC1168" s="35" t="s">
        <v>3614</v>
      </c>
      <c r="AD1168" s="35" t="s">
        <v>3610</v>
      </c>
      <c r="AE1168" s="35" t="s">
        <v>3610</v>
      </c>
      <c r="AF1168" s="35" t="s">
        <v>3611</v>
      </c>
      <c r="AG1168" s="35" t="s">
        <v>3612</v>
      </c>
      <c r="AH1168" s="35" t="s">
        <v>3615</v>
      </c>
    </row>
    <row r="1169" spans="1:34" ht="14.45" hidden="1" customHeight="1" x14ac:dyDescent="0.3">
      <c r="A1169" s="6" t="s">
        <v>1157</v>
      </c>
      <c r="B1169" s="7">
        <v>0</v>
      </c>
      <c r="C1169" s="6" t="s">
        <v>1156</v>
      </c>
      <c r="D1169" s="6" t="s">
        <v>5</v>
      </c>
      <c r="E1169" s="6" t="s">
        <v>1003</v>
      </c>
      <c r="F1169" s="6" t="s">
        <v>3229</v>
      </c>
      <c r="G1169" s="8">
        <v>0.69015833299999996</v>
      </c>
      <c r="H1169" s="8">
        <v>7.2814899999999998</v>
      </c>
      <c r="I1169" s="6">
        <v>0</v>
      </c>
      <c r="J1169" s="6" t="s">
        <v>2459</v>
      </c>
      <c r="K1169" s="6" t="s">
        <v>2468</v>
      </c>
      <c r="L1169" s="6" t="s">
        <v>3592</v>
      </c>
      <c r="M1169" s="6"/>
      <c r="N1169" s="6" t="s">
        <v>2468</v>
      </c>
      <c r="O1169" s="6" t="s">
        <v>7</v>
      </c>
      <c r="P1169" s="6" t="str">
        <f>VLOOKUP(Tableau1[[#This Row],[SITES NAMES]],[1]Feuil1!$1:$1048576,8,FALSE)</f>
        <v>OK</v>
      </c>
      <c r="Q1169" s="6" t="str">
        <f>VLOOKUP(Tableau1[[#This Row],[SITES NAMES]],[1]Feuil1!$1:$1048576,9,FALSE)</f>
        <v>NO</v>
      </c>
      <c r="R1169" s="6" t="str">
        <f>VLOOKUP(Tableau1[[#This Row],[SITES NAMES]],[1]Feuil1!$1:$1048576,10,FALSE)</f>
        <v>NO</v>
      </c>
      <c r="S1169" s="6" t="s">
        <v>2469</v>
      </c>
      <c r="T1169" s="6" t="s">
        <v>2470</v>
      </c>
      <c r="U1169" s="6" t="s">
        <v>2471</v>
      </c>
      <c r="V1169" s="6"/>
      <c r="W1169" s="6"/>
      <c r="X1169" s="8"/>
      <c r="Y1169" s="6" t="s">
        <v>3241</v>
      </c>
      <c r="Z1169" s="6"/>
      <c r="AA1169" s="37" t="s">
        <v>3634</v>
      </c>
      <c r="AB1169" s="38" t="s">
        <v>3627</v>
      </c>
      <c r="AC1169" s="37" t="s">
        <v>3635</v>
      </c>
      <c r="AD1169" s="37" t="s">
        <v>3636</v>
      </c>
      <c r="AE1169" s="37" t="s">
        <v>3637</v>
      </c>
      <c r="AF1169" s="37" t="s">
        <v>3636</v>
      </c>
      <c r="AG1169" s="37" t="s">
        <v>3638</v>
      </c>
      <c r="AH1169" s="37" t="s">
        <v>3639</v>
      </c>
    </row>
    <row r="1170" spans="1:34" ht="14.45" hidden="1" customHeight="1" x14ac:dyDescent="0.3">
      <c r="A1170" s="6" t="s">
        <v>388</v>
      </c>
      <c r="B1170" s="7">
        <v>44847</v>
      </c>
      <c r="C1170" s="6" t="s">
        <v>387</v>
      </c>
      <c r="D1170" s="6" t="s">
        <v>320</v>
      </c>
      <c r="E1170" s="6" t="s">
        <v>321</v>
      </c>
      <c r="F1170" s="6" t="s">
        <v>3229</v>
      </c>
      <c r="G1170" s="8">
        <v>1.2208600044250499</v>
      </c>
      <c r="H1170" s="8">
        <v>8.2256698608398402</v>
      </c>
      <c r="I1170" s="6" t="s">
        <v>2477</v>
      </c>
      <c r="J1170" s="6" t="s">
        <v>2459</v>
      </c>
      <c r="K1170" s="6" t="s">
        <v>2468</v>
      </c>
      <c r="L1170" s="6" t="s">
        <v>319</v>
      </c>
      <c r="M1170" s="6"/>
      <c r="N1170" s="6" t="s">
        <v>2468</v>
      </c>
      <c r="O1170" s="6" t="s">
        <v>40</v>
      </c>
      <c r="P1170" s="6" t="str">
        <f>VLOOKUP(Tableau1[[#This Row],[SITES NAMES]],[1]Feuil1!$1:$1048576,8,FALSE)</f>
        <v>OK</v>
      </c>
      <c r="Q1170" s="6" t="str">
        <f>VLOOKUP(Tableau1[[#This Row],[SITES NAMES]],[1]Feuil1!$1:$1048576,9,FALSE)</f>
        <v>NO</v>
      </c>
      <c r="R1170" s="6" t="str">
        <f>VLOOKUP(Tableau1[[#This Row],[SITES NAMES]],[1]Feuil1!$1:$1048576,10,FALSE)</f>
        <v>YES</v>
      </c>
      <c r="S1170" s="6" t="s">
        <v>2469</v>
      </c>
      <c r="T1170" s="6" t="s">
        <v>2470</v>
      </c>
      <c r="U1170" s="6" t="s">
        <v>2480</v>
      </c>
      <c r="V1170" s="6" t="s">
        <v>2472</v>
      </c>
      <c r="W1170" s="6" t="s">
        <v>2473</v>
      </c>
      <c r="X1170" s="8">
        <v>70997257</v>
      </c>
      <c r="Y1170" s="6" t="s">
        <v>3238</v>
      </c>
      <c r="Z1170" s="6" t="s">
        <v>3266</v>
      </c>
      <c r="AA1170" s="37" t="s">
        <v>3664</v>
      </c>
      <c r="AB1170" s="39" t="s">
        <v>3665</v>
      </c>
      <c r="AC1170" s="37" t="s">
        <v>3666</v>
      </c>
      <c r="AD1170" s="37" t="s">
        <v>3667</v>
      </c>
      <c r="AE1170" s="37" t="s">
        <v>3668</v>
      </c>
      <c r="AF1170" s="37" t="s">
        <v>3669</v>
      </c>
      <c r="AG1170" s="37" t="s">
        <v>3670</v>
      </c>
      <c r="AH1170" s="37" t="s">
        <v>3671</v>
      </c>
    </row>
    <row r="1171" spans="1:34" ht="14.45" hidden="1" customHeight="1" x14ac:dyDescent="0.3">
      <c r="A1171" s="6" t="s">
        <v>2432</v>
      </c>
      <c r="B1171" s="7">
        <v>45136</v>
      </c>
      <c r="C1171" s="6" t="s">
        <v>2431</v>
      </c>
      <c r="D1171" s="6" t="s">
        <v>5</v>
      </c>
      <c r="E1171" s="6" t="s">
        <v>2333</v>
      </c>
      <c r="F1171" s="6" t="s">
        <v>3229</v>
      </c>
      <c r="G1171" s="8">
        <v>1.1112249999999999</v>
      </c>
      <c r="H1171" s="8">
        <v>6.3982501029999996</v>
      </c>
      <c r="I1171" s="6" t="s">
        <v>2477</v>
      </c>
      <c r="J1171" s="6" t="s">
        <v>2459</v>
      </c>
      <c r="K1171" s="6" t="s">
        <v>2468</v>
      </c>
      <c r="L1171" s="6" t="s">
        <v>3593</v>
      </c>
      <c r="M1171" s="6"/>
      <c r="N1171" s="6" t="s">
        <v>2468</v>
      </c>
      <c r="O1171" s="6" t="s">
        <v>40</v>
      </c>
      <c r="P1171" s="6" t="str">
        <f>VLOOKUP(Tableau1[[#This Row],[SITES NAMES]],[1]Feuil1!$1:$1048576,8,FALSE)</f>
        <v>NOK</v>
      </c>
      <c r="Q1171" s="6" t="str">
        <f>VLOOKUP(Tableau1[[#This Row],[SITES NAMES]],[1]Feuil1!$1:$1048576,9,FALSE)</f>
        <v>NO</v>
      </c>
      <c r="R1171" s="6" t="str">
        <f>VLOOKUP(Tableau1[[#This Row],[SITES NAMES]],[1]Feuil1!$1:$1048576,10,FALSE)</f>
        <v>NO</v>
      </c>
      <c r="S1171" s="6" t="s">
        <v>2469</v>
      </c>
      <c r="T1171" s="6" t="s">
        <v>2470</v>
      </c>
      <c r="U1171" s="6" t="s">
        <v>2480</v>
      </c>
      <c r="V1171" s="6" t="s">
        <v>2472</v>
      </c>
      <c r="W1171" s="6" t="s">
        <v>2473</v>
      </c>
      <c r="X1171" s="8">
        <v>70997337</v>
      </c>
      <c r="Y1171" s="6" t="s">
        <v>3241</v>
      </c>
      <c r="Z1171" t="e">
        <f>VLOOKUP(Tableau1[[#This Row],[SITES NAMES]],#REF!,3,FALSE)</f>
        <v>#REF!</v>
      </c>
      <c r="AA1171" s="37"/>
      <c r="AB1171" s="38" t="s">
        <v>3627</v>
      </c>
      <c r="AC1171" s="37" t="s">
        <v>3640</v>
      </c>
      <c r="AD1171" s="39" t="s">
        <v>3641</v>
      </c>
      <c r="AE1171" s="37"/>
      <c r="AF1171" s="39" t="s">
        <v>3641</v>
      </c>
      <c r="AG1171" s="37"/>
      <c r="AH1171" s="37" t="s">
        <v>3642</v>
      </c>
    </row>
    <row r="1172" spans="1:34" ht="14.45" hidden="1" customHeight="1" x14ac:dyDescent="0.3">
      <c r="A1172" s="6" t="s">
        <v>1159</v>
      </c>
      <c r="B1172" s="7">
        <v>45220</v>
      </c>
      <c r="C1172" s="6" t="s">
        <v>1158</v>
      </c>
      <c r="D1172" s="6" t="s">
        <v>5</v>
      </c>
      <c r="E1172" s="6" t="s">
        <v>1003</v>
      </c>
      <c r="F1172" s="6" t="s">
        <v>3229</v>
      </c>
      <c r="G1172" s="8">
        <v>0.57010000000000005</v>
      </c>
      <c r="H1172" s="8">
        <v>6.8376999999999999</v>
      </c>
      <c r="I1172" s="14" t="s">
        <v>2477</v>
      </c>
      <c r="J1172" s="6" t="s">
        <v>2459</v>
      </c>
      <c r="K1172" s="6" t="s">
        <v>2468</v>
      </c>
      <c r="L1172" s="6"/>
      <c r="M1172" s="6"/>
      <c r="N1172" s="6" t="s">
        <v>2468</v>
      </c>
      <c r="O1172" s="6" t="s">
        <v>7</v>
      </c>
      <c r="P1172" s="6" t="str">
        <f>VLOOKUP(Tableau1[[#This Row],[SITES NAMES]],[1]Feuil1!$1:$1048576,8,FALSE)</f>
        <v>OK</v>
      </c>
      <c r="Q1172" s="6" t="str">
        <f>VLOOKUP(Tableau1[[#This Row],[SITES NAMES]],[1]Feuil1!$1:$1048576,9,FALSE)</f>
        <v>NO</v>
      </c>
      <c r="R1172" s="6" t="str">
        <f>VLOOKUP(Tableau1[[#This Row],[SITES NAMES]],[1]Feuil1!$1:$1048576,10,FALSE)</f>
        <v>NO</v>
      </c>
      <c r="S1172" s="6" t="s">
        <v>2461</v>
      </c>
      <c r="T1172" s="6" t="s">
        <v>2462</v>
      </c>
      <c r="U1172" s="6" t="s">
        <v>2463</v>
      </c>
      <c r="V1172" s="6" t="s">
        <v>2472</v>
      </c>
      <c r="W1172" s="6" t="s">
        <v>2493</v>
      </c>
      <c r="X1172" s="8"/>
      <c r="Y1172" s="6" t="s">
        <v>3241</v>
      </c>
      <c r="Z1172" s="6"/>
      <c r="AA1172" s="37" t="s">
        <v>3634</v>
      </c>
      <c r="AB1172" s="38" t="s">
        <v>3627</v>
      </c>
      <c r="AC1172" s="37" t="s">
        <v>3635</v>
      </c>
      <c r="AD1172" s="37" t="s">
        <v>3636</v>
      </c>
      <c r="AE1172" s="37" t="s">
        <v>3637</v>
      </c>
      <c r="AF1172" s="37" t="s">
        <v>3636</v>
      </c>
      <c r="AG1172" s="37" t="s">
        <v>3638</v>
      </c>
      <c r="AH1172" s="37" t="s">
        <v>3639</v>
      </c>
    </row>
    <row r="1173" spans="1:34" ht="14.45" hidden="1" customHeight="1" x14ac:dyDescent="0.3">
      <c r="A1173" s="6" t="s">
        <v>127</v>
      </c>
      <c r="B1173" s="7">
        <v>43890</v>
      </c>
      <c r="C1173" s="6" t="s">
        <v>126</v>
      </c>
      <c r="D1173" s="6" t="s">
        <v>5</v>
      </c>
      <c r="E1173" s="6" t="s">
        <v>6</v>
      </c>
      <c r="F1173" s="6" t="s">
        <v>3229</v>
      </c>
      <c r="G1173" s="8">
        <v>1.510694</v>
      </c>
      <c r="H1173" s="8">
        <v>6.2855559999999997</v>
      </c>
      <c r="I1173" s="14" t="s">
        <v>2477</v>
      </c>
      <c r="J1173" s="6" t="s">
        <v>2459</v>
      </c>
      <c r="K1173" s="6" t="s">
        <v>2468</v>
      </c>
      <c r="L1173" s="6" t="s">
        <v>24</v>
      </c>
      <c r="M1173" s="6"/>
      <c r="N1173" s="6" t="s">
        <v>2468</v>
      </c>
      <c r="O1173" s="6" t="s">
        <v>7</v>
      </c>
      <c r="P1173" s="6" t="str">
        <f>VLOOKUP(Tableau1[[#This Row],[SITES NAMES]],[1]Feuil1!$1:$1048576,8,FALSE)</f>
        <v>OK</v>
      </c>
      <c r="Q1173" s="6" t="str">
        <f>VLOOKUP(Tableau1[[#This Row],[SITES NAMES]],[1]Feuil1!$1:$1048576,9,FALSE)</f>
        <v>NO</v>
      </c>
      <c r="R1173" s="6" t="str">
        <f>VLOOKUP(Tableau1[[#This Row],[SITES NAMES]],[1]Feuil1!$1:$1048576,10,FALSE)</f>
        <v>NO</v>
      </c>
      <c r="S1173" s="6" t="s">
        <v>2469</v>
      </c>
      <c r="T1173" s="6" t="s">
        <v>2470</v>
      </c>
      <c r="U1173" s="6" t="s">
        <v>2471</v>
      </c>
      <c r="V1173" s="6" t="s">
        <v>2472</v>
      </c>
      <c r="W1173" s="6" t="s">
        <v>2473</v>
      </c>
      <c r="X1173" s="8"/>
      <c r="Y1173" s="6" t="s">
        <v>3241</v>
      </c>
      <c r="Z1173" s="6"/>
      <c r="AA1173" s="37" t="s">
        <v>3626</v>
      </c>
      <c r="AB1173" s="38" t="s">
        <v>3627</v>
      </c>
      <c r="AC1173" s="37" t="s">
        <v>3633</v>
      </c>
      <c r="AD1173" s="37" t="s">
        <v>3628</v>
      </c>
      <c r="AE1173" s="37" t="s">
        <v>3629</v>
      </c>
      <c r="AF1173" s="39" t="s">
        <v>3630</v>
      </c>
      <c r="AG1173" s="37" t="s">
        <v>3631</v>
      </c>
      <c r="AH1173" s="37" t="s">
        <v>3632</v>
      </c>
    </row>
    <row r="1174" spans="1:34" ht="14.45" hidden="1" customHeight="1" x14ac:dyDescent="0.3">
      <c r="A1174" s="6" t="s">
        <v>2046</v>
      </c>
      <c r="B1174" s="7">
        <v>44635</v>
      </c>
      <c r="C1174" s="6" t="s">
        <v>2045</v>
      </c>
      <c r="D1174" s="6" t="s">
        <v>395</v>
      </c>
      <c r="E1174" s="6" t="s">
        <v>1965</v>
      </c>
      <c r="F1174" s="6" t="s">
        <v>3229</v>
      </c>
      <c r="G1174" s="8">
        <v>0.70718999999999999</v>
      </c>
      <c r="H1174" s="8">
        <v>10.37148</v>
      </c>
      <c r="I1174" s="6" t="s">
        <v>2477</v>
      </c>
      <c r="J1174" s="6" t="s">
        <v>2459</v>
      </c>
      <c r="K1174" s="6" t="s">
        <v>2468</v>
      </c>
      <c r="L1174" s="6"/>
      <c r="M1174" s="6"/>
      <c r="N1174" s="6" t="s">
        <v>2468</v>
      </c>
      <c r="O1174" s="6" t="s">
        <v>40</v>
      </c>
      <c r="P1174" s="6" t="str">
        <f>VLOOKUP(Tableau1[[#This Row],[SITES NAMES]],[1]Feuil1!$1:$1048576,8,FALSE)</f>
        <v>OK</v>
      </c>
      <c r="Q1174" s="6" t="str">
        <f>VLOOKUP(Tableau1[[#This Row],[SITES NAMES]],[1]Feuil1!$1:$1048576,9,FALSE)</f>
        <v>NO</v>
      </c>
      <c r="R1174" s="6" t="str">
        <f>VLOOKUP(Tableau1[[#This Row],[SITES NAMES]],[1]Feuil1!$1:$1048576,10,FALSE)</f>
        <v>YES</v>
      </c>
      <c r="S1174" s="6" t="s">
        <v>2469</v>
      </c>
      <c r="T1174" s="6" t="s">
        <v>2470</v>
      </c>
      <c r="U1174" s="6" t="s">
        <v>2480</v>
      </c>
      <c r="V1174" s="6" t="s">
        <v>2472</v>
      </c>
      <c r="W1174" s="6" t="s">
        <v>2473</v>
      </c>
      <c r="X1174" s="8" t="s">
        <v>3093</v>
      </c>
      <c r="Y1174" s="6" t="s">
        <v>3240</v>
      </c>
      <c r="Z1174" s="6" t="s">
        <v>3255</v>
      </c>
      <c r="AA1174" s="37" t="s">
        <v>3712</v>
      </c>
      <c r="AB1174" s="39" t="s">
        <v>3705</v>
      </c>
      <c r="AC1174" s="37" t="s">
        <v>3713</v>
      </c>
      <c r="AD1174" s="37" t="s">
        <v>3712</v>
      </c>
      <c r="AE1174" s="37" t="s">
        <v>3712</v>
      </c>
      <c r="AF1174" s="37" t="s">
        <v>3712</v>
      </c>
      <c r="AG1174" s="40" t="s">
        <v>3714</v>
      </c>
      <c r="AH1174" s="37" t="s">
        <v>3715</v>
      </c>
    </row>
    <row r="1175" spans="1:34" ht="14.45" hidden="1" customHeight="1" x14ac:dyDescent="0.3">
      <c r="A1175" s="6" t="s">
        <v>1161</v>
      </c>
      <c r="B1175" s="7">
        <v>0</v>
      </c>
      <c r="C1175" s="6" t="s">
        <v>1160</v>
      </c>
      <c r="D1175" s="6" t="s">
        <v>5</v>
      </c>
      <c r="E1175" s="6" t="s">
        <v>1003</v>
      </c>
      <c r="F1175" s="6" t="s">
        <v>3229</v>
      </c>
      <c r="G1175" s="8">
        <v>0.90402000000000005</v>
      </c>
      <c r="H1175" s="8">
        <v>6.7445500000000003</v>
      </c>
      <c r="I1175" s="6" t="s">
        <v>2477</v>
      </c>
      <c r="J1175" s="6" t="s">
        <v>2459</v>
      </c>
      <c r="K1175" s="6" t="s">
        <v>2468</v>
      </c>
      <c r="L1175" s="6" t="s">
        <v>3594</v>
      </c>
      <c r="M1175" s="6"/>
      <c r="N1175" s="6" t="s">
        <v>2468</v>
      </c>
      <c r="O1175" s="6" t="s">
        <v>40</v>
      </c>
      <c r="P1175" s="6" t="str">
        <f>VLOOKUP(Tableau1[[#This Row],[SITES NAMES]],[1]Feuil1!$1:$1048576,8,FALSE)</f>
        <v>OK</v>
      </c>
      <c r="Q1175" s="6" t="str">
        <f>VLOOKUP(Tableau1[[#This Row],[SITES NAMES]],[1]Feuil1!$1:$1048576,9,FALSE)</f>
        <v>NO</v>
      </c>
      <c r="R1175" s="6" t="str">
        <f>VLOOKUP(Tableau1[[#This Row],[SITES NAMES]],[1]Feuil1!$1:$1048576,10,FALSE)</f>
        <v>NO</v>
      </c>
      <c r="S1175" s="6" t="s">
        <v>2469</v>
      </c>
      <c r="T1175" s="6" t="s">
        <v>2470</v>
      </c>
      <c r="U1175" s="6" t="s">
        <v>2471</v>
      </c>
      <c r="V1175" s="6" t="s">
        <v>2472</v>
      </c>
      <c r="W1175" s="6" t="s">
        <v>2473</v>
      </c>
      <c r="X1175" s="8" t="s">
        <v>2893</v>
      </c>
      <c r="Y1175" s="6" t="s">
        <v>3241</v>
      </c>
      <c r="Z1175" t="e">
        <f>VLOOKUP(Tableau1[[#This Row],[SITES NAMES]],#REF!,3,FALSE)</f>
        <v>#REF!</v>
      </c>
      <c r="AA1175" s="37" t="s">
        <v>3634</v>
      </c>
      <c r="AB1175" s="38" t="s">
        <v>3627</v>
      </c>
      <c r="AC1175" s="37" t="s">
        <v>3635</v>
      </c>
      <c r="AD1175" s="37" t="s">
        <v>3636</v>
      </c>
      <c r="AE1175" s="37" t="s">
        <v>3637</v>
      </c>
      <c r="AF1175" s="37" t="s">
        <v>3636</v>
      </c>
      <c r="AG1175" s="37" t="s">
        <v>3638</v>
      </c>
      <c r="AH1175" s="37" t="s">
        <v>3639</v>
      </c>
    </row>
    <row r="1176" spans="1:34" ht="14.45" hidden="1" customHeight="1" x14ac:dyDescent="0.25">
      <c r="A1176" s="6" t="s">
        <v>1829</v>
      </c>
      <c r="B1176" s="7">
        <v>43440</v>
      </c>
      <c r="C1176" s="6" t="s">
        <v>1828</v>
      </c>
      <c r="D1176" s="6" t="s">
        <v>66</v>
      </c>
      <c r="E1176" s="6" t="s">
        <v>3234</v>
      </c>
      <c r="F1176" s="6" t="s">
        <v>3229</v>
      </c>
      <c r="G1176" s="8">
        <v>1.1508332999999999</v>
      </c>
      <c r="H1176" s="8">
        <v>6.1825277999999999</v>
      </c>
      <c r="I1176" s="6" t="s">
        <v>2497</v>
      </c>
      <c r="J1176" s="6" t="s">
        <v>2459</v>
      </c>
      <c r="K1176" s="6" t="s">
        <v>2460</v>
      </c>
      <c r="L1176" s="6" t="s">
        <v>1839</v>
      </c>
      <c r="M1176" s="6" t="s">
        <v>1831</v>
      </c>
      <c r="N1176" s="6" t="s">
        <v>3268</v>
      </c>
      <c r="O1176" s="6" t="s">
        <v>7</v>
      </c>
      <c r="P1176" s="6"/>
      <c r="Q1176" s="6" t="str">
        <f>VLOOKUP(Tableau1[[#This Row],[SITES NAMES]],[1]Feuil1!$1:$1048576,9,FALSE)</f>
        <v>NO</v>
      </c>
      <c r="R1176" s="6" t="str">
        <f>VLOOKUP(Tableau1[[#This Row],[SITES NAMES]],[1]Feuil1!$1:$1048576,10,FALSE)</f>
        <v>NO</v>
      </c>
      <c r="S1176" s="6" t="s">
        <v>3037</v>
      </c>
      <c r="T1176" s="6" t="s">
        <v>3017</v>
      </c>
      <c r="U1176" s="6" t="s">
        <v>3038</v>
      </c>
      <c r="V1176" s="6" t="s">
        <v>2478</v>
      </c>
      <c r="W1176" s="6" t="s">
        <v>2476</v>
      </c>
      <c r="X1176" s="8" t="s">
        <v>3039</v>
      </c>
      <c r="Y1176" s="6" t="s">
        <v>3238</v>
      </c>
      <c r="Z1176" s="6" t="s">
        <v>3265</v>
      </c>
      <c r="AA1176" s="35" t="s">
        <v>3607</v>
      </c>
      <c r="AB1176" s="35" t="s">
        <v>3608</v>
      </c>
      <c r="AC1176" s="35" t="s">
        <v>3614</v>
      </c>
      <c r="AD1176" s="35" t="s">
        <v>3610</v>
      </c>
      <c r="AE1176" s="35" t="s">
        <v>3610</v>
      </c>
      <c r="AF1176" s="35" t="s">
        <v>3611</v>
      </c>
      <c r="AG1176" s="35" t="s">
        <v>3612</v>
      </c>
      <c r="AH1176" s="35" t="s">
        <v>3615</v>
      </c>
    </row>
    <row r="1177" spans="1:34" ht="14.45" hidden="1" customHeight="1" x14ac:dyDescent="0.25">
      <c r="A1177" s="6" t="s">
        <v>1831</v>
      </c>
      <c r="B1177" s="7">
        <v>43395</v>
      </c>
      <c r="C1177" s="6" t="s">
        <v>1830</v>
      </c>
      <c r="D1177" s="6" t="s">
        <v>66</v>
      </c>
      <c r="E1177" s="6" t="s">
        <v>3234</v>
      </c>
      <c r="F1177" s="6" t="s">
        <v>3229</v>
      </c>
      <c r="G1177" s="8">
        <v>1.14527</v>
      </c>
      <c r="H1177" s="8">
        <v>6.1873399999999998</v>
      </c>
      <c r="I1177" s="6" t="s">
        <v>2497</v>
      </c>
      <c r="J1177" s="6" t="s">
        <v>2459</v>
      </c>
      <c r="K1177" s="6" t="s">
        <v>2460</v>
      </c>
      <c r="L1177" s="6" t="s">
        <v>1829</v>
      </c>
      <c r="M1177" s="6" t="s">
        <v>1759</v>
      </c>
      <c r="N1177" s="6" t="s">
        <v>3268</v>
      </c>
      <c r="O1177" s="6" t="s">
        <v>1206</v>
      </c>
      <c r="P1177" s="6"/>
      <c r="Q1177" s="6" t="str">
        <f>VLOOKUP(Tableau1[[#This Row],[SITES NAMES]],[1]Feuil1!$1:$1048576,9,FALSE)</f>
        <v>YES</v>
      </c>
      <c r="R1177" s="6" t="str">
        <f>VLOOKUP(Tableau1[[#This Row],[SITES NAMES]],[1]Feuil1!$1:$1048576,10,FALSE)</f>
        <v>NO</v>
      </c>
      <c r="S1177" s="6" t="s">
        <v>2469</v>
      </c>
      <c r="T1177" s="6" t="s">
        <v>2470</v>
      </c>
      <c r="U1177" s="6" t="s">
        <v>2471</v>
      </c>
      <c r="V1177" s="6" t="s">
        <v>2464</v>
      </c>
      <c r="W1177" s="6" t="s">
        <v>2476</v>
      </c>
      <c r="X1177" s="8"/>
      <c r="Y1177" s="6" t="s">
        <v>3238</v>
      </c>
      <c r="Z1177" s="6" t="s">
        <v>3265</v>
      </c>
      <c r="AA1177" s="35" t="s">
        <v>3607</v>
      </c>
      <c r="AB1177" s="35" t="s">
        <v>3608</v>
      </c>
      <c r="AC1177" s="35" t="s">
        <v>3614</v>
      </c>
      <c r="AD1177" s="35" t="s">
        <v>3610</v>
      </c>
      <c r="AE1177" s="35" t="s">
        <v>3610</v>
      </c>
      <c r="AF1177" s="35" t="s">
        <v>3611</v>
      </c>
      <c r="AG1177" s="35" t="s">
        <v>3612</v>
      </c>
      <c r="AH1177" s="35" t="s">
        <v>3615</v>
      </c>
    </row>
    <row r="1178" spans="1:34" ht="14.45" hidden="1" customHeight="1" x14ac:dyDescent="0.3">
      <c r="A1178" s="6" t="s">
        <v>560</v>
      </c>
      <c r="B1178" s="7">
        <v>0</v>
      </c>
      <c r="C1178" s="6" t="s">
        <v>559</v>
      </c>
      <c r="D1178" s="6" t="s">
        <v>395</v>
      </c>
      <c r="E1178" s="6" t="s">
        <v>396</v>
      </c>
      <c r="F1178" s="6" t="s">
        <v>3229</v>
      </c>
      <c r="G1178" s="8">
        <v>0.1980722</v>
      </c>
      <c r="H1178" s="8">
        <v>10.8105639</v>
      </c>
      <c r="I1178" s="6" t="s">
        <v>2486</v>
      </c>
      <c r="J1178" s="6" t="s">
        <v>2459</v>
      </c>
      <c r="K1178" s="6" t="s">
        <v>2460</v>
      </c>
      <c r="L1178" s="6" t="s">
        <v>499</v>
      </c>
      <c r="M1178" s="6" t="s">
        <v>3301</v>
      </c>
      <c r="N1178" s="6" t="s">
        <v>3268</v>
      </c>
      <c r="O1178" s="6" t="s">
        <v>7</v>
      </c>
      <c r="P1178" s="6" t="str">
        <f>VLOOKUP(Tableau1[[#This Row],[SITES NAMES]],[1]Feuil1!$1:$1048576,8,FALSE)</f>
        <v>OK</v>
      </c>
      <c r="Q1178" s="6" t="str">
        <f>VLOOKUP(Tableau1[[#This Row],[SITES NAMES]],[1]Feuil1!$1:$1048576,9,FALSE)</f>
        <v>NO</v>
      </c>
      <c r="R1178" s="6" t="str">
        <f>VLOOKUP(Tableau1[[#This Row],[SITES NAMES]],[1]Feuil1!$1:$1048576,10,FALSE)</f>
        <v>NO</v>
      </c>
      <c r="S1178" s="6" t="s">
        <v>2469</v>
      </c>
      <c r="T1178" s="6" t="s">
        <v>2470</v>
      </c>
      <c r="U1178" s="6" t="s">
        <v>2480</v>
      </c>
      <c r="V1178" s="6" t="s">
        <v>2464</v>
      </c>
      <c r="W1178" s="6" t="s">
        <v>2465</v>
      </c>
      <c r="X1178" s="8" t="s">
        <v>2678</v>
      </c>
      <c r="Y1178" s="6" t="s">
        <v>3240</v>
      </c>
      <c r="Z1178" s="6" t="s">
        <v>3255</v>
      </c>
      <c r="AA1178" s="37" t="s">
        <v>3704</v>
      </c>
      <c r="AB1178" s="39" t="s">
        <v>3705</v>
      </c>
      <c r="AC1178" s="37" t="s">
        <v>3706</v>
      </c>
      <c r="AD1178" s="37" t="s">
        <v>3707</v>
      </c>
      <c r="AE1178" s="37" t="s">
        <v>3708</v>
      </c>
      <c r="AF1178" s="37" t="s">
        <v>3709</v>
      </c>
      <c r="AG1178" s="46" t="s">
        <v>3710</v>
      </c>
      <c r="AH1178" s="37" t="s">
        <v>3711</v>
      </c>
    </row>
    <row r="1179" spans="1:34" ht="14.45" hidden="1" customHeight="1" x14ac:dyDescent="0.25">
      <c r="A1179" s="6" t="s">
        <v>1833</v>
      </c>
      <c r="B1179" s="7">
        <v>44547</v>
      </c>
      <c r="C1179" s="6" t="s">
        <v>1832</v>
      </c>
      <c r="D1179" s="6" t="s">
        <v>66</v>
      </c>
      <c r="E1179" s="6" t="s">
        <v>3234</v>
      </c>
      <c r="F1179" s="6" t="s">
        <v>3229</v>
      </c>
      <c r="G1179" s="8">
        <v>1.0962274999999999</v>
      </c>
      <c r="H1179" s="8">
        <v>6.2222109999999997</v>
      </c>
      <c r="I1179" s="6" t="s">
        <v>2497</v>
      </c>
      <c r="J1179" s="6" t="s">
        <v>2459</v>
      </c>
      <c r="K1179" s="6" t="s">
        <v>2460</v>
      </c>
      <c r="L1179" s="6" t="s">
        <v>1632</v>
      </c>
      <c r="M1179" s="6" t="s">
        <v>3595</v>
      </c>
      <c r="N1179" s="6" t="s">
        <v>3268</v>
      </c>
      <c r="O1179" s="6" t="s">
        <v>7</v>
      </c>
      <c r="P1179" s="6" t="str">
        <f>VLOOKUP(Tableau1[[#This Row],[SITES NAMES]],[1]Feuil1!$1:$1048576,8,FALSE)</f>
        <v>OK</v>
      </c>
      <c r="Q1179" s="6" t="str">
        <f>VLOOKUP(Tableau1[[#This Row],[SITES NAMES]],[1]Feuil1!$1:$1048576,9,FALSE)</f>
        <v>NO</v>
      </c>
      <c r="R1179" s="6" t="str">
        <f>VLOOKUP(Tableau1[[#This Row],[SITES NAMES]],[1]Feuil1!$1:$1048576,10,FALSE)</f>
        <v>YES</v>
      </c>
      <c r="S1179" s="6" t="s">
        <v>2469</v>
      </c>
      <c r="T1179" s="6" t="s">
        <v>2470</v>
      </c>
      <c r="U1179" s="6" t="s">
        <v>2471</v>
      </c>
      <c r="V1179" s="6" t="s">
        <v>2464</v>
      </c>
      <c r="W1179" s="6" t="s">
        <v>2465</v>
      </c>
      <c r="X1179" s="8" t="s">
        <v>3040</v>
      </c>
      <c r="Y1179" s="6" t="s">
        <v>3238</v>
      </c>
      <c r="Z1179" s="6" t="s">
        <v>3265</v>
      </c>
      <c r="AA1179" s="35" t="s">
        <v>3607</v>
      </c>
      <c r="AB1179" s="35" t="s">
        <v>3608</v>
      </c>
      <c r="AC1179" s="35" t="s">
        <v>3614</v>
      </c>
      <c r="AD1179" s="35" t="s">
        <v>3610</v>
      </c>
      <c r="AE1179" s="35" t="s">
        <v>3610</v>
      </c>
      <c r="AF1179" s="35" t="s">
        <v>3611</v>
      </c>
      <c r="AG1179" s="35" t="s">
        <v>3612</v>
      </c>
      <c r="AH1179" s="35" t="s">
        <v>3615</v>
      </c>
    </row>
    <row r="1180" spans="1:34" ht="14.45" hidden="1" customHeight="1" x14ac:dyDescent="0.25">
      <c r="A1180" s="6" t="s">
        <v>1835</v>
      </c>
      <c r="B1180" s="7">
        <v>43164</v>
      </c>
      <c r="C1180" s="6" t="s">
        <v>1834</v>
      </c>
      <c r="D1180" s="6" t="s">
        <v>66</v>
      </c>
      <c r="E1180" s="6" t="s">
        <v>3234</v>
      </c>
      <c r="F1180" s="6" t="s">
        <v>3229</v>
      </c>
      <c r="G1180" s="8">
        <v>1.11266</v>
      </c>
      <c r="H1180" s="8">
        <v>6.2160599999999997</v>
      </c>
      <c r="I1180" s="6" t="s">
        <v>2497</v>
      </c>
      <c r="J1180" s="6" t="s">
        <v>2459</v>
      </c>
      <c r="K1180" s="6" t="s">
        <v>2460</v>
      </c>
      <c r="L1180" s="6"/>
      <c r="M1180" s="6"/>
      <c r="N1180" s="6" t="s">
        <v>3268</v>
      </c>
      <c r="O1180" s="6" t="s">
        <v>7</v>
      </c>
      <c r="P1180" s="6" t="str">
        <f>VLOOKUP(Tableau1[[#This Row],[SITES NAMES]],[1]Feuil1!$1:$1048576,8,FALSE)</f>
        <v>OK</v>
      </c>
      <c r="Q1180" s="6" t="str">
        <f>VLOOKUP(Tableau1[[#This Row],[SITES NAMES]],[1]Feuil1!$1:$1048576,9,FALSE)</f>
        <v>NO</v>
      </c>
      <c r="R1180" s="6" t="str">
        <f>VLOOKUP(Tableau1[[#This Row],[SITES NAMES]],[1]Feuil1!$1:$1048576,10,FALSE)</f>
        <v>YES</v>
      </c>
      <c r="S1180" s="6" t="s">
        <v>2469</v>
      </c>
      <c r="T1180" s="6" t="s">
        <v>2470</v>
      </c>
      <c r="U1180" s="6" t="s">
        <v>2471</v>
      </c>
      <c r="V1180" s="6" t="s">
        <v>2478</v>
      </c>
      <c r="W1180" s="6" t="s">
        <v>2476</v>
      </c>
      <c r="X1180" s="8">
        <v>70997228</v>
      </c>
      <c r="Y1180" s="6" t="s">
        <v>3238</v>
      </c>
      <c r="Z1180" s="6" t="s">
        <v>3265</v>
      </c>
      <c r="AA1180" s="35" t="s">
        <v>3607</v>
      </c>
      <c r="AB1180" s="35" t="s">
        <v>3608</v>
      </c>
      <c r="AC1180" s="35" t="s">
        <v>3614</v>
      </c>
      <c r="AD1180" s="35" t="s">
        <v>3610</v>
      </c>
      <c r="AE1180" s="35" t="s">
        <v>3610</v>
      </c>
      <c r="AF1180" s="35" t="s">
        <v>3611</v>
      </c>
      <c r="AG1180" s="35" t="s">
        <v>3612</v>
      </c>
      <c r="AH1180" s="35" t="s">
        <v>3615</v>
      </c>
    </row>
    <row r="1181" spans="1:34" ht="14.45" hidden="1" customHeight="1" x14ac:dyDescent="0.3">
      <c r="A1181" s="6" t="s">
        <v>823</v>
      </c>
      <c r="B1181" s="7">
        <v>44742</v>
      </c>
      <c r="C1181" s="6" t="s">
        <v>822</v>
      </c>
      <c r="D1181" s="6" t="s">
        <v>657</v>
      </c>
      <c r="E1181" s="6" t="s">
        <v>3237</v>
      </c>
      <c r="F1181" s="6" t="s">
        <v>3229</v>
      </c>
      <c r="G1181" s="8">
        <v>1.1088800000000001</v>
      </c>
      <c r="H1181" s="8">
        <v>9.7683499999999999</v>
      </c>
      <c r="I1181" s="6" t="s">
        <v>2477</v>
      </c>
      <c r="J1181" s="6" t="s">
        <v>2459</v>
      </c>
      <c r="K1181" s="6" t="s">
        <v>2460</v>
      </c>
      <c r="L1181" s="6" t="s">
        <v>879</v>
      </c>
      <c r="M1181" s="6"/>
      <c r="N1181" s="6" t="s">
        <v>3268</v>
      </c>
      <c r="O1181" s="6" t="s">
        <v>7</v>
      </c>
      <c r="P1181" s="6" t="str">
        <f>VLOOKUP(Tableau1[[#This Row],[SITES NAMES]],[1]Feuil1!$1:$1048576,8,FALSE)</f>
        <v>OK</v>
      </c>
      <c r="Q1181" s="6" t="str">
        <f>VLOOKUP(Tableau1[[#This Row],[SITES NAMES]],[1]Feuil1!$1:$1048576,9,FALSE)</f>
        <v>NO</v>
      </c>
      <c r="R1181" s="6" t="str">
        <f>VLOOKUP(Tableau1[[#This Row],[SITES NAMES]],[1]Feuil1!$1:$1048576,10,FALSE)</f>
        <v>YES</v>
      </c>
      <c r="S1181" s="6" t="s">
        <v>2461</v>
      </c>
      <c r="T1181" s="6" t="s">
        <v>2462</v>
      </c>
      <c r="U1181" s="6" t="s">
        <v>2463</v>
      </c>
      <c r="V1181" s="6" t="s">
        <v>2472</v>
      </c>
      <c r="W1181" s="6" t="s">
        <v>2473</v>
      </c>
      <c r="X1181" s="8" t="s">
        <v>2779</v>
      </c>
      <c r="Y1181" s="6" t="s">
        <v>3239</v>
      </c>
      <c r="Z1181" s="6" t="s">
        <v>3253</v>
      </c>
      <c r="AA1181" s="37" t="s">
        <v>3692</v>
      </c>
      <c r="AB1181" s="38" t="s">
        <v>3683</v>
      </c>
      <c r="AC1181" s="39" t="s">
        <v>3693</v>
      </c>
      <c r="AD1181" s="39" t="s">
        <v>3694</v>
      </c>
      <c r="AE1181" s="37" t="s">
        <v>3695</v>
      </c>
      <c r="AF1181" s="39" t="s">
        <v>3696</v>
      </c>
      <c r="AG1181" s="40" t="s">
        <v>3685</v>
      </c>
      <c r="AH1181" s="37" t="s">
        <v>3697</v>
      </c>
    </row>
    <row r="1182" spans="1:34" ht="14.45" hidden="1" customHeight="1" x14ac:dyDescent="0.3">
      <c r="A1182" s="6" t="s">
        <v>755</v>
      </c>
      <c r="B1182" s="7">
        <v>0</v>
      </c>
      <c r="C1182" s="6" t="s">
        <v>754</v>
      </c>
      <c r="D1182" s="6" t="s">
        <v>657</v>
      </c>
      <c r="E1182" s="6" t="s">
        <v>658</v>
      </c>
      <c r="F1182" s="6" t="s">
        <v>3229</v>
      </c>
      <c r="G1182" s="8">
        <v>0.48646</v>
      </c>
      <c r="H1182" s="8">
        <v>9.0364699999999996</v>
      </c>
      <c r="I1182" s="6" t="s">
        <v>2477</v>
      </c>
      <c r="J1182" s="6" t="s">
        <v>2459</v>
      </c>
      <c r="K1182" s="6" t="s">
        <v>2468</v>
      </c>
      <c r="L1182" s="6" t="s">
        <v>664</v>
      </c>
      <c r="M1182" s="6"/>
      <c r="N1182" s="6" t="s">
        <v>2468</v>
      </c>
      <c r="O1182" s="6" t="s">
        <v>40</v>
      </c>
      <c r="P1182" s="6" t="str">
        <f>VLOOKUP(Tableau1[[#This Row],[SITES NAMES]],[1]Feuil1!$1:$1048576,8,FALSE)</f>
        <v>OK</v>
      </c>
      <c r="Q1182" s="6" t="str">
        <f>VLOOKUP(Tableau1[[#This Row],[SITES NAMES]],[1]Feuil1!$1:$1048576,9,FALSE)</f>
        <v>NO</v>
      </c>
      <c r="R1182" s="6" t="str">
        <f>VLOOKUP(Tableau1[[#This Row],[SITES NAMES]],[1]Feuil1!$1:$1048576,10,FALSE)</f>
        <v>NO</v>
      </c>
      <c r="S1182" s="6" t="s">
        <v>2469</v>
      </c>
      <c r="T1182" s="6" t="s">
        <v>2470</v>
      </c>
      <c r="U1182" s="6" t="s">
        <v>2471</v>
      </c>
      <c r="V1182" s="6" t="s">
        <v>2472</v>
      </c>
      <c r="W1182" s="6" t="s">
        <v>2473</v>
      </c>
      <c r="X1182" s="8" t="s">
        <v>2753</v>
      </c>
      <c r="Y1182" s="6" t="s">
        <v>3239</v>
      </c>
      <c r="Z1182" s="6" t="s">
        <v>3253</v>
      </c>
      <c r="AA1182" s="38" t="s">
        <v>3682</v>
      </c>
      <c r="AB1182" s="38" t="s">
        <v>3683</v>
      </c>
      <c r="AC1182" s="38" t="s">
        <v>3684</v>
      </c>
      <c r="AD1182" s="38" t="s">
        <v>3682</v>
      </c>
      <c r="AE1182" s="38" t="s">
        <v>3682</v>
      </c>
      <c r="AF1182" s="38" t="s">
        <v>3682</v>
      </c>
      <c r="AG1182" s="40" t="s">
        <v>3685</v>
      </c>
      <c r="AH1182" s="37" t="s">
        <v>3686</v>
      </c>
    </row>
    <row r="1183" spans="1:34" ht="14.45" hidden="1" customHeight="1" x14ac:dyDescent="0.3">
      <c r="A1183" s="6" t="s">
        <v>805</v>
      </c>
      <c r="B1183" s="7">
        <v>43720</v>
      </c>
      <c r="C1183" s="6" t="s">
        <v>804</v>
      </c>
      <c r="D1183" s="6" t="s">
        <v>657</v>
      </c>
      <c r="E1183" s="6" t="s">
        <v>758</v>
      </c>
      <c r="F1183" s="6" t="s">
        <v>3229</v>
      </c>
      <c r="G1183" s="8">
        <v>0.81496000000000002</v>
      </c>
      <c r="H1183" s="8">
        <v>10.293469999999999</v>
      </c>
      <c r="I1183" s="6" t="s">
        <v>2477</v>
      </c>
      <c r="J1183" s="6" t="s">
        <v>2459</v>
      </c>
      <c r="K1183" s="6" t="s">
        <v>2468</v>
      </c>
      <c r="L1183" s="6" t="s">
        <v>2003</v>
      </c>
      <c r="M1183" s="6"/>
      <c r="N1183" s="6" t="s">
        <v>2468</v>
      </c>
      <c r="O1183" s="6" t="s">
        <v>40</v>
      </c>
      <c r="P1183" s="6" t="str">
        <f>VLOOKUP(Tableau1[[#This Row],[SITES NAMES]],[1]Feuil1!$1:$1048576,8,FALSE)</f>
        <v>OK</v>
      </c>
      <c r="Q1183" s="6" t="str">
        <f>VLOOKUP(Tableau1[[#This Row],[SITES NAMES]],[1]Feuil1!$1:$1048576,9,FALSE)</f>
        <v>NO</v>
      </c>
      <c r="R1183" s="6" t="str">
        <f>VLOOKUP(Tableau1[[#This Row],[SITES NAMES]],[1]Feuil1!$1:$1048576,10,FALSE)</f>
        <v>NO</v>
      </c>
      <c r="S1183" s="6" t="s">
        <v>2469</v>
      </c>
      <c r="T1183" s="6" t="s">
        <v>2470</v>
      </c>
      <c r="U1183" s="6" t="s">
        <v>2471</v>
      </c>
      <c r="V1183" s="6" t="s">
        <v>2472</v>
      </c>
      <c r="W1183" s="6" t="s">
        <v>2473</v>
      </c>
      <c r="X1183" s="8" t="s">
        <v>2773</v>
      </c>
      <c r="Y1183" s="6" t="s">
        <v>3239</v>
      </c>
      <c r="Z1183" s="6" t="s">
        <v>3253</v>
      </c>
      <c r="AA1183" s="37" t="s">
        <v>3687</v>
      </c>
      <c r="AB1183" s="38" t="s">
        <v>3683</v>
      </c>
      <c r="AC1183" s="37" t="s">
        <v>3688</v>
      </c>
      <c r="AD1183" s="37" t="s">
        <v>3687</v>
      </c>
      <c r="AE1183" s="37" t="s">
        <v>3689</v>
      </c>
      <c r="AF1183" s="39" t="s">
        <v>3690</v>
      </c>
      <c r="AG1183" s="40" t="s">
        <v>3685</v>
      </c>
      <c r="AH1183" s="37" t="s">
        <v>3691</v>
      </c>
    </row>
    <row r="1184" spans="1:34" ht="14.45" hidden="1" customHeight="1" x14ac:dyDescent="0.3">
      <c r="A1184" s="6" t="s">
        <v>390</v>
      </c>
      <c r="B1184" s="7">
        <v>0</v>
      </c>
      <c r="C1184" s="6" t="s">
        <v>389</v>
      </c>
      <c r="D1184" s="6" t="s">
        <v>320</v>
      </c>
      <c r="E1184" s="6" t="s">
        <v>321</v>
      </c>
      <c r="F1184" s="6" t="s">
        <v>3229</v>
      </c>
      <c r="G1184" s="8">
        <v>1.0815300000000001</v>
      </c>
      <c r="H1184" s="8">
        <v>8.3071099999999998</v>
      </c>
      <c r="I1184" s="6" t="s">
        <v>2477</v>
      </c>
      <c r="J1184" s="6" t="s">
        <v>2459</v>
      </c>
      <c r="K1184" s="6" t="s">
        <v>2460</v>
      </c>
      <c r="L1184" s="6" t="s">
        <v>319</v>
      </c>
      <c r="M1184" s="6" t="s">
        <v>321</v>
      </c>
      <c r="N1184" s="6" t="s">
        <v>3268</v>
      </c>
      <c r="O1184" s="6" t="s">
        <v>7</v>
      </c>
      <c r="P1184" s="6" t="str">
        <f>VLOOKUP(Tableau1[[#This Row],[SITES NAMES]],[1]Feuil1!$1:$1048576,8,FALSE)</f>
        <v>OK</v>
      </c>
      <c r="Q1184" s="6" t="str">
        <f>VLOOKUP(Tableau1[[#This Row],[SITES NAMES]],[1]Feuil1!$1:$1048576,9,FALSE)</f>
        <v>NO</v>
      </c>
      <c r="R1184" s="6" t="str">
        <f>VLOOKUP(Tableau1[[#This Row],[SITES NAMES]],[1]Feuil1!$1:$1048576,10,FALSE)</f>
        <v>NO</v>
      </c>
      <c r="S1184" s="6" t="s">
        <v>2461</v>
      </c>
      <c r="T1184" s="6" t="s">
        <v>2462</v>
      </c>
      <c r="U1184" s="6" t="s">
        <v>2463</v>
      </c>
      <c r="V1184" s="6" t="s">
        <v>2472</v>
      </c>
      <c r="W1184" s="6" t="s">
        <v>2473</v>
      </c>
      <c r="X1184" s="8" t="s">
        <v>2616</v>
      </c>
      <c r="Y1184" s="6" t="s">
        <v>3238</v>
      </c>
      <c r="Z1184" s="6" t="s">
        <v>3266</v>
      </c>
      <c r="AA1184" s="37" t="s">
        <v>3664</v>
      </c>
      <c r="AB1184" s="39" t="s">
        <v>3665</v>
      </c>
      <c r="AC1184" s="37" t="s">
        <v>3666</v>
      </c>
      <c r="AD1184" s="37" t="s">
        <v>3667</v>
      </c>
      <c r="AE1184" s="37" t="s">
        <v>3668</v>
      </c>
      <c r="AF1184" s="37" t="s">
        <v>3669</v>
      </c>
      <c r="AG1184" s="37" t="s">
        <v>3670</v>
      </c>
      <c r="AH1184" s="37" t="s">
        <v>3671</v>
      </c>
    </row>
    <row r="1185" spans="1:34" ht="14.45" hidden="1" customHeight="1" x14ac:dyDescent="0.3">
      <c r="A1185" s="6" t="s">
        <v>640</v>
      </c>
      <c r="B1185" s="7">
        <v>0</v>
      </c>
      <c r="C1185" s="6" t="s">
        <v>639</v>
      </c>
      <c r="D1185" s="6" t="s">
        <v>132</v>
      </c>
      <c r="E1185" s="6" t="s">
        <v>565</v>
      </c>
      <c r="F1185" s="6" t="s">
        <v>3229</v>
      </c>
      <c r="G1185" s="8">
        <v>1.59467</v>
      </c>
      <c r="H1185" s="8">
        <v>8.3311499999999992</v>
      </c>
      <c r="I1185" s="6" t="s">
        <v>2477</v>
      </c>
      <c r="J1185" s="6" t="s">
        <v>2459</v>
      </c>
      <c r="K1185" s="6" t="s">
        <v>2468</v>
      </c>
      <c r="L1185" s="6" t="s">
        <v>636</v>
      </c>
      <c r="M1185" s="6"/>
      <c r="N1185" s="6" t="s">
        <v>2468</v>
      </c>
      <c r="O1185" s="6" t="s">
        <v>40</v>
      </c>
      <c r="P1185" s="6" t="str">
        <f>VLOOKUP(Tableau1[[#This Row],[SITES NAMES]],[1]Feuil1!$1:$1048576,8,FALSE)</f>
        <v>OK</v>
      </c>
      <c r="Q1185" s="6" t="str">
        <f>VLOOKUP(Tableau1[[#This Row],[SITES NAMES]],[1]Feuil1!$1:$1048576,9,FALSE)</f>
        <v>NO</v>
      </c>
      <c r="R1185" s="6" t="str">
        <f>VLOOKUP(Tableau1[[#This Row],[SITES NAMES]],[1]Feuil1!$1:$1048576,10,FALSE)</f>
        <v>NO</v>
      </c>
      <c r="S1185" s="6" t="s">
        <v>2461</v>
      </c>
      <c r="T1185" s="6" t="s">
        <v>2462</v>
      </c>
      <c r="U1185" s="6" t="s">
        <v>2463</v>
      </c>
      <c r="V1185" s="6" t="s">
        <v>2472</v>
      </c>
      <c r="W1185" s="6" t="s">
        <v>2473</v>
      </c>
      <c r="X1185" s="8" t="s">
        <v>2707</v>
      </c>
      <c r="Y1185" s="6" t="s">
        <v>3238</v>
      </c>
      <c r="Z1185" s="6" t="s">
        <v>3254</v>
      </c>
      <c r="AA1185" s="37" t="s">
        <v>3660</v>
      </c>
      <c r="AB1185" s="39" t="s">
        <v>3644</v>
      </c>
      <c r="AC1185" s="37" t="s">
        <v>3661</v>
      </c>
      <c r="AD1185" s="39" t="s">
        <v>3646</v>
      </c>
      <c r="AE1185" s="39" t="s">
        <v>3647</v>
      </c>
      <c r="AF1185" s="39" t="s">
        <v>3662</v>
      </c>
      <c r="AG1185" s="37" t="s">
        <v>3649</v>
      </c>
      <c r="AH1185" s="37" t="s">
        <v>3663</v>
      </c>
    </row>
    <row r="1186" spans="1:34" ht="14.45" hidden="1" customHeight="1" x14ac:dyDescent="0.3">
      <c r="A1186" s="6" t="s">
        <v>624</v>
      </c>
      <c r="B1186" s="7">
        <v>46022</v>
      </c>
      <c r="C1186" s="6" t="s">
        <v>623</v>
      </c>
      <c r="D1186" s="6" t="s">
        <v>132</v>
      </c>
      <c r="E1186" s="6" t="s">
        <v>565</v>
      </c>
      <c r="F1186" s="6" t="s">
        <v>3229</v>
      </c>
      <c r="G1186" s="8">
        <v>1.3794299999999999</v>
      </c>
      <c r="H1186" s="8">
        <v>8.0493400000000008</v>
      </c>
      <c r="I1186" s="6" t="e">
        <v>#N/A</v>
      </c>
      <c r="J1186" s="6" t="s">
        <v>2459</v>
      </c>
      <c r="K1186" s="6" t="s">
        <v>2468</v>
      </c>
      <c r="L1186" s="6"/>
      <c r="M1186" s="6"/>
      <c r="N1186" s="6" t="s">
        <v>2468</v>
      </c>
      <c r="O1186" s="6" t="s">
        <v>7</v>
      </c>
      <c r="P1186" s="6"/>
      <c r="Q1186" s="6"/>
      <c r="R1186" s="6"/>
      <c r="S1186" s="6"/>
      <c r="T1186" s="6"/>
      <c r="U1186" s="6"/>
      <c r="V1186" s="6"/>
      <c r="W1186" s="6"/>
      <c r="X1186" s="8"/>
      <c r="Y1186" s="6" t="s">
        <v>3238</v>
      </c>
      <c r="Z1186" s="6"/>
      <c r="AA1186" s="37" t="s">
        <v>3660</v>
      </c>
      <c r="AB1186" s="39" t="s">
        <v>3644</v>
      </c>
      <c r="AC1186" s="37" t="s">
        <v>3661</v>
      </c>
      <c r="AD1186" s="39" t="s">
        <v>3646</v>
      </c>
      <c r="AE1186" s="39" t="s">
        <v>3647</v>
      </c>
      <c r="AF1186" s="39" t="s">
        <v>3662</v>
      </c>
      <c r="AG1186" s="37" t="s">
        <v>3649</v>
      </c>
      <c r="AH1186" s="37" t="s">
        <v>3663</v>
      </c>
    </row>
    <row r="1187" spans="1:34" ht="14.45" hidden="1" customHeight="1" x14ac:dyDescent="0.3">
      <c r="A1187" s="6" t="s">
        <v>325</v>
      </c>
      <c r="B1187" s="7">
        <v>0</v>
      </c>
      <c r="C1187" s="6" t="s">
        <v>324</v>
      </c>
      <c r="D1187" s="6" t="s">
        <v>320</v>
      </c>
      <c r="E1187" s="6" t="s">
        <v>321</v>
      </c>
      <c r="F1187" s="6" t="s">
        <v>3229</v>
      </c>
      <c r="G1187" s="8">
        <v>0.66679999999999995</v>
      </c>
      <c r="H1187" s="8">
        <v>8.1846300000000003</v>
      </c>
      <c r="I1187" s="6" t="s">
        <v>2477</v>
      </c>
      <c r="J1187" s="6" t="s">
        <v>2459</v>
      </c>
      <c r="K1187" s="6" t="s">
        <v>2460</v>
      </c>
      <c r="L1187" s="6" t="s">
        <v>376</v>
      </c>
      <c r="M1187" s="6"/>
      <c r="N1187" s="6" t="s">
        <v>3268</v>
      </c>
      <c r="O1187" s="6" t="s">
        <v>18</v>
      </c>
      <c r="P1187" s="6" t="str">
        <f>VLOOKUP(Tableau1[[#This Row],[SITES NAMES]],[1]Feuil1!$1:$1048576,8,FALSE)</f>
        <v>OK</v>
      </c>
      <c r="Q1187" s="6" t="str">
        <f>VLOOKUP(Tableau1[[#This Row],[SITES NAMES]],[1]Feuil1!$1:$1048576,9,FALSE)</f>
        <v>NO</v>
      </c>
      <c r="R1187" s="6" t="str">
        <f>VLOOKUP(Tableau1[[#This Row],[SITES NAMES]],[1]Feuil1!$1:$1048576,10,FALSE)</f>
        <v>NO</v>
      </c>
      <c r="S1187" s="6" t="s">
        <v>2461</v>
      </c>
      <c r="T1187" s="6" t="s">
        <v>2462</v>
      </c>
      <c r="U1187" s="6" t="s">
        <v>2463</v>
      </c>
      <c r="V1187" s="6" t="s">
        <v>2472</v>
      </c>
      <c r="W1187" s="6" t="s">
        <v>2473</v>
      </c>
      <c r="X1187" s="8">
        <v>70997233</v>
      </c>
      <c r="Y1187" s="6" t="s">
        <v>3238</v>
      </c>
      <c r="Z1187" s="6" t="s">
        <v>3266</v>
      </c>
      <c r="AA1187" s="37" t="s">
        <v>3664</v>
      </c>
      <c r="AB1187" s="39" t="s">
        <v>3665</v>
      </c>
      <c r="AC1187" s="37" t="s">
        <v>3666</v>
      </c>
      <c r="AD1187" s="37" t="s">
        <v>3667</v>
      </c>
      <c r="AE1187" s="37" t="s">
        <v>3668</v>
      </c>
      <c r="AF1187" s="37" t="s">
        <v>3669</v>
      </c>
      <c r="AG1187" s="37" t="s">
        <v>3670</v>
      </c>
      <c r="AH1187" s="37" t="s">
        <v>3671</v>
      </c>
    </row>
    <row r="1188" spans="1:34" ht="14.45" hidden="1" customHeight="1" x14ac:dyDescent="0.3">
      <c r="A1188" s="6" t="s">
        <v>476</v>
      </c>
      <c r="B1188" s="7">
        <v>0</v>
      </c>
      <c r="C1188" s="6" t="s">
        <v>475</v>
      </c>
      <c r="D1188" s="6" t="s">
        <v>395</v>
      </c>
      <c r="E1188" s="6" t="s">
        <v>396</v>
      </c>
      <c r="F1188" s="6" t="s">
        <v>3229</v>
      </c>
      <c r="G1188" s="8">
        <v>0.29902000000000001</v>
      </c>
      <c r="H1188" s="8">
        <v>11.036519999999999</v>
      </c>
      <c r="I1188" s="6" t="s">
        <v>2477</v>
      </c>
      <c r="J1188" s="6" t="s">
        <v>2459</v>
      </c>
      <c r="K1188" s="6" t="s">
        <v>2468</v>
      </c>
      <c r="L1188" s="6" t="s">
        <v>3405</v>
      </c>
      <c r="M1188" s="6"/>
      <c r="N1188" s="6" t="s">
        <v>2468</v>
      </c>
      <c r="O1188" s="6" t="s">
        <v>18</v>
      </c>
      <c r="P1188" s="6" t="str">
        <f>VLOOKUP(Tableau1[[#This Row],[SITES NAMES]],[1]Feuil1!$1:$1048576,8,FALSE)</f>
        <v>NOK</v>
      </c>
      <c r="Q1188" s="6" t="str">
        <f>VLOOKUP(Tableau1[[#This Row],[SITES NAMES]],[1]Feuil1!$1:$1048576,9,FALSE)</f>
        <v>NO</v>
      </c>
      <c r="R1188" s="6" t="str">
        <f>VLOOKUP(Tableau1[[#This Row],[SITES NAMES]],[1]Feuil1!$1:$1048576,10,FALSE)</f>
        <v>NO</v>
      </c>
      <c r="S1188" s="6" t="s">
        <v>2461</v>
      </c>
      <c r="T1188" s="6" t="s">
        <v>2462</v>
      </c>
      <c r="U1188" s="6" t="s">
        <v>2463</v>
      </c>
      <c r="V1188" s="6" t="s">
        <v>2464</v>
      </c>
      <c r="W1188" s="6" t="s">
        <v>2473</v>
      </c>
      <c r="X1188" s="8">
        <v>70997234</v>
      </c>
      <c r="Y1188" s="6" t="s">
        <v>3240</v>
      </c>
      <c r="Z1188" s="6" t="s">
        <v>3255</v>
      </c>
      <c r="AA1188" s="37" t="s">
        <v>3704</v>
      </c>
      <c r="AB1188" s="39" t="s">
        <v>3705</v>
      </c>
      <c r="AC1188" s="37" t="s">
        <v>3706</v>
      </c>
      <c r="AD1188" s="37" t="s">
        <v>3707</v>
      </c>
      <c r="AE1188" s="37" t="s">
        <v>3708</v>
      </c>
      <c r="AF1188" s="37" t="s">
        <v>3709</v>
      </c>
      <c r="AG1188" s="46" t="s">
        <v>3710</v>
      </c>
      <c r="AH1188" s="37" t="s">
        <v>3711</v>
      </c>
    </row>
    <row r="1189" spans="1:34" ht="14.45" hidden="1" customHeight="1" x14ac:dyDescent="0.3">
      <c r="A1189" s="6" t="s">
        <v>2434</v>
      </c>
      <c r="B1189" s="7">
        <v>44739</v>
      </c>
      <c r="C1189" s="6" t="s">
        <v>2433</v>
      </c>
      <c r="D1189" s="6" t="s">
        <v>5</v>
      </c>
      <c r="E1189" s="6" t="s">
        <v>2333</v>
      </c>
      <c r="F1189" s="6" t="s">
        <v>3229</v>
      </c>
      <c r="G1189" s="8">
        <v>1.3436900000000001</v>
      </c>
      <c r="H1189" s="8">
        <v>6.4136199999999999</v>
      </c>
      <c r="I1189" s="6" t="s">
        <v>2477</v>
      </c>
      <c r="J1189" s="6" t="s">
        <v>2459</v>
      </c>
      <c r="K1189" s="6" t="s">
        <v>2468</v>
      </c>
      <c r="L1189" s="6" t="s">
        <v>3596</v>
      </c>
      <c r="M1189" s="6"/>
      <c r="N1189" s="6" t="s">
        <v>2468</v>
      </c>
      <c r="O1189" s="6" t="s">
        <v>7</v>
      </c>
      <c r="P1189" s="6" t="str">
        <f>VLOOKUP(Tableau1[[#This Row],[SITES NAMES]],[1]Feuil1!$1:$1048576,8,FALSE)</f>
        <v>OK</v>
      </c>
      <c r="Q1189" s="6" t="str">
        <f>VLOOKUP(Tableau1[[#This Row],[SITES NAMES]],[1]Feuil1!$1:$1048576,9,FALSE)</f>
        <v>NO</v>
      </c>
      <c r="R1189" s="6" t="str">
        <f>VLOOKUP(Tableau1[[#This Row],[SITES NAMES]],[1]Feuil1!$1:$1048576,10,FALSE)</f>
        <v>YES</v>
      </c>
      <c r="S1189" s="6" t="s">
        <v>2469</v>
      </c>
      <c r="T1189" s="6" t="s">
        <v>2470</v>
      </c>
      <c r="U1189" s="6" t="s">
        <v>2480</v>
      </c>
      <c r="V1189" s="6" t="s">
        <v>2472</v>
      </c>
      <c r="W1189" s="6" t="s">
        <v>2473</v>
      </c>
      <c r="X1189" s="8">
        <v>70996424</v>
      </c>
      <c r="Y1189" s="6" t="s">
        <v>3241</v>
      </c>
      <c r="Z1189" s="6"/>
      <c r="AA1189" s="37"/>
      <c r="AB1189" s="38" t="s">
        <v>3627</v>
      </c>
      <c r="AC1189" s="37" t="s">
        <v>3640</v>
      </c>
      <c r="AD1189" s="39" t="s">
        <v>3641</v>
      </c>
      <c r="AE1189" s="37"/>
      <c r="AF1189" s="39" t="s">
        <v>3641</v>
      </c>
      <c r="AG1189" s="37"/>
      <c r="AH1189" s="37" t="s">
        <v>3642</v>
      </c>
    </row>
    <row r="1190" spans="1:34" ht="14.45" hidden="1" customHeight="1" x14ac:dyDescent="0.3">
      <c r="A1190" s="6" t="s">
        <v>1163</v>
      </c>
      <c r="B1190" s="7">
        <v>0</v>
      </c>
      <c r="C1190" s="6" t="s">
        <v>1162</v>
      </c>
      <c r="D1190" s="6" t="s">
        <v>5</v>
      </c>
      <c r="E1190" s="6" t="s">
        <v>1003</v>
      </c>
      <c r="F1190" s="6" t="s">
        <v>3229</v>
      </c>
      <c r="G1190" s="8">
        <v>0.66088599999999997</v>
      </c>
      <c r="H1190" s="8">
        <v>6.9425569999999999</v>
      </c>
      <c r="I1190" s="6" t="s">
        <v>2497</v>
      </c>
      <c r="J1190" s="6" t="s">
        <v>2459</v>
      </c>
      <c r="K1190" s="6" t="s">
        <v>2468</v>
      </c>
      <c r="L1190" s="6" t="s">
        <v>3597</v>
      </c>
      <c r="M1190" s="6"/>
      <c r="N1190" s="6" t="s">
        <v>2468</v>
      </c>
      <c r="O1190" s="6" t="s">
        <v>7</v>
      </c>
      <c r="P1190" s="6" t="str">
        <f>VLOOKUP(Tableau1[[#This Row],[SITES NAMES]],[1]Feuil1!$1:$1048576,8,FALSE)</f>
        <v>OK</v>
      </c>
      <c r="Q1190" s="6" t="str">
        <f>VLOOKUP(Tableau1[[#This Row],[SITES NAMES]],[1]Feuil1!$1:$1048576,9,FALSE)</f>
        <v>NO</v>
      </c>
      <c r="R1190" s="6" t="str">
        <f>VLOOKUP(Tableau1[[#This Row],[SITES NAMES]],[1]Feuil1!$1:$1048576,10,FALSE)</f>
        <v>NO</v>
      </c>
      <c r="S1190" s="6" t="s">
        <v>2469</v>
      </c>
      <c r="T1190" s="6" t="s">
        <v>2470</v>
      </c>
      <c r="U1190" s="6" t="s">
        <v>2471</v>
      </c>
      <c r="V1190" s="6" t="s">
        <v>2472</v>
      </c>
      <c r="W1190" s="6" t="s">
        <v>2476</v>
      </c>
      <c r="X1190" s="8">
        <v>70997235</v>
      </c>
      <c r="Y1190" s="6" t="s">
        <v>3241</v>
      </c>
      <c r="Z1190" s="6"/>
      <c r="AA1190" s="37" t="s">
        <v>3634</v>
      </c>
      <c r="AB1190" s="38" t="s">
        <v>3627</v>
      </c>
      <c r="AC1190" s="37" t="s">
        <v>3635</v>
      </c>
      <c r="AD1190" s="37" t="s">
        <v>3636</v>
      </c>
      <c r="AE1190" s="37" t="s">
        <v>3637</v>
      </c>
      <c r="AF1190" s="37" t="s">
        <v>3636</v>
      </c>
      <c r="AG1190" s="37" t="s">
        <v>3638</v>
      </c>
      <c r="AH1190" s="37" t="s">
        <v>3639</v>
      </c>
    </row>
    <row r="1191" spans="1:34" ht="14.45" hidden="1" customHeight="1" x14ac:dyDescent="0.25">
      <c r="A1191" s="6" t="s">
        <v>1837</v>
      </c>
      <c r="B1191" s="7">
        <v>0</v>
      </c>
      <c r="C1191" s="6" t="s">
        <v>1836</v>
      </c>
      <c r="D1191" s="6" t="s">
        <v>66</v>
      </c>
      <c r="E1191" s="6" t="s">
        <v>3234</v>
      </c>
      <c r="F1191" s="18" t="s">
        <v>3230</v>
      </c>
      <c r="G1191" s="8">
        <v>1.1584369999999999</v>
      </c>
      <c r="H1191" s="8">
        <v>6.1747880000000004</v>
      </c>
      <c r="I1191" s="6" t="s">
        <v>2497</v>
      </c>
      <c r="J1191" s="6" t="s">
        <v>2459</v>
      </c>
      <c r="K1191" s="6" t="s">
        <v>2460</v>
      </c>
      <c r="L1191" s="6" t="s">
        <v>1734</v>
      </c>
      <c r="M1191" s="6"/>
      <c r="N1191" s="6" t="s">
        <v>3268</v>
      </c>
      <c r="O1191" s="6" t="s">
        <v>7</v>
      </c>
      <c r="P1191" s="6" t="str">
        <f>VLOOKUP(Tableau1[[#This Row],[SITES NAMES]],[1]Feuil1!$1:$1048576,8,FALSE)</f>
        <v>OK</v>
      </c>
      <c r="Q1191" s="6" t="str">
        <f>VLOOKUP(Tableau1[[#This Row],[SITES NAMES]],[1]Feuil1!$1:$1048576,9,FALSE)</f>
        <v>NO</v>
      </c>
      <c r="R1191" s="6" t="str">
        <f>VLOOKUP(Tableau1[[#This Row],[SITES NAMES]],[1]Feuil1!$1:$1048576,10,FALSE)</f>
        <v>NO</v>
      </c>
      <c r="S1191" s="6" t="s">
        <v>2469</v>
      </c>
      <c r="T1191" s="6" t="s">
        <v>2470</v>
      </c>
      <c r="U1191" s="6" t="s">
        <v>2480</v>
      </c>
      <c r="V1191" s="6" t="s">
        <v>2478</v>
      </c>
      <c r="W1191" s="6" t="s">
        <v>2476</v>
      </c>
      <c r="X1191" s="8">
        <v>70997236</v>
      </c>
      <c r="Y1191" s="6" t="s">
        <v>3238</v>
      </c>
      <c r="Z1191" s="6" t="s">
        <v>3265</v>
      </c>
      <c r="AA1191" s="35" t="s">
        <v>3607</v>
      </c>
      <c r="AB1191" s="35" t="s">
        <v>3608</v>
      </c>
      <c r="AC1191" s="35" t="s">
        <v>3614</v>
      </c>
      <c r="AD1191" s="35" t="s">
        <v>3610</v>
      </c>
      <c r="AE1191" s="35" t="s">
        <v>3610</v>
      </c>
      <c r="AF1191" s="35" t="s">
        <v>3611</v>
      </c>
      <c r="AG1191" s="35" t="s">
        <v>3612</v>
      </c>
      <c r="AH1191" s="35" t="s">
        <v>3615</v>
      </c>
    </row>
    <row r="1192" spans="1:34" ht="14.45" hidden="1" customHeight="1" x14ac:dyDescent="0.25">
      <c r="A1192" s="6" t="s">
        <v>1839</v>
      </c>
      <c r="B1192" s="7">
        <v>43440</v>
      </c>
      <c r="C1192" s="6" t="s">
        <v>1838</v>
      </c>
      <c r="D1192" s="6" t="s">
        <v>66</v>
      </c>
      <c r="E1192" s="6" t="s">
        <v>3234</v>
      </c>
      <c r="F1192" s="6" t="s">
        <v>3229</v>
      </c>
      <c r="G1192" s="8">
        <v>1.158911</v>
      </c>
      <c r="H1192" s="8">
        <v>6.181972</v>
      </c>
      <c r="I1192" s="6" t="s">
        <v>2497</v>
      </c>
      <c r="J1192" s="6" t="s">
        <v>2459</v>
      </c>
      <c r="K1192" s="6" t="s">
        <v>2460</v>
      </c>
      <c r="L1192" s="6" t="s">
        <v>1250</v>
      </c>
      <c r="M1192" s="6" t="s">
        <v>1238</v>
      </c>
      <c r="N1192" s="6" t="s">
        <v>3268</v>
      </c>
      <c r="O1192" s="6" t="s">
        <v>1206</v>
      </c>
      <c r="P1192" s="6"/>
      <c r="Q1192" s="6" t="str">
        <f>VLOOKUP(Tableau1[[#This Row],[SITES NAMES]],[1]Feuil1!$1:$1048576,9,FALSE)</f>
        <v>YES</v>
      </c>
      <c r="R1192" s="6" t="str">
        <f>VLOOKUP(Tableau1[[#This Row],[SITES NAMES]],[1]Feuil1!$1:$1048576,10,FALSE)</f>
        <v>NO</v>
      </c>
      <c r="S1192" s="6" t="s">
        <v>2469</v>
      </c>
      <c r="T1192" s="6" t="s">
        <v>2470</v>
      </c>
      <c r="U1192" s="6" t="s">
        <v>2480</v>
      </c>
      <c r="V1192" s="6" t="s">
        <v>2464</v>
      </c>
      <c r="W1192" s="6" t="s">
        <v>2476</v>
      </c>
      <c r="X1192" s="8"/>
      <c r="Y1192" s="6" t="s">
        <v>3238</v>
      </c>
      <c r="Z1192" s="6" t="s">
        <v>3265</v>
      </c>
      <c r="AA1192" s="35" t="s">
        <v>3607</v>
      </c>
      <c r="AB1192" s="35" t="s">
        <v>3608</v>
      </c>
      <c r="AC1192" s="35" t="s">
        <v>3614</v>
      </c>
      <c r="AD1192" s="35" t="s">
        <v>3610</v>
      </c>
      <c r="AE1192" s="35" t="s">
        <v>3610</v>
      </c>
      <c r="AF1192" s="35" t="s">
        <v>3611</v>
      </c>
      <c r="AG1192" s="35" t="s">
        <v>3612</v>
      </c>
      <c r="AH1192" s="35" t="s">
        <v>3615</v>
      </c>
    </row>
    <row r="1193" spans="1:34" ht="14.45" hidden="1" customHeight="1" x14ac:dyDescent="0.25">
      <c r="A1193" s="6" t="s">
        <v>1841</v>
      </c>
      <c r="B1193" s="7">
        <v>44721</v>
      </c>
      <c r="C1193" s="6" t="s">
        <v>1840</v>
      </c>
      <c r="D1193" s="6" t="s">
        <v>66</v>
      </c>
      <c r="E1193" s="6" t="s">
        <v>3234</v>
      </c>
      <c r="F1193" s="6" t="s">
        <v>3229</v>
      </c>
      <c r="G1193" s="8">
        <v>1.1473610000000001</v>
      </c>
      <c r="H1193" s="8">
        <v>6.175306</v>
      </c>
      <c r="I1193" s="6" t="s">
        <v>2497</v>
      </c>
      <c r="J1193" s="6" t="s">
        <v>2459</v>
      </c>
      <c r="K1193" s="6" t="s">
        <v>2468</v>
      </c>
      <c r="L1193" s="6" t="s">
        <v>1829</v>
      </c>
      <c r="M1193" s="6"/>
      <c r="N1193" s="6" t="s">
        <v>2468</v>
      </c>
      <c r="O1193" s="6" t="s">
        <v>7</v>
      </c>
      <c r="P1193" s="6" t="str">
        <f>VLOOKUP(Tableau1[[#This Row],[SITES NAMES]],[1]Feuil1!$1:$1048576,8,FALSE)</f>
        <v>OK</v>
      </c>
      <c r="Q1193" s="6" t="str">
        <f>VLOOKUP(Tableau1[[#This Row],[SITES NAMES]],[1]Feuil1!$1:$1048576,9,FALSE)</f>
        <v>NO</v>
      </c>
      <c r="R1193" s="6" t="str">
        <f>VLOOKUP(Tableau1[[#This Row],[SITES NAMES]],[1]Feuil1!$1:$1048576,10,FALSE)</f>
        <v>YES</v>
      </c>
      <c r="S1193" s="6" t="s">
        <v>2469</v>
      </c>
      <c r="T1193" s="6" t="s">
        <v>2470</v>
      </c>
      <c r="U1193" s="6" t="s">
        <v>2480</v>
      </c>
      <c r="V1193" s="6" t="s">
        <v>2464</v>
      </c>
      <c r="W1193" s="6" t="s">
        <v>2465</v>
      </c>
      <c r="X1193" s="8">
        <v>70996425</v>
      </c>
      <c r="Y1193" s="6" t="s">
        <v>3238</v>
      </c>
      <c r="Z1193" s="6" t="s">
        <v>3265</v>
      </c>
      <c r="AA1193" s="35" t="s">
        <v>3607</v>
      </c>
      <c r="AB1193" s="35" t="s">
        <v>3608</v>
      </c>
      <c r="AC1193" s="35" t="s">
        <v>3614</v>
      </c>
      <c r="AD1193" s="35" t="s">
        <v>3610</v>
      </c>
      <c r="AE1193" s="35" t="s">
        <v>3610</v>
      </c>
      <c r="AF1193" s="35" t="s">
        <v>3611</v>
      </c>
      <c r="AG1193" s="35" t="s">
        <v>3612</v>
      </c>
      <c r="AH1193" s="35" t="s">
        <v>3615</v>
      </c>
    </row>
    <row r="1194" spans="1:34" ht="14.45" hidden="1" customHeight="1" x14ac:dyDescent="0.3">
      <c r="A1194" s="6" t="s">
        <v>392</v>
      </c>
      <c r="B1194" s="7">
        <v>0</v>
      </c>
      <c r="C1194" s="6" t="s">
        <v>391</v>
      </c>
      <c r="D1194" s="6" t="s">
        <v>320</v>
      </c>
      <c r="E1194" s="6" t="s">
        <v>321</v>
      </c>
      <c r="F1194" s="6" t="s">
        <v>3229</v>
      </c>
      <c r="G1194" s="8">
        <v>1.0305</v>
      </c>
      <c r="H1194" s="8">
        <v>8.1734600000000004</v>
      </c>
      <c r="I1194" s="6" t="s">
        <v>2477</v>
      </c>
      <c r="J1194" s="6" t="s">
        <v>2459</v>
      </c>
      <c r="K1194" s="6" t="s">
        <v>2460</v>
      </c>
      <c r="L1194" s="6" t="s">
        <v>329</v>
      </c>
      <c r="M1194" s="6" t="s">
        <v>370</v>
      </c>
      <c r="N1194" s="6" t="s">
        <v>3268</v>
      </c>
      <c r="O1194" s="6" t="s">
        <v>7</v>
      </c>
      <c r="P1194" s="6" t="str">
        <f>VLOOKUP(Tableau1[[#This Row],[SITES NAMES]],[1]Feuil1!$1:$1048576,8,FALSE)</f>
        <v>OK</v>
      </c>
      <c r="Q1194" s="6" t="str">
        <f>VLOOKUP(Tableau1[[#This Row],[SITES NAMES]],[1]Feuil1!$1:$1048576,9,FALSE)</f>
        <v>NO</v>
      </c>
      <c r="R1194" s="6" t="str">
        <f>VLOOKUP(Tableau1[[#This Row],[SITES NAMES]],[1]Feuil1!$1:$1048576,10,FALSE)</f>
        <v>YES</v>
      </c>
      <c r="S1194" s="6" t="s">
        <v>2469</v>
      </c>
      <c r="T1194" s="6" t="s">
        <v>2470</v>
      </c>
      <c r="U1194" s="6" t="s">
        <v>2471</v>
      </c>
      <c r="V1194" s="6" t="s">
        <v>2472</v>
      </c>
      <c r="W1194" s="6" t="s">
        <v>2473</v>
      </c>
      <c r="X1194" s="8">
        <v>70997237</v>
      </c>
      <c r="Y1194" s="6" t="s">
        <v>3238</v>
      </c>
      <c r="Z1194" s="6" t="s">
        <v>3266</v>
      </c>
      <c r="AA1194" s="37" t="s">
        <v>3664</v>
      </c>
      <c r="AB1194" s="39" t="s">
        <v>3665</v>
      </c>
      <c r="AC1194" s="37" t="s">
        <v>3666</v>
      </c>
      <c r="AD1194" s="37" t="s">
        <v>3667</v>
      </c>
      <c r="AE1194" s="37" t="s">
        <v>3668</v>
      </c>
      <c r="AF1194" s="37" t="s">
        <v>3669</v>
      </c>
      <c r="AG1194" s="37" t="s">
        <v>3670</v>
      </c>
      <c r="AH1194" s="37" t="s">
        <v>3671</v>
      </c>
    </row>
    <row r="1195" spans="1:34" ht="14.45" hidden="1" customHeight="1" x14ac:dyDescent="0.3">
      <c r="A1195" s="6" t="s">
        <v>2436</v>
      </c>
      <c r="B1195" s="7">
        <v>45058</v>
      </c>
      <c r="C1195" s="6" t="s">
        <v>2435</v>
      </c>
      <c r="D1195" s="6" t="s">
        <v>5</v>
      </c>
      <c r="E1195" s="6" t="s">
        <v>2333</v>
      </c>
      <c r="F1195" s="6" t="s">
        <v>3229</v>
      </c>
      <c r="G1195" s="8">
        <v>1.0102</v>
      </c>
      <c r="H1195" s="8">
        <v>6.4825499999999998</v>
      </c>
      <c r="I1195" s="6" t="s">
        <v>2477</v>
      </c>
      <c r="J1195" s="6" t="s">
        <v>2459</v>
      </c>
      <c r="K1195" s="6" t="s">
        <v>2468</v>
      </c>
      <c r="L1195" s="6" t="s">
        <v>2403</v>
      </c>
      <c r="M1195" s="6"/>
      <c r="N1195" s="6" t="s">
        <v>2468</v>
      </c>
      <c r="O1195" s="6" t="s">
        <v>7</v>
      </c>
      <c r="P1195" s="6" t="str">
        <f>VLOOKUP(Tableau1[[#This Row],[SITES NAMES]],[1]Feuil1!$1:$1048576,8,FALSE)</f>
        <v>OK</v>
      </c>
      <c r="Q1195" s="6" t="str">
        <f>VLOOKUP(Tableau1[[#This Row],[SITES NAMES]],[1]Feuil1!$1:$1048576,9,FALSE)</f>
        <v>NO</v>
      </c>
      <c r="R1195" s="6" t="str">
        <f>VLOOKUP(Tableau1[[#This Row],[SITES NAMES]],[1]Feuil1!$1:$1048576,10,FALSE)</f>
        <v>NO</v>
      </c>
      <c r="S1195" s="6" t="s">
        <v>2469</v>
      </c>
      <c r="T1195" s="6" t="s">
        <v>2470</v>
      </c>
      <c r="U1195" s="6" t="s">
        <v>2480</v>
      </c>
      <c r="V1195" s="6" t="s">
        <v>2472</v>
      </c>
      <c r="W1195" s="6" t="s">
        <v>2473</v>
      </c>
      <c r="X1195" s="8"/>
      <c r="Y1195" s="6" t="s">
        <v>3241</v>
      </c>
      <c r="Z1195" t="e">
        <f>VLOOKUP(Tableau1[[#This Row],[SITES NAMES]],#REF!,3,FALSE)</f>
        <v>#REF!</v>
      </c>
      <c r="AA1195" s="37"/>
      <c r="AB1195" s="38" t="s">
        <v>3627</v>
      </c>
      <c r="AC1195" s="37" t="s">
        <v>3640</v>
      </c>
      <c r="AD1195" s="39" t="s">
        <v>3641</v>
      </c>
      <c r="AE1195" s="37"/>
      <c r="AF1195" s="39" t="s">
        <v>3641</v>
      </c>
      <c r="AG1195" s="37"/>
      <c r="AH1195" s="37" t="s">
        <v>3642</v>
      </c>
    </row>
    <row r="1196" spans="1:34" ht="14.45" hidden="1" customHeight="1" x14ac:dyDescent="0.3">
      <c r="A1196" s="6" t="s">
        <v>2347</v>
      </c>
      <c r="B1196" s="7">
        <v>43472</v>
      </c>
      <c r="C1196" s="6" t="s">
        <v>2346</v>
      </c>
      <c r="D1196" s="6" t="s">
        <v>5</v>
      </c>
      <c r="E1196" s="6" t="s">
        <v>2333</v>
      </c>
      <c r="F1196" s="6" t="s">
        <v>3229</v>
      </c>
      <c r="G1196" s="8">
        <v>1.313615</v>
      </c>
      <c r="H1196" s="8">
        <v>6.7376829999999996</v>
      </c>
      <c r="I1196" s="6" t="s">
        <v>2479</v>
      </c>
      <c r="J1196" s="6" t="s">
        <v>2459</v>
      </c>
      <c r="K1196" s="6" t="s">
        <v>2468</v>
      </c>
      <c r="L1196" s="6" t="s">
        <v>2332</v>
      </c>
      <c r="M1196" s="6"/>
      <c r="N1196" s="6" t="s">
        <v>2468</v>
      </c>
      <c r="O1196" s="6" t="s">
        <v>40</v>
      </c>
      <c r="P1196" s="6" t="str">
        <f>VLOOKUP(Tableau1[[#This Row],[SITES NAMES]],[1]Feuil1!$1:$1048576,8,FALSE)</f>
        <v>OK</v>
      </c>
      <c r="Q1196" s="6" t="str">
        <f>VLOOKUP(Tableau1[[#This Row],[SITES NAMES]],[1]Feuil1!$1:$1048576,9,FALSE)</f>
        <v>NO</v>
      </c>
      <c r="R1196" s="6" t="str">
        <f>VLOOKUP(Tableau1[[#This Row],[SITES NAMES]],[1]Feuil1!$1:$1048576,10,FALSE)</f>
        <v>NO</v>
      </c>
      <c r="S1196" s="6" t="s">
        <v>2469</v>
      </c>
      <c r="T1196" s="6" t="s">
        <v>2470</v>
      </c>
      <c r="U1196" s="6" t="s">
        <v>2480</v>
      </c>
      <c r="V1196" s="6" t="s">
        <v>2472</v>
      </c>
      <c r="W1196" s="6" t="s">
        <v>2473</v>
      </c>
      <c r="X1196" s="8">
        <v>70997238</v>
      </c>
      <c r="Y1196" s="6" t="s">
        <v>3241</v>
      </c>
      <c r="Z1196" s="6"/>
      <c r="AA1196" s="37"/>
      <c r="AB1196" s="38" t="s">
        <v>3627</v>
      </c>
      <c r="AC1196" s="37" t="s">
        <v>3640</v>
      </c>
      <c r="AD1196" s="39" t="s">
        <v>3641</v>
      </c>
      <c r="AE1196" s="37"/>
      <c r="AF1196" s="39" t="s">
        <v>3641</v>
      </c>
      <c r="AG1196" s="37"/>
      <c r="AH1196" s="37" t="s">
        <v>3642</v>
      </c>
    </row>
    <row r="1197" spans="1:34" ht="14.45" hidden="1" customHeight="1" x14ac:dyDescent="0.25">
      <c r="A1197" s="6" t="s">
        <v>1962</v>
      </c>
      <c r="B1197" s="7">
        <v>45280</v>
      </c>
      <c r="C1197" s="6" t="s">
        <v>1961</v>
      </c>
      <c r="D1197" s="6" t="s">
        <v>66</v>
      </c>
      <c r="E1197" s="6" t="s">
        <v>3232</v>
      </c>
      <c r="F1197" s="6" t="s">
        <v>3229</v>
      </c>
      <c r="G1197" s="8">
        <v>1.20502</v>
      </c>
      <c r="H1197" s="8">
        <v>6.1256599999999999</v>
      </c>
      <c r="I1197" s="6" t="s">
        <v>2475</v>
      </c>
      <c r="J1197" s="6" t="s">
        <v>2459</v>
      </c>
      <c r="K1197" s="6" t="s">
        <v>2468</v>
      </c>
      <c r="L1197" s="6"/>
      <c r="M1197" s="6"/>
      <c r="N1197" s="6" t="s">
        <v>2468</v>
      </c>
      <c r="O1197" s="6" t="s">
        <v>7</v>
      </c>
      <c r="P1197" s="6" t="str">
        <f>VLOOKUP(Tableau1[[#This Row],[SITES NAMES]],[1]Feuil1!$1:$1048576,8,FALSE)</f>
        <v>OK</v>
      </c>
      <c r="Q1197" s="6" t="str">
        <f>VLOOKUP(Tableau1[[#This Row],[SITES NAMES]],[1]Feuil1!$1:$1048576,9,FALSE)</f>
        <v>NO</v>
      </c>
      <c r="R1197" s="6"/>
      <c r="S1197" s="6" t="s">
        <v>2469</v>
      </c>
      <c r="T1197" s="6" t="s">
        <v>2470</v>
      </c>
      <c r="U1197" s="6" t="s">
        <v>2480</v>
      </c>
      <c r="V1197" s="6" t="s">
        <v>2464</v>
      </c>
      <c r="W1197" s="6" t="s">
        <v>2785</v>
      </c>
      <c r="X1197" s="8">
        <v>70997360</v>
      </c>
      <c r="Y1197" s="6" t="s">
        <v>3238</v>
      </c>
      <c r="Z1197" s="6" t="s">
        <v>3262</v>
      </c>
      <c r="AA1197" s="35" t="s">
        <v>3621</v>
      </c>
      <c r="AB1197" s="35" t="s">
        <v>3608</v>
      </c>
      <c r="AC1197" s="35" t="s">
        <v>3624</v>
      </c>
      <c r="AD1197" s="35" t="s">
        <v>3610</v>
      </c>
      <c r="AE1197" s="35" t="s">
        <v>3610</v>
      </c>
      <c r="AF1197" s="35" t="s">
        <v>3611</v>
      </c>
      <c r="AG1197" s="35" t="s">
        <v>3612</v>
      </c>
      <c r="AH1197" s="35" t="s">
        <v>3625</v>
      </c>
    </row>
    <row r="1198" spans="1:34" ht="14.45" hidden="1" customHeight="1" x14ac:dyDescent="0.3">
      <c r="A1198" s="6" t="s">
        <v>2351</v>
      </c>
      <c r="B1198" s="7">
        <v>43899</v>
      </c>
      <c r="C1198" s="6" t="s">
        <v>2350</v>
      </c>
      <c r="D1198" s="6" t="s">
        <v>5</v>
      </c>
      <c r="E1198" s="6" t="s">
        <v>2333</v>
      </c>
      <c r="F1198" s="6" t="s">
        <v>3229</v>
      </c>
      <c r="G1198" s="8">
        <v>1.3812199999999999</v>
      </c>
      <c r="H1198" s="8">
        <v>6.618233</v>
      </c>
      <c r="I1198" s="6" t="s">
        <v>2477</v>
      </c>
      <c r="J1198" s="6" t="s">
        <v>2459</v>
      </c>
      <c r="K1198" s="6" t="s">
        <v>2460</v>
      </c>
      <c r="L1198" s="6" t="s">
        <v>107</v>
      </c>
      <c r="M1198" s="6" t="s">
        <v>2335</v>
      </c>
      <c r="N1198" s="6" t="s">
        <v>3268</v>
      </c>
      <c r="O1198" s="6" t="s">
        <v>7</v>
      </c>
      <c r="P1198" s="6" t="str">
        <f>VLOOKUP(Tableau1[[#This Row],[SITES NAMES]],[1]Feuil1!$1:$1048576,8,FALSE)</f>
        <v>OK</v>
      </c>
      <c r="Q1198" s="6" t="str">
        <f>VLOOKUP(Tableau1[[#This Row],[SITES NAMES]],[1]Feuil1!$1:$1048576,9,FALSE)</f>
        <v>NO</v>
      </c>
      <c r="R1198" s="6" t="str">
        <f>VLOOKUP(Tableau1[[#This Row],[SITES NAMES]],[1]Feuil1!$1:$1048576,10,FALSE)</f>
        <v>NO</v>
      </c>
      <c r="S1198" s="6" t="s">
        <v>2469</v>
      </c>
      <c r="T1198" s="6" t="s">
        <v>2470</v>
      </c>
      <c r="U1198" s="6" t="s">
        <v>2471</v>
      </c>
      <c r="V1198" s="6" t="s">
        <v>2472</v>
      </c>
      <c r="W1198" s="6" t="s">
        <v>2473</v>
      </c>
      <c r="X1198" s="8">
        <v>70997239</v>
      </c>
      <c r="Y1198" s="6" t="s">
        <v>3241</v>
      </c>
      <c r="Z1198" t="e">
        <f>VLOOKUP(Tableau1[[#This Row],[SITES NAMES]],#REF!,3,FALSE)</f>
        <v>#REF!</v>
      </c>
      <c r="AA1198" s="37"/>
      <c r="AB1198" s="38" t="s">
        <v>3627</v>
      </c>
      <c r="AC1198" s="37" t="s">
        <v>3640</v>
      </c>
      <c r="AD1198" s="39" t="s">
        <v>3641</v>
      </c>
      <c r="AE1198" s="37"/>
      <c r="AF1198" s="39" t="s">
        <v>3641</v>
      </c>
      <c r="AG1198" s="37"/>
      <c r="AH1198" s="37" t="s">
        <v>3642</v>
      </c>
    </row>
    <row r="1199" spans="1:34" ht="14.45" customHeight="1" x14ac:dyDescent="0.25">
      <c r="A1199" s="6" t="s">
        <v>1724</v>
      </c>
      <c r="B1199" s="7">
        <v>0</v>
      </c>
      <c r="C1199" s="6" t="s">
        <v>1723</v>
      </c>
      <c r="D1199" s="6" t="s">
        <v>66</v>
      </c>
      <c r="E1199" s="6" t="s">
        <v>3234</v>
      </c>
      <c r="F1199" s="6" t="s">
        <v>3229</v>
      </c>
      <c r="G1199" s="8">
        <v>1.1304399999999999</v>
      </c>
      <c r="H1199" s="8">
        <v>6.2196225439999999</v>
      </c>
      <c r="I1199" s="6" t="s">
        <v>2486</v>
      </c>
      <c r="J1199" s="6" t="s">
        <v>2459</v>
      </c>
      <c r="K1199" s="6" t="s">
        <v>2460</v>
      </c>
      <c r="L1199" s="6" t="s">
        <v>1704</v>
      </c>
      <c r="M1199" s="6" t="s">
        <v>1789</v>
      </c>
      <c r="N1199" s="6" t="s">
        <v>3268</v>
      </c>
      <c r="O1199" s="6" t="s">
        <v>7</v>
      </c>
      <c r="P1199" s="6" t="str">
        <f>VLOOKUP(Tableau1[[#This Row],[SITES NAMES]],[1]Feuil1!$1:$1048576,8,FALSE)</f>
        <v>NOK</v>
      </c>
      <c r="Q1199" s="6" t="str">
        <f>VLOOKUP(Tableau1[[#This Row],[SITES NAMES]],[1]Feuil1!$1:$1048576,9,FALSE)</f>
        <v>YES</v>
      </c>
      <c r="R1199" s="6" t="str">
        <f>VLOOKUP(Tableau1[[#This Row],[SITES NAMES]],[1]Feuil1!$1:$1048576,10,FALSE)</f>
        <v>NO</v>
      </c>
      <c r="S1199" s="6" t="s">
        <v>2469</v>
      </c>
      <c r="T1199" s="6" t="s">
        <v>2470</v>
      </c>
      <c r="U1199" s="6" t="s">
        <v>2480</v>
      </c>
      <c r="V1199" s="6" t="s">
        <v>2478</v>
      </c>
      <c r="W1199" s="6" t="s">
        <v>2476</v>
      </c>
      <c r="X1199" s="8">
        <v>70996447</v>
      </c>
      <c r="Y1199" s="6" t="s">
        <v>3238</v>
      </c>
      <c r="Z1199" s="6" t="s">
        <v>3265</v>
      </c>
      <c r="AA1199" s="35" t="s">
        <v>3607</v>
      </c>
      <c r="AB1199" s="35" t="s">
        <v>3608</v>
      </c>
      <c r="AC1199" s="35" t="s">
        <v>3614</v>
      </c>
      <c r="AD1199" s="35" t="s">
        <v>3610</v>
      </c>
      <c r="AE1199" s="35" t="s">
        <v>3610</v>
      </c>
      <c r="AF1199" s="35" t="s">
        <v>3611</v>
      </c>
      <c r="AG1199" s="35" t="s">
        <v>3612</v>
      </c>
      <c r="AH1199" s="35" t="s">
        <v>3615</v>
      </c>
    </row>
    <row r="1200" spans="1:34" ht="14.45" customHeight="1" x14ac:dyDescent="0.25">
      <c r="A1200" s="6" t="s">
        <v>1698</v>
      </c>
      <c r="B1200" s="7">
        <v>0</v>
      </c>
      <c r="C1200" s="6" t="s">
        <v>1697</v>
      </c>
      <c r="D1200" s="6" t="s">
        <v>66</v>
      </c>
      <c r="E1200" s="6" t="s">
        <v>3236</v>
      </c>
      <c r="F1200" s="18" t="s">
        <v>3230</v>
      </c>
      <c r="G1200" s="8">
        <v>1.1210599999999999</v>
      </c>
      <c r="H1200" s="8">
        <v>6.2315038200000004</v>
      </c>
      <c r="I1200" s="6" t="s">
        <v>2497</v>
      </c>
      <c r="J1200" s="6" t="s">
        <v>2459</v>
      </c>
      <c r="K1200" s="6" t="s">
        <v>2460</v>
      </c>
      <c r="L1200" s="6" t="s">
        <v>1692</v>
      </c>
      <c r="M1200" s="6" t="s">
        <v>1825</v>
      </c>
      <c r="N1200" s="6" t="s">
        <v>3268</v>
      </c>
      <c r="O1200" s="6" t="s">
        <v>7</v>
      </c>
      <c r="P1200" s="6" t="str">
        <f>VLOOKUP(Tableau1[[#This Row],[SITES NAMES]],[1]Feuil1!$1:$1048576,8,FALSE)</f>
        <v>OK</v>
      </c>
      <c r="Q1200" s="6" t="str">
        <f>VLOOKUP(Tableau1[[#This Row],[SITES NAMES]],[1]Feuil1!$1:$1048576,9,FALSE)</f>
        <v>NO</v>
      </c>
      <c r="R1200" s="6" t="str">
        <f>VLOOKUP(Tableau1[[#This Row],[SITES NAMES]],[1]Feuil1!$1:$1048576,10,FALSE)</f>
        <v>NO</v>
      </c>
      <c r="S1200" s="6" t="s">
        <v>2461</v>
      </c>
      <c r="T1200" s="6" t="s">
        <v>2462</v>
      </c>
      <c r="U1200" s="6" t="s">
        <v>2463</v>
      </c>
      <c r="V1200" s="6" t="s">
        <v>2478</v>
      </c>
      <c r="W1200" s="6" t="s">
        <v>2476</v>
      </c>
      <c r="X1200" s="8">
        <v>70997240</v>
      </c>
      <c r="Y1200" s="6" t="s">
        <v>3238</v>
      </c>
      <c r="Z1200" s="6" t="s">
        <v>3263</v>
      </c>
      <c r="AA1200" s="35" t="s">
        <v>3616</v>
      </c>
      <c r="AB1200" s="35" t="s">
        <v>3608</v>
      </c>
      <c r="AC1200" s="35" t="s">
        <v>3619</v>
      </c>
      <c r="AD1200" s="35" t="s">
        <v>3610</v>
      </c>
      <c r="AE1200" s="35" t="s">
        <v>3610</v>
      </c>
      <c r="AF1200" s="35" t="s">
        <v>3611</v>
      </c>
      <c r="AG1200" s="35" t="s">
        <v>3612</v>
      </c>
      <c r="AH1200" s="35" t="s">
        <v>3620</v>
      </c>
    </row>
    <row r="1201" spans="1:34" ht="14.45" customHeight="1" x14ac:dyDescent="0.25">
      <c r="A1201" s="6" t="s">
        <v>1700</v>
      </c>
      <c r="B1201" s="7">
        <v>44595</v>
      </c>
      <c r="C1201" s="6" t="s">
        <v>1699</v>
      </c>
      <c r="D1201" s="6" t="s">
        <v>66</v>
      </c>
      <c r="E1201" s="6" t="s">
        <v>3236</v>
      </c>
      <c r="F1201" s="6" t="s">
        <v>3229</v>
      </c>
      <c r="G1201" s="8">
        <v>1.1083499999999999</v>
      </c>
      <c r="H1201" s="8">
        <v>6.2258100000000001</v>
      </c>
      <c r="I1201" s="6" t="s">
        <v>2497</v>
      </c>
      <c r="J1201" s="6" t="s">
        <v>2459</v>
      </c>
      <c r="K1201" s="6" t="s">
        <v>2460</v>
      </c>
      <c r="L1201" s="6" t="s">
        <v>1616</v>
      </c>
      <c r="M1201" s="6"/>
      <c r="N1201" s="6" t="s">
        <v>3268</v>
      </c>
      <c r="O1201" s="6" t="s">
        <v>7</v>
      </c>
      <c r="P1201" s="6"/>
      <c r="Q1201" s="6" t="str">
        <f>VLOOKUP(Tableau1[[#This Row],[SITES NAMES]],[1]Feuil1!$1:$1048576,9,FALSE)</f>
        <v>NO</v>
      </c>
      <c r="R1201" s="6"/>
      <c r="S1201" s="6" t="s">
        <v>2469</v>
      </c>
      <c r="T1201" s="6" t="s">
        <v>2470</v>
      </c>
      <c r="U1201" s="6" t="s">
        <v>2480</v>
      </c>
      <c r="V1201" s="6" t="s">
        <v>2464</v>
      </c>
      <c r="W1201" s="6" t="s">
        <v>2465</v>
      </c>
      <c r="X1201" s="8">
        <v>70996418</v>
      </c>
      <c r="Y1201" s="6" t="s">
        <v>3238</v>
      </c>
      <c r="Z1201" s="6" t="s">
        <v>3263</v>
      </c>
      <c r="AA1201" s="35" t="s">
        <v>3616</v>
      </c>
      <c r="AB1201" s="35" t="s">
        <v>3608</v>
      </c>
      <c r="AC1201" s="35" t="s">
        <v>3619</v>
      </c>
      <c r="AD1201" s="35" t="s">
        <v>3610</v>
      </c>
      <c r="AE1201" s="35" t="s">
        <v>3610</v>
      </c>
      <c r="AF1201" s="35" t="s">
        <v>3611</v>
      </c>
      <c r="AG1201" s="35" t="s">
        <v>3612</v>
      </c>
      <c r="AH1201" s="35" t="s">
        <v>3620</v>
      </c>
    </row>
    <row r="1202" spans="1:34" ht="14.45" customHeight="1" x14ac:dyDescent="0.25">
      <c r="A1202" s="6" t="s">
        <v>1702</v>
      </c>
      <c r="B1202" s="7">
        <v>43145</v>
      </c>
      <c r="C1202" s="6" t="s">
        <v>1701</v>
      </c>
      <c r="D1202" s="6" t="s">
        <v>66</v>
      </c>
      <c r="E1202" s="6" t="s">
        <v>3236</v>
      </c>
      <c r="F1202" s="6" t="s">
        <v>3229</v>
      </c>
      <c r="G1202" s="8">
        <v>1.11436</v>
      </c>
      <c r="H1202" s="8">
        <v>6.2332000000000001</v>
      </c>
      <c r="I1202" s="6" t="s">
        <v>2486</v>
      </c>
      <c r="J1202" s="6" t="s">
        <v>2459</v>
      </c>
      <c r="K1202" s="6" t="s">
        <v>2460</v>
      </c>
      <c r="L1202" s="6" t="s">
        <v>1692</v>
      </c>
      <c r="M1202" s="6" t="s">
        <v>1825</v>
      </c>
      <c r="N1202" s="6" t="s">
        <v>3268</v>
      </c>
      <c r="O1202" s="6" t="s">
        <v>7</v>
      </c>
      <c r="P1202" s="6" t="str">
        <f>VLOOKUP(Tableau1[[#This Row],[SITES NAMES]],[1]Feuil1!$1:$1048576,8,FALSE)</f>
        <v>OK</v>
      </c>
      <c r="Q1202" s="6" t="str">
        <f>VLOOKUP(Tableau1[[#This Row],[SITES NAMES]],[1]Feuil1!$1:$1048576,9,FALSE)</f>
        <v>YES</v>
      </c>
      <c r="R1202" s="6" t="str">
        <f>VLOOKUP(Tableau1[[#This Row],[SITES NAMES]],[1]Feuil1!$1:$1048576,10,FALSE)</f>
        <v>NO</v>
      </c>
      <c r="S1202" s="6" t="s">
        <v>2469</v>
      </c>
      <c r="T1202" s="6" t="s">
        <v>2470</v>
      </c>
      <c r="U1202" s="6" t="s">
        <v>2480</v>
      </c>
      <c r="V1202" s="6" t="s">
        <v>2478</v>
      </c>
      <c r="W1202" s="6" t="s">
        <v>2476</v>
      </c>
      <c r="X1202" s="8"/>
      <c r="Y1202" s="6" t="s">
        <v>3238</v>
      </c>
      <c r="Z1202" s="6" t="s">
        <v>3263</v>
      </c>
      <c r="AA1202" s="35" t="s">
        <v>3616</v>
      </c>
      <c r="AB1202" s="35" t="s">
        <v>3608</v>
      </c>
      <c r="AC1202" s="35" t="s">
        <v>3619</v>
      </c>
      <c r="AD1202" s="35" t="s">
        <v>3610</v>
      </c>
      <c r="AE1202" s="35" t="s">
        <v>3610</v>
      </c>
      <c r="AF1202" s="35" t="s">
        <v>3611</v>
      </c>
      <c r="AG1202" s="35" t="s">
        <v>3612</v>
      </c>
      <c r="AH1202" s="35" t="s">
        <v>3620</v>
      </c>
    </row>
    <row r="1203" spans="1:34" ht="14.45" customHeight="1" x14ac:dyDescent="0.25">
      <c r="A1203" s="6" t="s">
        <v>1704</v>
      </c>
      <c r="B1203" s="7">
        <v>0</v>
      </c>
      <c r="C1203" s="6" t="s">
        <v>1703</v>
      </c>
      <c r="D1203" s="6" t="s">
        <v>66</v>
      </c>
      <c r="E1203" s="6" t="s">
        <v>3236</v>
      </c>
      <c r="F1203" s="18" t="s">
        <v>3230</v>
      </c>
      <c r="G1203" s="8">
        <v>1.0955555560000001</v>
      </c>
      <c r="H1203" s="8">
        <v>6.2357636100000002</v>
      </c>
      <c r="I1203" s="6" t="s">
        <v>2497</v>
      </c>
      <c r="J1203" s="6" t="s">
        <v>2459</v>
      </c>
      <c r="K1203" s="6" t="s">
        <v>2460</v>
      </c>
      <c r="L1203" s="6" t="s">
        <v>1722</v>
      </c>
      <c r="M1203" s="6" t="s">
        <v>1724</v>
      </c>
      <c r="N1203" s="6" t="s">
        <v>3268</v>
      </c>
      <c r="O1203" s="6" t="s">
        <v>7</v>
      </c>
      <c r="P1203" s="6" t="str">
        <f>VLOOKUP(Tableau1[[#This Row],[SITES NAMES]],[1]Feuil1!$1:$1048576,8,FALSE)</f>
        <v>OK</v>
      </c>
      <c r="Q1203" s="6" t="str">
        <f>VLOOKUP(Tableau1[[#This Row],[SITES NAMES]],[1]Feuil1!$1:$1048576,9,FALSE)</f>
        <v>NO</v>
      </c>
      <c r="R1203" s="6" t="str">
        <f>VLOOKUP(Tableau1[[#This Row],[SITES NAMES]],[1]Feuil1!$1:$1048576,10,FALSE)</f>
        <v>NO</v>
      </c>
      <c r="S1203" s="6" t="s">
        <v>2469</v>
      </c>
      <c r="T1203" s="6" t="s">
        <v>2470</v>
      </c>
      <c r="U1203" s="6" t="s">
        <v>2480</v>
      </c>
      <c r="V1203" s="6" t="s">
        <v>2464</v>
      </c>
      <c r="W1203" s="6" t="s">
        <v>2476</v>
      </c>
      <c r="X1203" s="8">
        <v>70997241</v>
      </c>
      <c r="Y1203" s="6" t="s">
        <v>3238</v>
      </c>
      <c r="Z1203" s="6" t="s">
        <v>3263</v>
      </c>
      <c r="AA1203" s="35" t="s">
        <v>3616</v>
      </c>
      <c r="AB1203" s="35" t="s">
        <v>3608</v>
      </c>
      <c r="AC1203" s="35" t="s">
        <v>3619</v>
      </c>
      <c r="AD1203" s="35" t="s">
        <v>3610</v>
      </c>
      <c r="AE1203" s="35" t="s">
        <v>3610</v>
      </c>
      <c r="AF1203" s="35" t="s">
        <v>3611</v>
      </c>
      <c r="AG1203" s="35" t="s">
        <v>3612</v>
      </c>
      <c r="AH1203" s="35" t="s">
        <v>3620</v>
      </c>
    </row>
    <row r="1204" spans="1:34" ht="14.45" hidden="1" customHeight="1" x14ac:dyDescent="0.3">
      <c r="A1204" s="6" t="s">
        <v>2438</v>
      </c>
      <c r="B1204" s="7">
        <v>44016</v>
      </c>
      <c r="C1204" s="6" t="s">
        <v>2437</v>
      </c>
      <c r="D1204" s="6" t="s">
        <v>5</v>
      </c>
      <c r="E1204" s="6" t="s">
        <v>2333</v>
      </c>
      <c r="F1204" s="6" t="s">
        <v>3229</v>
      </c>
      <c r="G1204" s="8">
        <v>1.3067279999999999</v>
      </c>
      <c r="H1204" s="8">
        <v>6.3083679999999998</v>
      </c>
      <c r="I1204" s="6" t="s">
        <v>2497</v>
      </c>
      <c r="J1204" s="6" t="s">
        <v>2459</v>
      </c>
      <c r="K1204" s="6" t="s">
        <v>2460</v>
      </c>
      <c r="L1204" s="6" t="s">
        <v>1240</v>
      </c>
      <c r="M1204" s="6" t="s">
        <v>91</v>
      </c>
      <c r="N1204" s="6" t="s">
        <v>3268</v>
      </c>
      <c r="O1204" s="6" t="s">
        <v>7</v>
      </c>
      <c r="P1204" s="6" t="str">
        <f>VLOOKUP(Tableau1[[#This Row],[SITES NAMES]],[1]Feuil1!$1:$1048576,8,FALSE)</f>
        <v>OK</v>
      </c>
      <c r="Q1204" s="6" t="str">
        <f>VLOOKUP(Tableau1[[#This Row],[SITES NAMES]],[1]Feuil1!$1:$1048576,9,FALSE)</f>
        <v>NO</v>
      </c>
      <c r="R1204" s="6" t="str">
        <f>VLOOKUP(Tableau1[[#This Row],[SITES NAMES]],[1]Feuil1!$1:$1048576,10,FALSE)</f>
        <v>NO</v>
      </c>
      <c r="S1204" s="6" t="s">
        <v>2469</v>
      </c>
      <c r="T1204" s="6" t="s">
        <v>2470</v>
      </c>
      <c r="U1204" s="6" t="s">
        <v>2480</v>
      </c>
      <c r="V1204" s="6" t="s">
        <v>2464</v>
      </c>
      <c r="W1204" s="6" t="s">
        <v>2476</v>
      </c>
      <c r="X1204" s="8">
        <v>70997242</v>
      </c>
      <c r="Y1204" s="6" t="s">
        <v>3241</v>
      </c>
      <c r="Z1204" t="e">
        <f>VLOOKUP(Tableau1[[#This Row],[SITES NAMES]],#REF!,3,FALSE)</f>
        <v>#REF!</v>
      </c>
      <c r="AA1204" s="37"/>
      <c r="AB1204" s="38" t="s">
        <v>3627</v>
      </c>
      <c r="AC1204" s="37" t="s">
        <v>3640</v>
      </c>
      <c r="AD1204" s="40" t="s">
        <v>3641</v>
      </c>
      <c r="AE1204" s="37"/>
      <c r="AF1204" s="39" t="s">
        <v>3641</v>
      </c>
      <c r="AG1204" s="37"/>
      <c r="AH1204" s="37" t="s">
        <v>3642</v>
      </c>
    </row>
    <row r="1205" spans="1:34" ht="14.45" hidden="1" customHeight="1" x14ac:dyDescent="0.3">
      <c r="A1205" s="6" t="s">
        <v>1165</v>
      </c>
      <c r="B1205" s="7">
        <v>0</v>
      </c>
      <c r="C1205" s="6" t="s">
        <v>1164</v>
      </c>
      <c r="D1205" s="6" t="s">
        <v>5</v>
      </c>
      <c r="E1205" s="6" t="s">
        <v>1003</v>
      </c>
      <c r="F1205" s="6" t="s">
        <v>3229</v>
      </c>
      <c r="G1205" s="8">
        <v>0.76900000000000002</v>
      </c>
      <c r="H1205" s="8">
        <v>7.05</v>
      </c>
      <c r="I1205" s="6" t="s">
        <v>2477</v>
      </c>
      <c r="J1205" s="6" t="s">
        <v>2459</v>
      </c>
      <c r="K1205" s="6" t="s">
        <v>2468</v>
      </c>
      <c r="L1205" s="6" t="s">
        <v>3598</v>
      </c>
      <c r="M1205" s="6"/>
      <c r="N1205" s="6" t="s">
        <v>2468</v>
      </c>
      <c r="O1205" s="6" t="s">
        <v>40</v>
      </c>
      <c r="P1205" s="6" t="str">
        <f>VLOOKUP(Tableau1[[#This Row],[SITES NAMES]],[1]Feuil1!$1:$1048576,8,FALSE)</f>
        <v>OK</v>
      </c>
      <c r="Q1205" s="6" t="str">
        <f>VLOOKUP(Tableau1[[#This Row],[SITES NAMES]],[1]Feuil1!$1:$1048576,9,FALSE)</f>
        <v>NO</v>
      </c>
      <c r="R1205" s="6" t="str">
        <f>VLOOKUP(Tableau1[[#This Row],[SITES NAMES]],[1]Feuil1!$1:$1048576,10,FALSE)</f>
        <v>NO</v>
      </c>
      <c r="S1205" s="6" t="s">
        <v>2469</v>
      </c>
      <c r="T1205" s="6" t="s">
        <v>2470</v>
      </c>
      <c r="U1205" s="6" t="s">
        <v>2480</v>
      </c>
      <c r="V1205" s="6" t="s">
        <v>2472</v>
      </c>
      <c r="W1205" s="6" t="s">
        <v>2473</v>
      </c>
      <c r="X1205" s="8">
        <v>70997243</v>
      </c>
      <c r="Y1205" s="6" t="s">
        <v>3241</v>
      </c>
      <c r="Z1205" s="6"/>
      <c r="AA1205" s="37" t="s">
        <v>3634</v>
      </c>
      <c r="AB1205" s="38" t="s">
        <v>3627</v>
      </c>
      <c r="AC1205" s="37" t="s">
        <v>3635</v>
      </c>
      <c r="AD1205" s="37" t="s">
        <v>3636</v>
      </c>
      <c r="AE1205" s="37" t="s">
        <v>3637</v>
      </c>
      <c r="AF1205" s="37" t="s">
        <v>3636</v>
      </c>
      <c r="AG1205" s="37" t="s">
        <v>3638</v>
      </c>
      <c r="AH1205" s="37" t="s">
        <v>3639</v>
      </c>
    </row>
    <row r="1206" spans="1:34" ht="14.45" hidden="1" customHeight="1" x14ac:dyDescent="0.25">
      <c r="A1206" s="6" t="s">
        <v>1302</v>
      </c>
      <c r="B1206" s="7">
        <v>0</v>
      </c>
      <c r="C1206" s="6" t="s">
        <v>1301</v>
      </c>
      <c r="D1206" s="6" t="s">
        <v>66</v>
      </c>
      <c r="E1206" s="6" t="s">
        <v>1924</v>
      </c>
      <c r="F1206" s="6" t="s">
        <v>3229</v>
      </c>
      <c r="G1206" s="8">
        <v>1.25804</v>
      </c>
      <c r="H1206" s="8">
        <v>6.221558752</v>
      </c>
      <c r="I1206" s="6" t="s">
        <v>2497</v>
      </c>
      <c r="J1206" s="6" t="s">
        <v>2459</v>
      </c>
      <c r="K1206" s="6" t="s">
        <v>2460</v>
      </c>
      <c r="L1206" s="6" t="s">
        <v>1240</v>
      </c>
      <c r="M1206" s="6" t="s">
        <v>1276</v>
      </c>
      <c r="N1206" s="6" t="s">
        <v>3268</v>
      </c>
      <c r="O1206" s="6" t="s">
        <v>7</v>
      </c>
      <c r="P1206" s="6" t="str">
        <f>VLOOKUP(Tableau1[[#This Row],[SITES NAMES]],[1]Feuil1!$1:$1048576,8,FALSE)</f>
        <v>OK</v>
      </c>
      <c r="Q1206" s="6" t="str">
        <f>VLOOKUP(Tableau1[[#This Row],[SITES NAMES]],[1]Feuil1!$1:$1048576,9,FALSE)</f>
        <v>NO</v>
      </c>
      <c r="R1206" s="6" t="str">
        <f>VLOOKUP(Tableau1[[#This Row],[SITES NAMES]],[1]Feuil1!$1:$1048576,10,FALSE)</f>
        <v>NO</v>
      </c>
      <c r="S1206" s="6" t="s">
        <v>2469</v>
      </c>
      <c r="T1206" s="6" t="s">
        <v>2470</v>
      </c>
      <c r="U1206" s="6" t="s">
        <v>2480</v>
      </c>
      <c r="V1206" s="6" t="s">
        <v>2478</v>
      </c>
      <c r="W1206" s="6" t="s">
        <v>2476</v>
      </c>
      <c r="X1206" s="8">
        <v>70997244</v>
      </c>
      <c r="Y1206" s="6" t="s">
        <v>3238</v>
      </c>
      <c r="Z1206" s="6" t="s">
        <v>3261</v>
      </c>
      <c r="AA1206" s="35" t="s">
        <v>3607</v>
      </c>
      <c r="AB1206" s="35" t="s">
        <v>3608</v>
      </c>
      <c r="AC1206" s="35" t="s">
        <v>3609</v>
      </c>
      <c r="AD1206" s="35" t="s">
        <v>3610</v>
      </c>
      <c r="AE1206" s="35" t="s">
        <v>3610</v>
      </c>
      <c r="AF1206" s="35" t="s">
        <v>3611</v>
      </c>
      <c r="AG1206" s="35" t="s">
        <v>3612</v>
      </c>
      <c r="AH1206" s="35" t="s">
        <v>3613</v>
      </c>
    </row>
    <row r="1207" spans="1:34" ht="14.45" hidden="1" customHeight="1" x14ac:dyDescent="0.3">
      <c r="A1207" s="6" t="s">
        <v>275</v>
      </c>
      <c r="B1207" s="7">
        <v>0</v>
      </c>
      <c r="C1207" s="6" t="s">
        <v>274</v>
      </c>
      <c r="D1207" s="6" t="s">
        <v>132</v>
      </c>
      <c r="E1207" s="6" t="s">
        <v>251</v>
      </c>
      <c r="F1207" s="6" t="s">
        <v>3229</v>
      </c>
      <c r="G1207" s="8">
        <v>0.67193000000000003</v>
      </c>
      <c r="H1207" s="8">
        <v>7.5768199999999997</v>
      </c>
      <c r="I1207" s="6" t="s">
        <v>2477</v>
      </c>
      <c r="J1207" s="6" t="s">
        <v>2459</v>
      </c>
      <c r="K1207" s="6" t="s">
        <v>2460</v>
      </c>
      <c r="L1207" s="6" t="s">
        <v>309</v>
      </c>
      <c r="M1207" s="6" t="s">
        <v>255</v>
      </c>
      <c r="N1207" s="6" t="s">
        <v>3268</v>
      </c>
      <c r="O1207" s="6" t="s">
        <v>7</v>
      </c>
      <c r="P1207" s="6" t="str">
        <f>VLOOKUP(Tableau1[[#This Row],[SITES NAMES]],[1]Feuil1!$1:$1048576,8,FALSE)</f>
        <v>OK</v>
      </c>
      <c r="Q1207" s="6" t="str">
        <f>VLOOKUP(Tableau1[[#This Row],[SITES NAMES]],[1]Feuil1!$1:$1048576,9,FALSE)</f>
        <v>NO</v>
      </c>
      <c r="R1207" s="6" t="str">
        <f>VLOOKUP(Tableau1[[#This Row],[SITES NAMES]],[1]Feuil1!$1:$1048576,10,FALSE)</f>
        <v>NO</v>
      </c>
      <c r="S1207" s="6" t="s">
        <v>2469</v>
      </c>
      <c r="T1207" s="6" t="s">
        <v>2470</v>
      </c>
      <c r="U1207" s="6" t="s">
        <v>2480</v>
      </c>
      <c r="V1207" s="6" t="s">
        <v>2464</v>
      </c>
      <c r="W1207" s="6" t="s">
        <v>2473</v>
      </c>
      <c r="X1207" s="8">
        <v>70997245</v>
      </c>
      <c r="Y1207" s="6" t="s">
        <v>3238</v>
      </c>
      <c r="Z1207" s="6" t="s">
        <v>3256</v>
      </c>
      <c r="AA1207" s="37" t="s">
        <v>3651</v>
      </c>
      <c r="AB1207" s="39" t="s">
        <v>3644</v>
      </c>
      <c r="AC1207" s="45" t="s">
        <v>3652</v>
      </c>
      <c r="AD1207" s="39" t="s">
        <v>3646</v>
      </c>
      <c r="AE1207" s="37" t="s">
        <v>3653</v>
      </c>
      <c r="AF1207" s="37" t="s">
        <v>3654</v>
      </c>
      <c r="AG1207" s="37" t="s">
        <v>3649</v>
      </c>
      <c r="AH1207" s="37" t="s">
        <v>3655</v>
      </c>
    </row>
    <row r="1208" spans="1:34" ht="14.45" hidden="1" customHeight="1" x14ac:dyDescent="0.3">
      <c r="A1208" s="6" t="s">
        <v>1167</v>
      </c>
      <c r="B1208" s="7">
        <v>0</v>
      </c>
      <c r="C1208" s="6" t="s">
        <v>1166</v>
      </c>
      <c r="D1208" s="6" t="s">
        <v>5</v>
      </c>
      <c r="E1208" s="6" t="s">
        <v>1003</v>
      </c>
      <c r="F1208" s="6" t="s">
        <v>3229</v>
      </c>
      <c r="G1208" s="8">
        <v>0.62164399999999997</v>
      </c>
      <c r="H1208" s="8">
        <v>6.8853749999999998</v>
      </c>
      <c r="I1208" s="6" t="s">
        <v>2486</v>
      </c>
      <c r="J1208" s="6" t="s">
        <v>2459</v>
      </c>
      <c r="K1208" s="6" t="s">
        <v>2460</v>
      </c>
      <c r="L1208" s="6" t="s">
        <v>1076</v>
      </c>
      <c r="M1208" s="6" t="s">
        <v>1107</v>
      </c>
      <c r="N1208" s="6" t="s">
        <v>3268</v>
      </c>
      <c r="O1208" s="6" t="s">
        <v>7</v>
      </c>
      <c r="P1208" s="6" t="str">
        <f>VLOOKUP(Tableau1[[#This Row],[SITES NAMES]],[1]Feuil1!$1:$1048576,8,FALSE)</f>
        <v>NOK</v>
      </c>
      <c r="Q1208" s="6" t="str">
        <f>VLOOKUP(Tableau1[[#This Row],[SITES NAMES]],[1]Feuil1!$1:$1048576,9,FALSE)</f>
        <v>NO</v>
      </c>
      <c r="R1208" s="6" t="str">
        <f>VLOOKUP(Tableau1[[#This Row],[SITES NAMES]],[1]Feuil1!$1:$1048576,10,FALSE)</f>
        <v>NO</v>
      </c>
      <c r="S1208" s="6" t="s">
        <v>2469</v>
      </c>
      <c r="T1208" s="6" t="s">
        <v>2470</v>
      </c>
      <c r="U1208" s="6" t="s">
        <v>2480</v>
      </c>
      <c r="V1208" s="6" t="s">
        <v>2472</v>
      </c>
      <c r="W1208" s="6" t="s">
        <v>2476</v>
      </c>
      <c r="X1208" s="8">
        <v>70997246</v>
      </c>
      <c r="Y1208" s="6" t="s">
        <v>3241</v>
      </c>
      <c r="Z1208" s="6"/>
      <c r="AA1208" s="37" t="s">
        <v>3634</v>
      </c>
      <c r="AB1208" s="38" t="s">
        <v>3627</v>
      </c>
      <c r="AC1208" s="37" t="s">
        <v>3635</v>
      </c>
      <c r="AD1208" s="37" t="s">
        <v>3636</v>
      </c>
      <c r="AE1208" s="37" t="s">
        <v>3637</v>
      </c>
      <c r="AF1208" s="37" t="s">
        <v>3636</v>
      </c>
      <c r="AG1208" s="37" t="s">
        <v>3638</v>
      </c>
      <c r="AH1208" s="37" t="s">
        <v>3639</v>
      </c>
    </row>
    <row r="1209" spans="1:34" ht="14.45" hidden="1" customHeight="1" x14ac:dyDescent="0.25">
      <c r="A1209" s="6" t="s">
        <v>1454</v>
      </c>
      <c r="B1209" s="7">
        <v>0</v>
      </c>
      <c r="C1209" s="6" t="s">
        <v>1453</v>
      </c>
      <c r="D1209" s="6" t="s">
        <v>66</v>
      </c>
      <c r="E1209" s="6" t="s">
        <v>3233</v>
      </c>
      <c r="F1209" s="6" t="s">
        <v>3229</v>
      </c>
      <c r="G1209" s="8">
        <v>1.214099</v>
      </c>
      <c r="H1209" s="8">
        <v>6.2515699739999997</v>
      </c>
      <c r="I1209" s="6" t="s">
        <v>2497</v>
      </c>
      <c r="J1209" s="6" t="s">
        <v>2459</v>
      </c>
      <c r="K1209" s="6" t="s">
        <v>2460</v>
      </c>
      <c r="L1209" s="6" t="s">
        <v>536</v>
      </c>
      <c r="M1209" s="6" t="s">
        <v>499</v>
      </c>
      <c r="N1209" s="6" t="s">
        <v>3268</v>
      </c>
      <c r="O1209" s="6" t="s">
        <v>7</v>
      </c>
      <c r="P1209" s="6" t="str">
        <f>VLOOKUP(Tableau1[[#This Row],[SITES NAMES]],[1]Feuil1!$1:$1048576,8,FALSE)</f>
        <v>OK</v>
      </c>
      <c r="Q1209" s="6" t="str">
        <f>VLOOKUP(Tableau1[[#This Row],[SITES NAMES]],[1]Feuil1!$1:$1048576,9,FALSE)</f>
        <v>YES</v>
      </c>
      <c r="R1209" s="6" t="str">
        <f>VLOOKUP(Tableau1[[#This Row],[SITES NAMES]],[1]Feuil1!$1:$1048576,10,FALSE)</f>
        <v>NO</v>
      </c>
      <c r="S1209" s="6" t="s">
        <v>2461</v>
      </c>
      <c r="T1209" s="6" t="s">
        <v>2462</v>
      </c>
      <c r="U1209" s="6" t="s">
        <v>2463</v>
      </c>
      <c r="V1209" s="6" t="s">
        <v>2478</v>
      </c>
      <c r="W1209" s="6" t="s">
        <v>2476</v>
      </c>
      <c r="X1209" s="8">
        <v>70997247</v>
      </c>
      <c r="Y1209" s="6" t="s">
        <v>3238</v>
      </c>
      <c r="Z1209" s="6" t="s">
        <v>3264</v>
      </c>
      <c r="AA1209" s="35" t="s">
        <v>3616</v>
      </c>
      <c r="AB1209" s="35" t="s">
        <v>3608</v>
      </c>
      <c r="AC1209" s="35" t="s">
        <v>3617</v>
      </c>
      <c r="AD1209" s="35" t="s">
        <v>3610</v>
      </c>
      <c r="AE1209" s="35" t="s">
        <v>3610</v>
      </c>
      <c r="AF1209" s="35" t="s">
        <v>3611</v>
      </c>
      <c r="AG1209" s="35" t="s">
        <v>3612</v>
      </c>
      <c r="AH1209" s="35" t="s">
        <v>3618</v>
      </c>
    </row>
    <row r="1210" spans="1:34" ht="14.45" hidden="1" customHeight="1" x14ac:dyDescent="0.25">
      <c r="A1210" s="6" t="s">
        <v>1596</v>
      </c>
      <c r="B1210" s="7">
        <v>0</v>
      </c>
      <c r="C1210" s="6" t="s">
        <v>1595</v>
      </c>
      <c r="D1210" s="6" t="s">
        <v>66</v>
      </c>
      <c r="E1210" s="6" t="s">
        <v>3236</v>
      </c>
      <c r="F1210" s="18" t="s">
        <v>3230</v>
      </c>
      <c r="G1210" s="8">
        <v>1.205944444</v>
      </c>
      <c r="H1210" s="8">
        <v>6.2537099820000002</v>
      </c>
      <c r="I1210" s="6" t="s">
        <v>2497</v>
      </c>
      <c r="J1210" s="6" t="s">
        <v>2459</v>
      </c>
      <c r="K1210" s="6" t="s">
        <v>2460</v>
      </c>
      <c r="L1210" s="6" t="s">
        <v>1596</v>
      </c>
      <c r="M1210" s="6"/>
      <c r="N1210" s="6" t="s">
        <v>3268</v>
      </c>
      <c r="O1210" s="6" t="s">
        <v>7</v>
      </c>
      <c r="P1210" s="6" t="str">
        <f>VLOOKUP(Tableau1[[#This Row],[SITES NAMES]],[1]Feuil1!$1:$1048576,8,FALSE)</f>
        <v>NOK</v>
      </c>
      <c r="Q1210" s="6" t="str">
        <f>VLOOKUP(Tableau1[[#This Row],[SITES NAMES]],[1]Feuil1!$1:$1048576,9,FALSE)</f>
        <v>NO</v>
      </c>
      <c r="R1210" s="6" t="str">
        <f>VLOOKUP(Tableau1[[#This Row],[SITES NAMES]],[1]Feuil1!$1:$1048576,10,FALSE)</f>
        <v>NO</v>
      </c>
      <c r="S1210" s="6" t="s">
        <v>2469</v>
      </c>
      <c r="T1210" s="6" t="s">
        <v>2470</v>
      </c>
      <c r="U1210" s="6" t="s">
        <v>2480</v>
      </c>
      <c r="V1210" s="6" t="s">
        <v>2478</v>
      </c>
      <c r="W1210" s="6" t="s">
        <v>2476</v>
      </c>
      <c r="X1210" s="8">
        <v>70997248</v>
      </c>
      <c r="Y1210" s="6" t="s">
        <v>3238</v>
      </c>
      <c r="Z1210" s="6" t="s">
        <v>3263</v>
      </c>
      <c r="AA1210" s="35" t="s">
        <v>3616</v>
      </c>
      <c r="AB1210" s="35" t="s">
        <v>3608</v>
      </c>
      <c r="AC1210" s="35" t="s">
        <v>3619</v>
      </c>
      <c r="AD1210" s="35" t="s">
        <v>3610</v>
      </c>
      <c r="AE1210" s="35" t="s">
        <v>3610</v>
      </c>
      <c r="AF1210" s="35" t="s">
        <v>3611</v>
      </c>
      <c r="AG1210" s="35" t="s">
        <v>3612</v>
      </c>
      <c r="AH1210" s="35" t="s">
        <v>3620</v>
      </c>
    </row>
    <row r="1211" spans="1:34" ht="14.45" hidden="1" customHeight="1" x14ac:dyDescent="0.25">
      <c r="A1211" s="6" t="s">
        <v>1706</v>
      </c>
      <c r="B1211" s="7">
        <v>44543</v>
      </c>
      <c r="C1211" s="6" t="s">
        <v>1705</v>
      </c>
      <c r="D1211" s="6" t="s">
        <v>66</v>
      </c>
      <c r="E1211" s="6" t="s">
        <v>3236</v>
      </c>
      <c r="F1211" s="6" t="s">
        <v>3229</v>
      </c>
      <c r="G1211" s="8">
        <v>1.19913</v>
      </c>
      <c r="H1211" s="8">
        <v>6.2545000000000002</v>
      </c>
      <c r="I1211" s="6" t="s">
        <v>2497</v>
      </c>
      <c r="J1211" s="6" t="s">
        <v>2459</v>
      </c>
      <c r="K1211" s="6" t="s">
        <v>2460</v>
      </c>
      <c r="L1211" s="6" t="s">
        <v>1658</v>
      </c>
      <c r="M1211" s="6" t="s">
        <v>1536</v>
      </c>
      <c r="N1211" s="6" t="s">
        <v>3268</v>
      </c>
      <c r="O1211" s="6" t="s">
        <v>7</v>
      </c>
      <c r="P1211" s="6" t="str">
        <f>VLOOKUP(Tableau1[[#This Row],[SITES NAMES]],[1]Feuil1!$1:$1048576,8,FALSE)</f>
        <v>OK</v>
      </c>
      <c r="Q1211" s="6" t="str">
        <f>VLOOKUP(Tableau1[[#This Row],[SITES NAMES]],[1]Feuil1!$1:$1048576,9,FALSE)</f>
        <v>NO</v>
      </c>
      <c r="R1211" s="6" t="str">
        <f>VLOOKUP(Tableau1[[#This Row],[SITES NAMES]],[1]Feuil1!$1:$1048576,10,FALSE)</f>
        <v>YES</v>
      </c>
      <c r="S1211" s="6" t="s">
        <v>2461</v>
      </c>
      <c r="T1211" s="6" t="s">
        <v>2462</v>
      </c>
      <c r="U1211" s="6" t="s">
        <v>2463</v>
      </c>
      <c r="V1211" s="6" t="s">
        <v>2464</v>
      </c>
      <c r="W1211" s="6" t="s">
        <v>2476</v>
      </c>
      <c r="X1211" s="8"/>
      <c r="Y1211" s="6" t="s">
        <v>3238</v>
      </c>
      <c r="Z1211" s="6" t="s">
        <v>3263</v>
      </c>
      <c r="AA1211" s="35" t="s">
        <v>3616</v>
      </c>
      <c r="AB1211" s="35" t="s">
        <v>3608</v>
      </c>
      <c r="AC1211" s="35" t="s">
        <v>3619</v>
      </c>
      <c r="AD1211" s="35" t="s">
        <v>3610</v>
      </c>
      <c r="AE1211" s="35" t="s">
        <v>3610</v>
      </c>
      <c r="AF1211" s="35" t="s">
        <v>3611</v>
      </c>
      <c r="AG1211" s="35" t="s">
        <v>3612</v>
      </c>
      <c r="AH1211" s="35" t="s">
        <v>3620</v>
      </c>
    </row>
    <row r="1212" spans="1:34" ht="14.45" hidden="1" customHeight="1" x14ac:dyDescent="0.3">
      <c r="A1212" s="6" t="s">
        <v>129</v>
      </c>
      <c r="B1212" s="7">
        <v>43791</v>
      </c>
      <c r="C1212" s="6" t="s">
        <v>128</v>
      </c>
      <c r="D1212" s="6" t="s">
        <v>5</v>
      </c>
      <c r="E1212" s="6" t="s">
        <v>6</v>
      </c>
      <c r="F1212" s="6" t="s">
        <v>3229</v>
      </c>
      <c r="G1212" s="8">
        <v>1.60964</v>
      </c>
      <c r="H1212" s="8">
        <v>6.4156300000000002</v>
      </c>
      <c r="I1212" s="6" t="s">
        <v>2477</v>
      </c>
      <c r="J1212" s="6" t="s">
        <v>2459</v>
      </c>
      <c r="K1212" s="6" t="s">
        <v>2460</v>
      </c>
      <c r="L1212" s="6" t="s">
        <v>77</v>
      </c>
      <c r="M1212" s="6" t="s">
        <v>51</v>
      </c>
      <c r="N1212" s="6" t="s">
        <v>3268</v>
      </c>
      <c r="O1212" s="6" t="s">
        <v>40</v>
      </c>
      <c r="P1212" s="6" t="str">
        <f>VLOOKUP(Tableau1[[#This Row],[SITES NAMES]],[1]Feuil1!$1:$1048576,8,FALSE)</f>
        <v>NOK</v>
      </c>
      <c r="Q1212" s="6" t="str">
        <f>VLOOKUP(Tableau1[[#This Row],[SITES NAMES]],[1]Feuil1!$1:$1048576,9,FALSE)</f>
        <v>NO</v>
      </c>
      <c r="R1212" s="6" t="str">
        <f>VLOOKUP(Tableau1[[#This Row],[SITES NAMES]],[1]Feuil1!$1:$1048576,10,FALSE)</f>
        <v>NO</v>
      </c>
      <c r="S1212" s="6" t="s">
        <v>2461</v>
      </c>
      <c r="T1212" s="6" t="s">
        <v>2462</v>
      </c>
      <c r="U1212" s="6" t="s">
        <v>2463</v>
      </c>
      <c r="V1212" s="6" t="s">
        <v>2472</v>
      </c>
      <c r="W1212" s="6" t="s">
        <v>2473</v>
      </c>
      <c r="X1212" s="8">
        <v>70997249</v>
      </c>
      <c r="Y1212" s="6" t="s">
        <v>3241</v>
      </c>
      <c r="Z1212" t="e">
        <f>VLOOKUP(Tableau1[[#This Row],[SITES NAMES]],#REF!,3,FALSE)</f>
        <v>#REF!</v>
      </c>
      <c r="AA1212" s="37" t="s">
        <v>3626</v>
      </c>
      <c r="AB1212" s="38" t="s">
        <v>3627</v>
      </c>
      <c r="AC1212" s="37" t="s">
        <v>3633</v>
      </c>
      <c r="AD1212" s="37" t="s">
        <v>3628</v>
      </c>
      <c r="AE1212" s="37" t="s">
        <v>3629</v>
      </c>
      <c r="AF1212" s="39" t="s">
        <v>3630</v>
      </c>
      <c r="AG1212" s="37" t="s">
        <v>3631</v>
      </c>
      <c r="AH1212" s="37" t="s">
        <v>3632</v>
      </c>
    </row>
    <row r="1213" spans="1:34" ht="14.45" hidden="1" customHeight="1" x14ac:dyDescent="0.25">
      <c r="A1213" s="6" t="s">
        <v>1708</v>
      </c>
      <c r="B1213" s="7">
        <v>44601</v>
      </c>
      <c r="C1213" s="6" t="s">
        <v>1707</v>
      </c>
      <c r="D1213" s="6" t="s">
        <v>66</v>
      </c>
      <c r="E1213" s="6" t="s">
        <v>3236</v>
      </c>
      <c r="F1213" s="6" t="s">
        <v>3229</v>
      </c>
      <c r="G1213" s="8">
        <v>1.1304799999999999</v>
      </c>
      <c r="H1213" s="8">
        <v>6.2404500000000001</v>
      </c>
      <c r="I1213" s="6" t="s">
        <v>2497</v>
      </c>
      <c r="J1213" s="6" t="s">
        <v>2459</v>
      </c>
      <c r="K1213" s="6" t="s">
        <v>2460</v>
      </c>
      <c r="L1213" s="6" t="s">
        <v>1692</v>
      </c>
      <c r="M1213" s="6" t="s">
        <v>1825</v>
      </c>
      <c r="N1213" s="6" t="s">
        <v>3268</v>
      </c>
      <c r="O1213" s="6" t="s">
        <v>7</v>
      </c>
      <c r="P1213" s="6"/>
      <c r="Q1213" s="6" t="str">
        <f>VLOOKUP(Tableau1[[#This Row],[SITES NAMES]],[1]Feuil1!$1:$1048576,9,FALSE)</f>
        <v>NO</v>
      </c>
      <c r="R1213" s="6"/>
      <c r="S1213" s="6" t="s">
        <v>2469</v>
      </c>
      <c r="T1213" s="6" t="s">
        <v>2470</v>
      </c>
      <c r="U1213" s="6" t="s">
        <v>2480</v>
      </c>
      <c r="V1213" s="6" t="s">
        <v>2464</v>
      </c>
      <c r="W1213" s="6" t="s">
        <v>2465</v>
      </c>
      <c r="X1213" s="8">
        <v>93949046</v>
      </c>
      <c r="Y1213" s="6" t="s">
        <v>3238</v>
      </c>
      <c r="Z1213" s="6" t="s">
        <v>3263</v>
      </c>
      <c r="AA1213" s="35" t="s">
        <v>3616</v>
      </c>
      <c r="AB1213" s="35" t="s">
        <v>3608</v>
      </c>
      <c r="AC1213" s="35" t="s">
        <v>3619</v>
      </c>
      <c r="AD1213" s="35" t="s">
        <v>3610</v>
      </c>
      <c r="AE1213" s="35" t="s">
        <v>3610</v>
      </c>
      <c r="AF1213" s="35" t="s">
        <v>3611</v>
      </c>
      <c r="AG1213" s="35" t="s">
        <v>3612</v>
      </c>
      <c r="AH1213" s="35" t="s">
        <v>3620</v>
      </c>
    </row>
    <row r="1214" spans="1:34" ht="14.45" hidden="1" customHeight="1" x14ac:dyDescent="0.25">
      <c r="A1214" s="9" t="s">
        <v>1710</v>
      </c>
      <c r="B1214" s="10">
        <v>0</v>
      </c>
      <c r="C1214" s="9" t="s">
        <v>1709</v>
      </c>
      <c r="D1214" s="9" t="s">
        <v>66</v>
      </c>
      <c r="E1214" s="9" t="s">
        <v>3236</v>
      </c>
      <c r="F1214" s="18" t="s">
        <v>3230</v>
      </c>
      <c r="G1214" s="11">
        <v>1.1470579999999999</v>
      </c>
      <c r="H1214" s="11">
        <v>6.2336600000000004</v>
      </c>
      <c r="I1214" s="9" t="s">
        <v>2497</v>
      </c>
      <c r="J1214" s="6" t="s">
        <v>2459</v>
      </c>
      <c r="K1214" s="6" t="s">
        <v>2460</v>
      </c>
      <c r="L1214" s="6" t="s">
        <v>1594</v>
      </c>
      <c r="M1214" s="6" t="s">
        <v>1640</v>
      </c>
      <c r="N1214" s="6" t="s">
        <v>3268</v>
      </c>
      <c r="O1214" s="9" t="s">
        <v>7</v>
      </c>
      <c r="P1214" s="6" t="str">
        <f>VLOOKUP(Tableau1[[#This Row],[SITES NAMES]],[1]Feuil1!$1:$1048576,8,FALSE)</f>
        <v>OK</v>
      </c>
      <c r="Q1214" s="9" t="str">
        <f>VLOOKUP(Tableau1[[#This Row],[SITES NAMES]],[1]Feuil1!$1:$1048576,9,FALSE)</f>
        <v>NO</v>
      </c>
      <c r="R1214" s="9" t="str">
        <f>VLOOKUP(Tableau1[[#This Row],[SITES NAMES]],[1]Feuil1!$1:$1048576,10,FALSE)</f>
        <v>NO</v>
      </c>
      <c r="S1214" s="9" t="s">
        <v>2469</v>
      </c>
      <c r="T1214" s="9" t="s">
        <v>2470</v>
      </c>
      <c r="U1214" s="9" t="s">
        <v>2480</v>
      </c>
      <c r="V1214" s="9" t="s">
        <v>2478</v>
      </c>
      <c r="W1214" s="9" t="s">
        <v>2476</v>
      </c>
      <c r="X1214" s="11">
        <v>70997250</v>
      </c>
      <c r="Y1214" s="6" t="s">
        <v>3238</v>
      </c>
      <c r="Z1214" s="6" t="s">
        <v>3263</v>
      </c>
      <c r="AA1214" s="35" t="s">
        <v>3616</v>
      </c>
      <c r="AB1214" s="35" t="s">
        <v>3608</v>
      </c>
      <c r="AC1214" s="35" t="s">
        <v>3619</v>
      </c>
      <c r="AD1214" s="35" t="s">
        <v>3610</v>
      </c>
      <c r="AE1214" s="35" t="s">
        <v>3610</v>
      </c>
      <c r="AF1214" s="35" t="s">
        <v>3611</v>
      </c>
      <c r="AG1214" s="35" t="s">
        <v>3612</v>
      </c>
      <c r="AH1214" s="35" t="s">
        <v>3620</v>
      </c>
    </row>
    <row r="1215" spans="1:34" hidden="1" x14ac:dyDescent="0.25">
      <c r="A1215" s="41"/>
      <c r="B1215" s="42"/>
      <c r="C1215" s="41"/>
      <c r="D1215" s="41"/>
      <c r="E1215" s="41"/>
      <c r="F1215" s="41"/>
      <c r="G1215" s="43"/>
      <c r="H1215" s="43"/>
      <c r="I1215" s="41"/>
      <c r="J1215" s="41"/>
      <c r="K1215" s="41"/>
      <c r="L1215" s="9"/>
      <c r="M1215" s="9"/>
      <c r="N1215" s="9"/>
      <c r="O1215" s="41"/>
      <c r="P1215" s="41" t="e">
        <f>VLOOKUP(Tableau1[[#This Row],[SITES NAMES]],[1]Feuil1!$1:$1048576,8,FALSE)</f>
        <v>#N/A</v>
      </c>
      <c r="Q1215" s="41" t="e">
        <f>VLOOKUP(Tableau1[[#This Row],[SITES NAMES]],[1]Feuil1!$1:$1048576,9,FALSE)</f>
        <v>#N/A</v>
      </c>
      <c r="R1215" s="41" t="e">
        <f>VLOOKUP(Tableau1[[#This Row],[SITES NAMES]],[1]Feuil1!$1:$1048576,10,FALSE)</f>
        <v>#N/A</v>
      </c>
      <c r="S1215" s="41"/>
      <c r="T1215" s="41"/>
      <c r="U1215" s="41"/>
      <c r="V1215" s="41"/>
      <c r="W1215" s="41"/>
      <c r="X1215" s="43"/>
      <c r="Y1215" s="41"/>
      <c r="Z1215" s="41"/>
      <c r="AA1215" s="43" t="s">
        <v>3643</v>
      </c>
      <c r="AB1215" s="44" t="s">
        <v>3644</v>
      </c>
      <c r="AC1215" s="43" t="s">
        <v>3645</v>
      </c>
      <c r="AD1215" s="44" t="s">
        <v>3646</v>
      </c>
      <c r="AE1215" s="44" t="s">
        <v>3647</v>
      </c>
      <c r="AF1215" s="44" t="s">
        <v>3648</v>
      </c>
      <c r="AG1215" s="43" t="s">
        <v>3649</v>
      </c>
      <c r="AH1215" s="43" t="s">
        <v>3650</v>
      </c>
    </row>
    <row r="1216" spans="1:34" x14ac:dyDescent="0.25">
      <c r="AA1216" s="32"/>
      <c r="AB1216" s="32"/>
      <c r="AC1216" s="32"/>
      <c r="AD1216" s="32"/>
      <c r="AE1216" s="32"/>
      <c r="AF1216" s="32"/>
      <c r="AG1216" s="32"/>
      <c r="AH1216" s="32"/>
    </row>
    <row r="1217" spans="27:34" x14ac:dyDescent="0.25">
      <c r="AA1217" s="32"/>
      <c r="AB1217" s="32"/>
      <c r="AC1217" s="32"/>
      <c r="AD1217" s="32"/>
      <c r="AE1217" s="32"/>
      <c r="AF1217" s="32"/>
      <c r="AG1217" s="32"/>
      <c r="AH1217" s="32"/>
    </row>
    <row r="1218" spans="27:34" x14ac:dyDescent="0.25">
      <c r="AA1218" s="32"/>
      <c r="AB1218" s="32"/>
      <c r="AC1218" s="32"/>
      <c r="AD1218" s="32"/>
      <c r="AE1218" s="32"/>
      <c r="AF1218" s="32"/>
      <c r="AG1218" s="32"/>
      <c r="AH1218" s="32"/>
    </row>
    <row r="1219" spans="27:34" x14ac:dyDescent="0.25">
      <c r="AA1219" s="32"/>
      <c r="AB1219" s="32"/>
      <c r="AC1219" s="32"/>
      <c r="AD1219" s="32"/>
      <c r="AE1219" s="32"/>
      <c r="AF1219" s="32"/>
      <c r="AG1219" s="32"/>
      <c r="AH1219" s="32"/>
    </row>
    <row r="1220" spans="27:34" x14ac:dyDescent="0.25">
      <c r="AA1220" s="32"/>
      <c r="AB1220" s="32"/>
      <c r="AC1220" s="32"/>
      <c r="AD1220" s="32"/>
      <c r="AE1220" s="32"/>
      <c r="AF1220" s="32"/>
      <c r="AG1220" s="32"/>
      <c r="AH1220" s="32"/>
    </row>
    <row r="1221" spans="27:34" x14ac:dyDescent="0.25">
      <c r="AA1221" s="32"/>
      <c r="AB1221" s="32"/>
      <c r="AC1221" s="32"/>
      <c r="AD1221" s="32"/>
      <c r="AE1221" s="32"/>
      <c r="AF1221" s="32"/>
      <c r="AG1221" s="32"/>
      <c r="AH1221" s="32"/>
    </row>
    <row r="1222" spans="27:34" x14ac:dyDescent="0.25">
      <c r="AA1222" s="32"/>
      <c r="AB1222" s="32"/>
      <c r="AC1222" s="32"/>
      <c r="AD1222" s="32"/>
      <c r="AE1222" s="32"/>
      <c r="AF1222" s="32"/>
      <c r="AG1222" s="32"/>
      <c r="AH1222" s="32"/>
    </row>
    <row r="1223" spans="27:34" x14ac:dyDescent="0.25">
      <c r="AA1223" s="32"/>
      <c r="AB1223" s="32"/>
      <c r="AC1223" s="32"/>
      <c r="AD1223" s="32"/>
      <c r="AE1223" s="32"/>
      <c r="AF1223" s="32"/>
      <c r="AG1223" s="32"/>
      <c r="AH1223" s="32"/>
    </row>
    <row r="1224" spans="27:34" x14ac:dyDescent="0.25">
      <c r="AA1224" s="32"/>
      <c r="AB1224" s="32"/>
      <c r="AC1224" s="32"/>
      <c r="AD1224" s="32"/>
      <c r="AE1224" s="32"/>
      <c r="AF1224" s="32"/>
      <c r="AG1224" s="32"/>
      <c r="AH1224" s="32"/>
    </row>
    <row r="1225" spans="27:34" x14ac:dyDescent="0.25">
      <c r="AA1225" s="32"/>
      <c r="AB1225" s="32"/>
      <c r="AC1225" s="32"/>
      <c r="AD1225" s="32"/>
      <c r="AE1225" s="32"/>
      <c r="AF1225" s="32"/>
      <c r="AG1225" s="32"/>
      <c r="AH1225" s="32"/>
    </row>
    <row r="1226" spans="27:34" x14ac:dyDescent="0.25">
      <c r="AA1226" s="32"/>
      <c r="AB1226" s="32"/>
      <c r="AC1226" s="32"/>
      <c r="AD1226" s="32"/>
      <c r="AE1226" s="32"/>
      <c r="AF1226" s="32"/>
      <c r="AG1226" s="32"/>
      <c r="AH1226" s="32"/>
    </row>
    <row r="1227" spans="27:34" x14ac:dyDescent="0.25">
      <c r="AA1227" s="32"/>
      <c r="AB1227" s="32"/>
      <c r="AC1227" s="32"/>
      <c r="AD1227" s="32"/>
      <c r="AE1227" s="32"/>
      <c r="AF1227" s="32"/>
      <c r="AG1227" s="32"/>
      <c r="AH1227" s="32"/>
    </row>
    <row r="1228" spans="27:34" x14ac:dyDescent="0.25">
      <c r="AA1228" s="32"/>
      <c r="AB1228" s="32"/>
      <c r="AC1228" s="32"/>
      <c r="AD1228" s="32"/>
      <c r="AE1228" s="32"/>
      <c r="AF1228" s="32"/>
      <c r="AG1228" s="32"/>
      <c r="AH1228" s="32"/>
    </row>
    <row r="1229" spans="27:34" x14ac:dyDescent="0.25">
      <c r="AA1229" s="32"/>
      <c r="AB1229" s="32"/>
      <c r="AC1229" s="32"/>
      <c r="AD1229" s="32"/>
      <c r="AE1229" s="32"/>
      <c r="AF1229" s="32"/>
      <c r="AG1229" s="32"/>
      <c r="AH1229" s="32"/>
    </row>
    <row r="1230" spans="27:34" x14ac:dyDescent="0.25">
      <c r="AA1230" s="32"/>
      <c r="AB1230" s="32"/>
      <c r="AC1230" s="32"/>
      <c r="AD1230" s="32"/>
      <c r="AE1230" s="32"/>
      <c r="AF1230" s="32"/>
      <c r="AG1230" s="32"/>
      <c r="AH1230" s="32"/>
    </row>
    <row r="1231" spans="27:34" x14ac:dyDescent="0.25">
      <c r="AA1231" s="32"/>
      <c r="AB1231" s="32"/>
      <c r="AC1231" s="32"/>
      <c r="AD1231" s="32"/>
      <c r="AE1231" s="32"/>
      <c r="AF1231" s="32"/>
      <c r="AG1231" s="32"/>
      <c r="AH1231" s="32"/>
    </row>
    <row r="1232" spans="27:34" x14ac:dyDescent="0.25">
      <c r="AA1232" s="32"/>
      <c r="AB1232" s="32"/>
      <c r="AC1232" s="32"/>
      <c r="AD1232" s="32"/>
      <c r="AE1232" s="32"/>
      <c r="AF1232" s="32"/>
      <c r="AG1232" s="32"/>
      <c r="AH1232" s="32"/>
    </row>
    <row r="1233" spans="27:34" x14ac:dyDescent="0.25">
      <c r="AA1233" s="32"/>
      <c r="AB1233" s="32"/>
      <c r="AC1233" s="32"/>
      <c r="AD1233" s="32"/>
      <c r="AE1233" s="32"/>
      <c r="AF1233" s="32"/>
      <c r="AG1233" s="32"/>
      <c r="AH1233" s="32"/>
    </row>
    <row r="1234" spans="27:34" x14ac:dyDescent="0.25">
      <c r="AA1234" s="32"/>
      <c r="AB1234" s="32"/>
      <c r="AC1234" s="32"/>
      <c r="AD1234" s="32"/>
      <c r="AE1234" s="32"/>
      <c r="AF1234" s="32"/>
      <c r="AG1234" s="32"/>
      <c r="AH1234" s="32"/>
    </row>
    <row r="1235" spans="27:34" x14ac:dyDescent="0.25">
      <c r="AA1235" s="32"/>
      <c r="AB1235" s="32"/>
      <c r="AC1235" s="32"/>
      <c r="AD1235" s="32"/>
      <c r="AE1235" s="32"/>
      <c r="AF1235" s="32"/>
      <c r="AG1235" s="32"/>
      <c r="AH1235" s="32"/>
    </row>
    <row r="1236" spans="27:34" x14ac:dyDescent="0.25">
      <c r="AA1236" s="32"/>
      <c r="AB1236" s="32"/>
      <c r="AC1236" s="32"/>
      <c r="AD1236" s="32"/>
      <c r="AE1236" s="32"/>
      <c r="AF1236" s="32"/>
      <c r="AG1236" s="32"/>
      <c r="AH1236" s="32"/>
    </row>
    <row r="1237" spans="27:34" x14ac:dyDescent="0.25">
      <c r="AA1237" s="32"/>
      <c r="AB1237" s="32"/>
      <c r="AC1237" s="32"/>
      <c r="AD1237" s="32"/>
      <c r="AE1237" s="32"/>
      <c r="AF1237" s="32"/>
      <c r="AG1237" s="32"/>
      <c r="AH1237" s="32"/>
    </row>
    <row r="1238" spans="27:34" x14ac:dyDescent="0.25">
      <c r="AA1238" s="32"/>
      <c r="AB1238" s="32"/>
      <c r="AC1238" s="32"/>
      <c r="AD1238" s="32"/>
      <c r="AE1238" s="32"/>
      <c r="AF1238" s="32"/>
      <c r="AG1238" s="32"/>
      <c r="AH1238" s="32"/>
    </row>
    <row r="1239" spans="27:34" x14ac:dyDescent="0.25">
      <c r="AA1239" s="32"/>
      <c r="AB1239" s="32"/>
      <c r="AC1239" s="32"/>
      <c r="AD1239" s="32"/>
      <c r="AE1239" s="32"/>
      <c r="AF1239" s="32"/>
      <c r="AG1239" s="32"/>
      <c r="AH1239" s="32"/>
    </row>
    <row r="1240" spans="27:34" x14ac:dyDescent="0.25">
      <c r="AA1240" s="32"/>
      <c r="AB1240" s="32"/>
      <c r="AC1240" s="32"/>
      <c r="AD1240" s="32"/>
      <c r="AE1240" s="32"/>
      <c r="AF1240" s="32"/>
      <c r="AG1240" s="32"/>
      <c r="AH1240" s="32"/>
    </row>
    <row r="1241" spans="27:34" x14ac:dyDescent="0.25">
      <c r="AA1241" s="32"/>
      <c r="AB1241" s="32"/>
      <c r="AC1241" s="32"/>
      <c r="AD1241" s="32"/>
      <c r="AE1241" s="32"/>
      <c r="AF1241" s="32"/>
      <c r="AG1241" s="32"/>
      <c r="AH1241" s="32"/>
    </row>
    <row r="1242" spans="27:34" x14ac:dyDescent="0.25">
      <c r="AA1242" s="32"/>
      <c r="AB1242" s="32"/>
      <c r="AC1242" s="32"/>
      <c r="AD1242" s="32"/>
      <c r="AE1242" s="32"/>
      <c r="AF1242" s="32"/>
      <c r="AG1242" s="32"/>
      <c r="AH1242" s="32"/>
    </row>
    <row r="1243" spans="27:34" x14ac:dyDescent="0.25">
      <c r="AA1243" s="32"/>
      <c r="AB1243" s="32"/>
      <c r="AC1243" s="32"/>
      <c r="AD1243" s="32"/>
      <c r="AE1243" s="32"/>
      <c r="AF1243" s="32"/>
      <c r="AG1243" s="32"/>
      <c r="AH1243" s="32"/>
    </row>
    <row r="1244" spans="27:34" x14ac:dyDescent="0.25">
      <c r="AA1244" s="32"/>
      <c r="AB1244" s="32"/>
      <c r="AC1244" s="32"/>
      <c r="AD1244" s="32"/>
      <c r="AE1244" s="32"/>
      <c r="AF1244" s="32"/>
      <c r="AG1244" s="32"/>
      <c r="AH1244" s="32"/>
    </row>
    <row r="1245" spans="27:34" x14ac:dyDescent="0.25">
      <c r="AA1245" s="32"/>
      <c r="AB1245" s="32"/>
      <c r="AC1245" s="32"/>
      <c r="AD1245" s="32"/>
      <c r="AE1245" s="32"/>
      <c r="AF1245" s="32"/>
      <c r="AG1245" s="32"/>
      <c r="AH1245" s="32"/>
    </row>
    <row r="1246" spans="27:34" x14ac:dyDescent="0.25">
      <c r="AA1246" s="32"/>
      <c r="AB1246" s="32"/>
      <c r="AC1246" s="32"/>
      <c r="AD1246" s="32"/>
      <c r="AE1246" s="32"/>
      <c r="AF1246" s="32"/>
      <c r="AG1246" s="32"/>
      <c r="AH1246" s="32"/>
    </row>
    <row r="1247" spans="27:34" x14ac:dyDescent="0.25">
      <c r="AA1247" s="32"/>
      <c r="AB1247" s="32"/>
      <c r="AC1247" s="32"/>
      <c r="AD1247" s="32"/>
      <c r="AE1247" s="32"/>
      <c r="AF1247" s="32"/>
      <c r="AG1247" s="32"/>
      <c r="AH1247" s="32"/>
    </row>
    <row r="1248" spans="27:34" x14ac:dyDescent="0.25">
      <c r="AA1248" s="32"/>
      <c r="AB1248" s="32"/>
      <c r="AC1248" s="32"/>
      <c r="AD1248" s="32"/>
      <c r="AE1248" s="32"/>
      <c r="AF1248" s="32"/>
      <c r="AG1248" s="32"/>
      <c r="AH1248" s="32"/>
    </row>
    <row r="1249" spans="27:34" x14ac:dyDescent="0.25">
      <c r="AA1249" s="32"/>
      <c r="AB1249" s="32"/>
      <c r="AC1249" s="32"/>
      <c r="AD1249" s="32"/>
      <c r="AE1249" s="32"/>
      <c r="AF1249" s="32"/>
      <c r="AG1249" s="32"/>
      <c r="AH1249" s="32"/>
    </row>
    <row r="1250" spans="27:34" x14ac:dyDescent="0.25">
      <c r="AA1250" s="32"/>
      <c r="AB1250" s="32"/>
      <c r="AC1250" s="32"/>
      <c r="AD1250" s="32"/>
      <c r="AE1250" s="32"/>
      <c r="AF1250" s="32"/>
      <c r="AG1250" s="32"/>
      <c r="AH1250" s="32"/>
    </row>
    <row r="1251" spans="27:34" x14ac:dyDescent="0.25">
      <c r="AA1251" s="32"/>
      <c r="AB1251" s="32"/>
      <c r="AC1251" s="32"/>
      <c r="AD1251" s="32"/>
      <c r="AE1251" s="32"/>
      <c r="AF1251" s="32"/>
      <c r="AG1251" s="32"/>
      <c r="AH1251" s="32"/>
    </row>
    <row r="1252" spans="27:34" x14ac:dyDescent="0.25">
      <c r="AA1252" s="32"/>
      <c r="AB1252" s="32"/>
      <c r="AC1252" s="32"/>
      <c r="AD1252" s="32"/>
      <c r="AE1252" s="32"/>
      <c r="AF1252" s="32"/>
      <c r="AG1252" s="32"/>
      <c r="AH1252" s="32"/>
    </row>
    <row r="1253" spans="27:34" x14ac:dyDescent="0.25">
      <c r="AA1253" s="32"/>
      <c r="AB1253" s="32"/>
      <c r="AC1253" s="32"/>
      <c r="AD1253" s="32"/>
      <c r="AE1253" s="32"/>
      <c r="AF1253" s="32"/>
      <c r="AG1253" s="32"/>
      <c r="AH1253" s="32"/>
    </row>
    <row r="1254" spans="27:34" x14ac:dyDescent="0.25">
      <c r="AA1254" s="32"/>
      <c r="AB1254" s="32"/>
      <c r="AC1254" s="32"/>
      <c r="AD1254" s="32"/>
      <c r="AE1254" s="32"/>
      <c r="AF1254" s="32"/>
      <c r="AG1254" s="32"/>
      <c r="AH1254" s="32"/>
    </row>
    <row r="1255" spans="27:34" x14ac:dyDescent="0.25">
      <c r="AA1255" s="32"/>
      <c r="AB1255" s="32"/>
      <c r="AC1255" s="32"/>
      <c r="AD1255" s="32"/>
      <c r="AE1255" s="32"/>
      <c r="AF1255" s="32"/>
      <c r="AG1255" s="32"/>
      <c r="AH1255" s="32"/>
    </row>
    <row r="1256" spans="27:34" x14ac:dyDescent="0.25">
      <c r="AA1256" s="32"/>
      <c r="AB1256" s="32"/>
      <c r="AC1256" s="32"/>
      <c r="AD1256" s="32"/>
      <c r="AE1256" s="32"/>
      <c r="AF1256" s="32"/>
      <c r="AG1256" s="32"/>
      <c r="AH1256" s="32"/>
    </row>
    <row r="1257" spans="27:34" x14ac:dyDescent="0.25">
      <c r="AA1257" s="32"/>
      <c r="AB1257" s="32"/>
      <c r="AC1257" s="32"/>
      <c r="AD1257" s="32"/>
      <c r="AE1257" s="32"/>
      <c r="AF1257" s="32"/>
      <c r="AG1257" s="32"/>
      <c r="AH1257" s="32"/>
    </row>
    <row r="1258" spans="27:34" x14ac:dyDescent="0.25">
      <c r="AA1258" s="32"/>
      <c r="AB1258" s="32"/>
      <c r="AC1258" s="32"/>
      <c r="AD1258" s="32"/>
      <c r="AE1258" s="32"/>
      <c r="AF1258" s="32"/>
      <c r="AG1258" s="32"/>
      <c r="AH1258" s="32"/>
    </row>
    <row r="1259" spans="27:34" x14ac:dyDescent="0.25">
      <c r="AA1259" s="32"/>
      <c r="AB1259" s="32"/>
      <c r="AC1259" s="32"/>
      <c r="AD1259" s="32"/>
      <c r="AE1259" s="32"/>
      <c r="AF1259" s="32"/>
      <c r="AG1259" s="32"/>
      <c r="AH1259" s="32"/>
    </row>
    <row r="1260" spans="27:34" x14ac:dyDescent="0.25">
      <c r="AA1260" s="32"/>
      <c r="AB1260" s="32"/>
      <c r="AC1260" s="32"/>
      <c r="AD1260" s="32"/>
      <c r="AE1260" s="32"/>
      <c r="AF1260" s="32"/>
      <c r="AG1260" s="32"/>
      <c r="AH1260" s="32"/>
    </row>
    <row r="1261" spans="27:34" x14ac:dyDescent="0.25">
      <c r="AA1261" s="32"/>
      <c r="AB1261" s="32"/>
      <c r="AC1261" s="32"/>
      <c r="AD1261" s="32"/>
      <c r="AE1261" s="32"/>
      <c r="AF1261" s="32"/>
      <c r="AG1261" s="32"/>
      <c r="AH1261" s="32"/>
    </row>
    <row r="1262" spans="27:34" x14ac:dyDescent="0.25">
      <c r="AA1262" s="32"/>
      <c r="AB1262" s="32"/>
      <c r="AC1262" s="32"/>
      <c r="AD1262" s="32"/>
      <c r="AE1262" s="32"/>
      <c r="AF1262" s="32"/>
      <c r="AG1262" s="32"/>
      <c r="AH1262" s="32"/>
    </row>
    <row r="1263" spans="27:34" x14ac:dyDescent="0.25">
      <c r="AA1263" s="32"/>
      <c r="AB1263" s="32"/>
      <c r="AC1263" s="32"/>
      <c r="AD1263" s="32"/>
      <c r="AE1263" s="32"/>
      <c r="AF1263" s="32"/>
      <c r="AG1263" s="32"/>
      <c r="AH1263" s="32"/>
    </row>
    <row r="1264" spans="27:34" x14ac:dyDescent="0.25">
      <c r="AA1264" s="32"/>
      <c r="AB1264" s="32"/>
      <c r="AC1264" s="32"/>
      <c r="AD1264" s="32"/>
      <c r="AE1264" s="32"/>
      <c r="AF1264" s="32"/>
      <c r="AG1264" s="32"/>
      <c r="AH1264" s="32"/>
    </row>
    <row r="1265" spans="27:34" x14ac:dyDescent="0.25">
      <c r="AA1265" s="32"/>
      <c r="AB1265" s="32"/>
      <c r="AC1265" s="32"/>
      <c r="AD1265" s="32"/>
      <c r="AE1265" s="32"/>
      <c r="AF1265" s="32"/>
      <c r="AG1265" s="32"/>
      <c r="AH1265" s="32"/>
    </row>
    <row r="1266" spans="27:34" x14ac:dyDescent="0.25">
      <c r="AA1266" s="32"/>
      <c r="AB1266" s="32"/>
      <c r="AC1266" s="32"/>
      <c r="AD1266" s="32"/>
      <c r="AE1266" s="32"/>
      <c r="AF1266" s="32"/>
      <c r="AG1266" s="32"/>
      <c r="AH1266" s="32"/>
    </row>
    <row r="1267" spans="27:34" x14ac:dyDescent="0.25">
      <c r="AA1267" s="32"/>
      <c r="AB1267" s="32"/>
      <c r="AC1267" s="32"/>
      <c r="AD1267" s="32"/>
      <c r="AE1267" s="32"/>
      <c r="AF1267" s="32"/>
      <c r="AG1267" s="32"/>
      <c r="AH1267" s="32"/>
    </row>
    <row r="1268" spans="27:34" x14ac:dyDescent="0.25">
      <c r="AA1268" s="32"/>
      <c r="AB1268" s="32"/>
      <c r="AC1268" s="32"/>
      <c r="AD1268" s="32"/>
      <c r="AE1268" s="32"/>
      <c r="AF1268" s="32"/>
      <c r="AG1268" s="32"/>
      <c r="AH1268" s="32"/>
    </row>
    <row r="1269" spans="27:34" x14ac:dyDescent="0.25">
      <c r="AA1269" s="32"/>
      <c r="AB1269" s="32"/>
      <c r="AC1269" s="32"/>
      <c r="AD1269" s="32"/>
      <c r="AE1269" s="32"/>
      <c r="AF1269" s="32"/>
      <c r="AG1269" s="32"/>
      <c r="AH1269" s="32"/>
    </row>
    <row r="1270" spans="27:34" x14ac:dyDescent="0.25">
      <c r="AA1270" s="32"/>
      <c r="AB1270" s="32"/>
      <c r="AC1270" s="32"/>
      <c r="AD1270" s="32"/>
      <c r="AE1270" s="32"/>
      <c r="AF1270" s="32"/>
      <c r="AG1270" s="32"/>
      <c r="AH1270" s="32"/>
    </row>
    <row r="1271" spans="27:34" x14ac:dyDescent="0.25">
      <c r="AA1271" s="32"/>
      <c r="AB1271" s="32"/>
      <c r="AC1271" s="32"/>
      <c r="AD1271" s="32"/>
      <c r="AE1271" s="32"/>
      <c r="AF1271" s="32"/>
      <c r="AG1271" s="32"/>
      <c r="AH1271" s="32"/>
    </row>
    <row r="1272" spans="27:34" x14ac:dyDescent="0.25">
      <c r="AA1272" s="32"/>
      <c r="AB1272" s="32"/>
      <c r="AC1272" s="32"/>
      <c r="AD1272" s="32"/>
      <c r="AE1272" s="32"/>
      <c r="AF1272" s="32"/>
      <c r="AG1272" s="32"/>
      <c r="AH1272" s="32"/>
    </row>
    <row r="1273" spans="27:34" x14ac:dyDescent="0.25">
      <c r="AA1273" s="32"/>
      <c r="AB1273" s="32"/>
      <c r="AC1273" s="32"/>
      <c r="AD1273" s="32"/>
      <c r="AE1273" s="32"/>
      <c r="AF1273" s="32"/>
      <c r="AG1273" s="32"/>
      <c r="AH1273" s="32"/>
    </row>
    <row r="1274" spans="27:34" x14ac:dyDescent="0.25">
      <c r="AA1274" s="32"/>
      <c r="AB1274" s="32"/>
      <c r="AC1274" s="32"/>
      <c r="AD1274" s="32"/>
      <c r="AE1274" s="32"/>
      <c r="AF1274" s="32"/>
      <c r="AG1274" s="32"/>
      <c r="AH1274" s="32"/>
    </row>
    <row r="1275" spans="27:34" x14ac:dyDescent="0.25">
      <c r="AA1275" s="32"/>
      <c r="AB1275" s="32"/>
      <c r="AC1275" s="32"/>
      <c r="AD1275" s="32"/>
      <c r="AE1275" s="32"/>
      <c r="AF1275" s="32"/>
      <c r="AG1275" s="32"/>
      <c r="AH1275" s="32"/>
    </row>
    <row r="1276" spans="27:34" x14ac:dyDescent="0.25">
      <c r="AA1276" s="32"/>
      <c r="AB1276" s="32"/>
      <c r="AC1276" s="32"/>
      <c r="AD1276" s="32"/>
      <c r="AE1276" s="32"/>
      <c r="AF1276" s="32"/>
      <c r="AG1276" s="32"/>
      <c r="AH1276" s="32"/>
    </row>
    <row r="1277" spans="27:34" x14ac:dyDescent="0.25">
      <c r="AA1277" s="32"/>
      <c r="AB1277" s="32"/>
      <c r="AC1277" s="32"/>
      <c r="AD1277" s="32"/>
      <c r="AE1277" s="32"/>
      <c r="AF1277" s="32"/>
      <c r="AG1277" s="32"/>
      <c r="AH1277" s="32"/>
    </row>
    <row r="1278" spans="27:34" x14ac:dyDescent="0.25">
      <c r="AA1278" s="32"/>
      <c r="AB1278" s="32"/>
      <c r="AC1278" s="32"/>
      <c r="AD1278" s="32"/>
      <c r="AE1278" s="32"/>
      <c r="AF1278" s="32"/>
      <c r="AG1278" s="32"/>
      <c r="AH1278" s="32"/>
    </row>
    <row r="1279" spans="27:34" x14ac:dyDescent="0.25">
      <c r="AA1279" s="32"/>
      <c r="AB1279" s="32"/>
      <c r="AC1279" s="32"/>
      <c r="AD1279" s="32"/>
      <c r="AE1279" s="32"/>
      <c r="AF1279" s="32"/>
      <c r="AG1279" s="32"/>
      <c r="AH1279" s="32"/>
    </row>
    <row r="1280" spans="27:34" x14ac:dyDescent="0.25">
      <c r="AA1280" s="32"/>
      <c r="AB1280" s="32"/>
      <c r="AC1280" s="32"/>
      <c r="AD1280" s="32"/>
      <c r="AE1280" s="32"/>
      <c r="AF1280" s="32"/>
      <c r="AG1280" s="32"/>
      <c r="AH1280" s="32"/>
    </row>
    <row r="1281" spans="27:34" x14ac:dyDescent="0.25">
      <c r="AA1281" s="32"/>
      <c r="AB1281" s="32"/>
      <c r="AC1281" s="32"/>
      <c r="AD1281" s="32"/>
      <c r="AE1281" s="32"/>
      <c r="AF1281" s="32"/>
      <c r="AG1281" s="32"/>
      <c r="AH1281" s="32"/>
    </row>
    <row r="1282" spans="27:34" x14ac:dyDescent="0.25">
      <c r="AA1282" s="32"/>
      <c r="AB1282" s="32"/>
      <c r="AC1282" s="32"/>
      <c r="AD1282" s="32"/>
      <c r="AE1282" s="32"/>
      <c r="AF1282" s="32"/>
      <c r="AG1282" s="32"/>
      <c r="AH1282" s="32"/>
    </row>
    <row r="1283" spans="27:34" x14ac:dyDescent="0.25">
      <c r="AA1283" s="32"/>
      <c r="AB1283" s="32"/>
      <c r="AC1283" s="32"/>
      <c r="AD1283" s="32"/>
      <c r="AE1283" s="32"/>
      <c r="AF1283" s="32"/>
      <c r="AG1283" s="32"/>
      <c r="AH1283" s="32"/>
    </row>
    <row r="1284" spans="27:34" x14ac:dyDescent="0.25">
      <c r="AA1284" s="32"/>
      <c r="AB1284" s="32"/>
      <c r="AC1284" s="32"/>
      <c r="AD1284" s="32"/>
      <c r="AE1284" s="32"/>
      <c r="AF1284" s="32"/>
      <c r="AG1284" s="32"/>
      <c r="AH1284" s="32"/>
    </row>
    <row r="1285" spans="27:34" x14ac:dyDescent="0.25">
      <c r="AA1285" s="32"/>
      <c r="AB1285" s="32"/>
      <c r="AC1285" s="32"/>
      <c r="AD1285" s="32"/>
      <c r="AE1285" s="32"/>
      <c r="AF1285" s="32"/>
      <c r="AG1285" s="32"/>
      <c r="AH1285" s="32"/>
    </row>
    <row r="1286" spans="27:34" x14ac:dyDescent="0.25">
      <c r="AA1286" s="32"/>
      <c r="AB1286" s="32"/>
      <c r="AC1286" s="32"/>
      <c r="AD1286" s="32"/>
      <c r="AE1286" s="32"/>
      <c r="AF1286" s="32"/>
      <c r="AG1286" s="32"/>
      <c r="AH1286" s="32"/>
    </row>
    <row r="1287" spans="27:34" x14ac:dyDescent="0.25">
      <c r="AA1287" s="32"/>
      <c r="AB1287" s="32"/>
      <c r="AC1287" s="32"/>
      <c r="AD1287" s="32"/>
      <c r="AE1287" s="32"/>
      <c r="AF1287" s="32"/>
      <c r="AG1287" s="32"/>
      <c r="AH1287" s="32"/>
    </row>
    <row r="1288" spans="27:34" x14ac:dyDescent="0.25">
      <c r="AA1288" s="32"/>
      <c r="AB1288" s="32"/>
      <c r="AC1288" s="32"/>
      <c r="AD1288" s="32"/>
      <c r="AE1288" s="32"/>
      <c r="AF1288" s="32"/>
      <c r="AG1288" s="32"/>
      <c r="AH1288" s="32"/>
    </row>
    <row r="1289" spans="27:34" x14ac:dyDescent="0.25">
      <c r="AA1289" s="32"/>
      <c r="AB1289" s="32"/>
      <c r="AC1289" s="32"/>
      <c r="AD1289" s="32"/>
      <c r="AE1289" s="32"/>
      <c r="AF1289" s="32"/>
      <c r="AG1289" s="32"/>
      <c r="AH1289" s="32"/>
    </row>
    <row r="1290" spans="27:34" x14ac:dyDescent="0.25">
      <c r="AA1290" s="32"/>
      <c r="AB1290" s="32"/>
      <c r="AC1290" s="32"/>
      <c r="AD1290" s="32"/>
      <c r="AE1290" s="32"/>
      <c r="AF1290" s="32"/>
      <c r="AG1290" s="32"/>
      <c r="AH1290" s="32"/>
    </row>
    <row r="1291" spans="27:34" x14ac:dyDescent="0.25">
      <c r="AA1291" s="32"/>
      <c r="AB1291" s="32"/>
      <c r="AC1291" s="32"/>
      <c r="AD1291" s="32"/>
      <c r="AE1291" s="32"/>
      <c r="AF1291" s="32"/>
      <c r="AG1291" s="32"/>
      <c r="AH1291" s="32"/>
    </row>
    <row r="1292" spans="27:34" x14ac:dyDescent="0.25">
      <c r="AA1292" s="32"/>
      <c r="AB1292" s="32"/>
      <c r="AC1292" s="32"/>
      <c r="AD1292" s="32"/>
      <c r="AE1292" s="32"/>
      <c r="AF1292" s="32"/>
      <c r="AG1292" s="32"/>
      <c r="AH1292" s="32"/>
    </row>
    <row r="1293" spans="27:34" x14ac:dyDescent="0.25">
      <c r="AA1293" s="32"/>
      <c r="AB1293" s="32"/>
      <c r="AC1293" s="32"/>
      <c r="AD1293" s="32"/>
      <c r="AE1293" s="32"/>
      <c r="AF1293" s="32"/>
      <c r="AG1293" s="32"/>
      <c r="AH1293" s="32"/>
    </row>
    <row r="1294" spans="27:34" x14ac:dyDescent="0.25">
      <c r="AA1294" s="32"/>
      <c r="AB1294" s="32"/>
      <c r="AC1294" s="32"/>
      <c r="AD1294" s="32"/>
      <c r="AE1294" s="32"/>
      <c r="AF1294" s="32"/>
      <c r="AG1294" s="32"/>
      <c r="AH1294" s="32"/>
    </row>
    <row r="1295" spans="27:34" x14ac:dyDescent="0.25">
      <c r="AA1295" s="32"/>
      <c r="AB1295" s="32"/>
      <c r="AC1295" s="32"/>
      <c r="AD1295" s="32"/>
      <c r="AE1295" s="32"/>
      <c r="AF1295" s="32"/>
      <c r="AG1295" s="32"/>
      <c r="AH1295" s="32"/>
    </row>
    <row r="1296" spans="27:34" x14ac:dyDescent="0.25">
      <c r="AA1296" s="32"/>
      <c r="AB1296" s="32"/>
      <c r="AC1296" s="32"/>
      <c r="AD1296" s="32"/>
      <c r="AE1296" s="32"/>
      <c r="AF1296" s="32"/>
      <c r="AG1296" s="32"/>
      <c r="AH1296" s="32"/>
    </row>
    <row r="1297" spans="27:34" x14ac:dyDescent="0.25">
      <c r="AA1297" s="32"/>
      <c r="AB1297" s="32"/>
      <c r="AC1297" s="32"/>
      <c r="AD1297" s="32"/>
      <c r="AE1297" s="32"/>
      <c r="AF1297" s="32"/>
      <c r="AG1297" s="32"/>
      <c r="AH1297" s="32"/>
    </row>
    <row r="1298" spans="27:34" x14ac:dyDescent="0.25">
      <c r="AA1298" s="32"/>
      <c r="AB1298" s="32"/>
      <c r="AC1298" s="32"/>
      <c r="AD1298" s="32"/>
      <c r="AE1298" s="32"/>
      <c r="AF1298" s="32"/>
      <c r="AG1298" s="32"/>
      <c r="AH1298" s="32"/>
    </row>
    <row r="1299" spans="27:34" x14ac:dyDescent="0.25">
      <c r="AA1299" s="32"/>
      <c r="AB1299" s="32"/>
      <c r="AC1299" s="32"/>
      <c r="AD1299" s="32"/>
      <c r="AE1299" s="32"/>
      <c r="AF1299" s="32"/>
      <c r="AG1299" s="32"/>
      <c r="AH1299" s="32"/>
    </row>
    <row r="1300" spans="27:34" x14ac:dyDescent="0.25">
      <c r="AA1300" s="32"/>
      <c r="AB1300" s="32"/>
      <c r="AC1300" s="32"/>
      <c r="AD1300" s="32"/>
      <c r="AE1300" s="32"/>
      <c r="AF1300" s="32"/>
      <c r="AG1300" s="32"/>
      <c r="AH1300" s="32"/>
    </row>
    <row r="1301" spans="27:34" x14ac:dyDescent="0.25">
      <c r="AA1301" s="32"/>
      <c r="AB1301" s="32"/>
      <c r="AC1301" s="32"/>
      <c r="AD1301" s="32"/>
      <c r="AE1301" s="32"/>
      <c r="AF1301" s="32"/>
      <c r="AG1301" s="32"/>
      <c r="AH1301" s="32"/>
    </row>
    <row r="1302" spans="27:34" x14ac:dyDescent="0.25">
      <c r="AA1302" s="32"/>
      <c r="AB1302" s="32"/>
      <c r="AC1302" s="32"/>
      <c r="AD1302" s="32"/>
      <c r="AE1302" s="32"/>
      <c r="AF1302" s="32"/>
      <c r="AG1302" s="32"/>
      <c r="AH1302" s="32"/>
    </row>
    <row r="1303" spans="27:34" x14ac:dyDescent="0.25">
      <c r="AA1303" s="32"/>
      <c r="AB1303" s="32"/>
      <c r="AC1303" s="32"/>
      <c r="AD1303" s="32"/>
      <c r="AE1303" s="32"/>
      <c r="AF1303" s="32"/>
      <c r="AG1303" s="32"/>
      <c r="AH1303" s="32"/>
    </row>
    <row r="1304" spans="27:34" x14ac:dyDescent="0.25">
      <c r="AA1304" s="32"/>
      <c r="AB1304" s="32"/>
      <c r="AC1304" s="32"/>
      <c r="AD1304" s="32"/>
      <c r="AE1304" s="32"/>
      <c r="AF1304" s="32"/>
      <c r="AG1304" s="32"/>
      <c r="AH1304" s="32"/>
    </row>
    <row r="1305" spans="27:34" x14ac:dyDescent="0.25">
      <c r="AA1305" s="32"/>
      <c r="AB1305" s="32"/>
      <c r="AC1305" s="32"/>
      <c r="AD1305" s="32"/>
      <c r="AE1305" s="32"/>
      <c r="AF1305" s="32"/>
      <c r="AG1305" s="32"/>
      <c r="AH1305" s="32"/>
    </row>
    <row r="1306" spans="27:34" x14ac:dyDescent="0.25">
      <c r="AA1306" s="32"/>
      <c r="AB1306" s="32"/>
      <c r="AC1306" s="32"/>
      <c r="AD1306" s="32"/>
      <c r="AE1306" s="32"/>
      <c r="AF1306" s="32"/>
      <c r="AG1306" s="32"/>
      <c r="AH1306" s="32"/>
    </row>
    <row r="1307" spans="27:34" x14ac:dyDescent="0.25">
      <c r="AA1307" s="32"/>
      <c r="AB1307" s="32"/>
      <c r="AC1307" s="32"/>
      <c r="AD1307" s="32"/>
      <c r="AE1307" s="32"/>
      <c r="AF1307" s="32"/>
      <c r="AG1307" s="32"/>
      <c r="AH1307" s="32"/>
    </row>
    <row r="1308" spans="27:34" x14ac:dyDescent="0.25">
      <c r="AA1308" s="32"/>
      <c r="AB1308" s="32"/>
      <c r="AC1308" s="32"/>
      <c r="AD1308" s="32"/>
      <c r="AE1308" s="32"/>
      <c r="AF1308" s="32"/>
      <c r="AG1308" s="32"/>
      <c r="AH1308" s="32"/>
    </row>
    <row r="1309" spans="27:34" x14ac:dyDescent="0.25">
      <c r="AA1309" s="32"/>
      <c r="AB1309" s="32"/>
      <c r="AC1309" s="32"/>
      <c r="AD1309" s="32"/>
      <c r="AE1309" s="32"/>
      <c r="AF1309" s="32"/>
      <c r="AG1309" s="32"/>
      <c r="AH1309" s="32"/>
    </row>
    <row r="1310" spans="27:34" x14ac:dyDescent="0.25">
      <c r="AA1310" s="32"/>
      <c r="AB1310" s="32"/>
      <c r="AC1310" s="32"/>
      <c r="AD1310" s="32"/>
      <c r="AE1310" s="32"/>
      <c r="AF1310" s="32"/>
      <c r="AG1310" s="32"/>
      <c r="AH1310" s="32"/>
    </row>
    <row r="1311" spans="27:34" x14ac:dyDescent="0.25">
      <c r="AA1311" s="32"/>
      <c r="AB1311" s="32"/>
      <c r="AC1311" s="32"/>
      <c r="AD1311" s="32"/>
      <c r="AE1311" s="32"/>
      <c r="AF1311" s="32"/>
      <c r="AG1311" s="32"/>
      <c r="AH1311" s="32"/>
    </row>
    <row r="1312" spans="27:34" x14ac:dyDescent="0.25">
      <c r="AA1312" s="32"/>
      <c r="AB1312" s="32"/>
      <c r="AC1312" s="32"/>
      <c r="AD1312" s="32"/>
      <c r="AE1312" s="32"/>
      <c r="AF1312" s="32"/>
      <c r="AG1312" s="32"/>
      <c r="AH1312" s="32"/>
    </row>
    <row r="1313" spans="27:34" x14ac:dyDescent="0.25">
      <c r="AA1313" s="32"/>
      <c r="AB1313" s="32"/>
      <c r="AC1313" s="32"/>
      <c r="AD1313" s="32"/>
      <c r="AE1313" s="32"/>
      <c r="AF1313" s="32"/>
      <c r="AG1313" s="32"/>
      <c r="AH1313" s="32"/>
    </row>
    <row r="1314" spans="27:34" x14ac:dyDescent="0.25">
      <c r="AA1314" s="32"/>
      <c r="AB1314" s="32"/>
      <c r="AC1314" s="32"/>
      <c r="AD1314" s="32"/>
      <c r="AE1314" s="32"/>
      <c r="AF1314" s="32"/>
      <c r="AG1314" s="32"/>
      <c r="AH1314" s="32"/>
    </row>
    <row r="1315" spans="27:34" x14ac:dyDescent="0.25">
      <c r="AA1315" s="32"/>
      <c r="AB1315" s="32"/>
      <c r="AC1315" s="32"/>
      <c r="AD1315" s="32"/>
      <c r="AE1315" s="32"/>
      <c r="AF1315" s="32"/>
      <c r="AG1315" s="32"/>
      <c r="AH1315" s="32"/>
    </row>
    <row r="1316" spans="27:34" x14ac:dyDescent="0.25">
      <c r="AA1316" s="32"/>
      <c r="AB1316" s="32"/>
      <c r="AC1316" s="32"/>
      <c r="AD1316" s="32"/>
      <c r="AE1316" s="32"/>
      <c r="AF1316" s="32"/>
      <c r="AG1316" s="32"/>
      <c r="AH1316" s="32"/>
    </row>
    <row r="1317" spans="27:34" x14ac:dyDescent="0.25">
      <c r="AA1317" s="32"/>
      <c r="AB1317" s="32"/>
      <c r="AC1317" s="32"/>
      <c r="AD1317" s="32"/>
      <c r="AE1317" s="32"/>
      <c r="AF1317" s="32"/>
      <c r="AG1317" s="32"/>
      <c r="AH1317" s="32"/>
    </row>
    <row r="1318" spans="27:34" x14ac:dyDescent="0.25">
      <c r="AA1318" s="32"/>
      <c r="AB1318" s="32"/>
      <c r="AC1318" s="32"/>
      <c r="AD1318" s="32"/>
      <c r="AE1318" s="32"/>
      <c r="AF1318" s="32"/>
      <c r="AG1318" s="32"/>
      <c r="AH1318" s="32"/>
    </row>
    <row r="1319" spans="27:34" x14ac:dyDescent="0.25">
      <c r="AA1319" s="32"/>
      <c r="AB1319" s="32"/>
      <c r="AC1319" s="32"/>
      <c r="AD1319" s="32"/>
      <c r="AE1319" s="32"/>
      <c r="AF1319" s="32"/>
      <c r="AG1319" s="32"/>
      <c r="AH1319" s="32"/>
    </row>
    <row r="1320" spans="27:34" x14ac:dyDescent="0.25">
      <c r="AA1320" s="32"/>
      <c r="AB1320" s="32"/>
      <c r="AC1320" s="32"/>
      <c r="AD1320" s="32"/>
      <c r="AE1320" s="32"/>
      <c r="AF1320" s="32"/>
      <c r="AG1320" s="32"/>
      <c r="AH1320" s="32"/>
    </row>
    <row r="1321" spans="27:34" x14ac:dyDescent="0.25">
      <c r="AA1321" s="32"/>
      <c r="AB1321" s="32"/>
      <c r="AC1321" s="32"/>
      <c r="AD1321" s="32"/>
      <c r="AE1321" s="32"/>
      <c r="AF1321" s="32"/>
      <c r="AG1321" s="32"/>
      <c r="AH1321" s="32"/>
    </row>
    <row r="1322" spans="27:34" x14ac:dyDescent="0.25">
      <c r="AA1322" s="32"/>
      <c r="AB1322" s="32"/>
      <c r="AC1322" s="32"/>
      <c r="AD1322" s="32"/>
      <c r="AE1322" s="32"/>
      <c r="AF1322" s="32"/>
      <c r="AG1322" s="32"/>
      <c r="AH1322" s="32"/>
    </row>
    <row r="1323" spans="27:34" x14ac:dyDescent="0.25">
      <c r="AA1323" s="32"/>
      <c r="AB1323" s="32"/>
      <c r="AC1323" s="32"/>
      <c r="AD1323" s="32"/>
      <c r="AE1323" s="32"/>
      <c r="AF1323" s="32"/>
      <c r="AG1323" s="32"/>
      <c r="AH1323" s="32"/>
    </row>
    <row r="1324" spans="27:34" x14ac:dyDescent="0.25">
      <c r="AA1324" s="32"/>
      <c r="AB1324" s="32"/>
      <c r="AC1324" s="32"/>
      <c r="AD1324" s="32"/>
      <c r="AE1324" s="32"/>
      <c r="AF1324" s="32"/>
      <c r="AG1324" s="32"/>
      <c r="AH1324" s="32"/>
    </row>
    <row r="1325" spans="27:34" x14ac:dyDescent="0.25">
      <c r="AA1325" s="32"/>
      <c r="AB1325" s="32"/>
      <c r="AC1325" s="32"/>
      <c r="AD1325" s="32"/>
      <c r="AE1325" s="32"/>
      <c r="AF1325" s="32"/>
      <c r="AG1325" s="32"/>
      <c r="AH1325" s="32"/>
    </row>
    <row r="1326" spans="27:34" x14ac:dyDescent="0.25">
      <c r="AA1326" s="32"/>
      <c r="AB1326" s="32"/>
      <c r="AC1326" s="32"/>
      <c r="AD1326" s="32"/>
      <c r="AE1326" s="32"/>
      <c r="AF1326" s="32"/>
      <c r="AG1326" s="32"/>
      <c r="AH1326" s="32"/>
    </row>
    <row r="1327" spans="27:34" x14ac:dyDescent="0.25">
      <c r="AA1327" s="32"/>
      <c r="AB1327" s="32"/>
      <c r="AC1327" s="32"/>
      <c r="AD1327" s="32"/>
      <c r="AE1327" s="32"/>
      <c r="AF1327" s="32"/>
      <c r="AG1327" s="32"/>
      <c r="AH1327" s="32"/>
    </row>
    <row r="1328" spans="27:34" x14ac:dyDescent="0.25">
      <c r="AA1328" s="32"/>
      <c r="AB1328" s="32"/>
      <c r="AC1328" s="32"/>
      <c r="AD1328" s="32"/>
      <c r="AE1328" s="32"/>
      <c r="AF1328" s="32"/>
      <c r="AG1328" s="32"/>
      <c r="AH1328" s="32"/>
    </row>
    <row r="1329" spans="27:34" x14ac:dyDescent="0.25">
      <c r="AA1329" s="32"/>
      <c r="AB1329" s="32"/>
      <c r="AC1329" s="32"/>
      <c r="AD1329" s="32"/>
      <c r="AE1329" s="32"/>
      <c r="AF1329" s="32"/>
      <c r="AG1329" s="32"/>
      <c r="AH1329" s="32"/>
    </row>
    <row r="1330" spans="27:34" x14ac:dyDescent="0.25">
      <c r="AA1330" s="32"/>
      <c r="AB1330" s="32"/>
      <c r="AC1330" s="32"/>
      <c r="AD1330" s="32"/>
      <c r="AE1330" s="32"/>
      <c r="AF1330" s="32"/>
      <c r="AG1330" s="32"/>
      <c r="AH1330" s="32"/>
    </row>
    <row r="1331" spans="27:34" x14ac:dyDescent="0.25">
      <c r="AA1331" s="32"/>
      <c r="AB1331" s="32"/>
      <c r="AC1331" s="32"/>
      <c r="AD1331" s="32"/>
      <c r="AE1331" s="32"/>
      <c r="AF1331" s="32"/>
      <c r="AG1331" s="32"/>
      <c r="AH1331" s="32"/>
    </row>
    <row r="1332" spans="27:34" x14ac:dyDescent="0.25">
      <c r="AA1332" s="32"/>
      <c r="AB1332" s="32"/>
      <c r="AC1332" s="32"/>
      <c r="AD1332" s="32"/>
      <c r="AE1332" s="32"/>
      <c r="AF1332" s="32"/>
      <c r="AG1332" s="32"/>
      <c r="AH1332" s="32"/>
    </row>
    <row r="1333" spans="27:34" x14ac:dyDescent="0.25">
      <c r="AA1333" s="32"/>
      <c r="AB1333" s="32"/>
      <c r="AC1333" s="32"/>
      <c r="AD1333" s="32"/>
      <c r="AE1333" s="32"/>
      <c r="AF1333" s="32"/>
      <c r="AG1333" s="32"/>
      <c r="AH1333" s="32"/>
    </row>
    <row r="1334" spans="27:34" x14ac:dyDescent="0.25">
      <c r="AA1334" s="32"/>
      <c r="AB1334" s="32"/>
      <c r="AC1334" s="32"/>
      <c r="AD1334" s="32"/>
      <c r="AE1334" s="32"/>
      <c r="AF1334" s="32"/>
      <c r="AG1334" s="32"/>
      <c r="AH1334" s="32"/>
    </row>
    <row r="1335" spans="27:34" x14ac:dyDescent="0.25">
      <c r="AA1335" s="32"/>
      <c r="AB1335" s="32"/>
      <c r="AC1335" s="32"/>
      <c r="AD1335" s="32"/>
      <c r="AE1335" s="32"/>
      <c r="AF1335" s="32"/>
      <c r="AG1335" s="32"/>
      <c r="AH1335" s="32"/>
    </row>
    <row r="1336" spans="27:34" x14ac:dyDescent="0.25">
      <c r="AA1336" s="32"/>
      <c r="AB1336" s="32"/>
      <c r="AC1336" s="32"/>
      <c r="AD1336" s="32"/>
      <c r="AE1336" s="32"/>
      <c r="AF1336" s="32"/>
      <c r="AG1336" s="32"/>
      <c r="AH1336" s="32"/>
    </row>
    <row r="1337" spans="27:34" x14ac:dyDescent="0.25">
      <c r="AA1337" s="32"/>
      <c r="AB1337" s="32"/>
      <c r="AC1337" s="32"/>
      <c r="AD1337" s="32"/>
      <c r="AE1337" s="32"/>
      <c r="AF1337" s="32"/>
      <c r="AG1337" s="32"/>
      <c r="AH1337" s="32"/>
    </row>
    <row r="1338" spans="27:34" x14ac:dyDescent="0.25">
      <c r="AA1338" s="32"/>
      <c r="AB1338" s="32"/>
      <c r="AC1338" s="32"/>
      <c r="AD1338" s="32"/>
      <c r="AE1338" s="32"/>
      <c r="AF1338" s="32"/>
      <c r="AG1338" s="32"/>
      <c r="AH1338" s="32"/>
    </row>
    <row r="1339" spans="27:34" x14ac:dyDescent="0.25">
      <c r="AA1339" s="32"/>
      <c r="AB1339" s="32"/>
      <c r="AC1339" s="32"/>
      <c r="AD1339" s="32"/>
      <c r="AE1339" s="32"/>
      <c r="AF1339" s="32"/>
      <c r="AG1339" s="32"/>
      <c r="AH1339" s="32"/>
    </row>
    <row r="1340" spans="27:34" x14ac:dyDescent="0.25">
      <c r="AA1340" s="32"/>
      <c r="AB1340" s="32"/>
      <c r="AC1340" s="32"/>
      <c r="AD1340" s="32"/>
      <c r="AE1340" s="32"/>
      <c r="AF1340" s="32"/>
      <c r="AG1340" s="32"/>
      <c r="AH1340" s="32"/>
    </row>
    <row r="1341" spans="27:34" x14ac:dyDescent="0.25">
      <c r="AA1341" s="32"/>
      <c r="AB1341" s="32"/>
      <c r="AC1341" s="32"/>
      <c r="AD1341" s="32"/>
      <c r="AE1341" s="32"/>
      <c r="AF1341" s="32"/>
      <c r="AG1341" s="32"/>
      <c r="AH1341" s="32"/>
    </row>
    <row r="1342" spans="27:34" x14ac:dyDescent="0.25">
      <c r="AA1342" s="32"/>
      <c r="AB1342" s="32"/>
      <c r="AC1342" s="32"/>
      <c r="AD1342" s="32"/>
      <c r="AE1342" s="32"/>
      <c r="AF1342" s="32"/>
      <c r="AG1342" s="32"/>
      <c r="AH1342" s="32"/>
    </row>
    <row r="1343" spans="27:34" x14ac:dyDescent="0.25">
      <c r="AA1343" s="32"/>
      <c r="AB1343" s="32"/>
      <c r="AC1343" s="32"/>
      <c r="AD1343" s="32"/>
      <c r="AE1343" s="32"/>
      <c r="AF1343" s="32"/>
      <c r="AG1343" s="32"/>
      <c r="AH1343" s="32"/>
    </row>
    <row r="1344" spans="27:34" x14ac:dyDescent="0.25">
      <c r="AA1344" s="32"/>
      <c r="AB1344" s="32"/>
      <c r="AC1344" s="32"/>
      <c r="AD1344" s="32"/>
      <c r="AE1344" s="32"/>
      <c r="AF1344" s="32"/>
      <c r="AG1344" s="32"/>
      <c r="AH1344" s="32"/>
    </row>
    <row r="1345" spans="27:34" x14ac:dyDescent="0.25">
      <c r="AA1345" s="32"/>
      <c r="AB1345" s="32"/>
      <c r="AC1345" s="32"/>
      <c r="AD1345" s="32"/>
      <c r="AE1345" s="32"/>
      <c r="AF1345" s="32"/>
      <c r="AG1345" s="32"/>
      <c r="AH1345" s="32"/>
    </row>
    <row r="1346" spans="27:34" x14ac:dyDescent="0.25">
      <c r="AA1346" s="32"/>
      <c r="AB1346" s="32"/>
      <c r="AC1346" s="32"/>
      <c r="AD1346" s="32"/>
      <c r="AE1346" s="32"/>
      <c r="AF1346" s="32"/>
      <c r="AG1346" s="32"/>
      <c r="AH1346" s="32"/>
    </row>
    <row r="1347" spans="27:34" x14ac:dyDescent="0.25">
      <c r="AA1347" s="32"/>
      <c r="AB1347" s="32"/>
      <c r="AC1347" s="32"/>
      <c r="AD1347" s="32"/>
      <c r="AE1347" s="32"/>
      <c r="AF1347" s="32"/>
      <c r="AG1347" s="32"/>
      <c r="AH1347" s="32"/>
    </row>
    <row r="1348" spans="27:34" x14ac:dyDescent="0.25">
      <c r="AA1348" s="32"/>
      <c r="AB1348" s="32"/>
      <c r="AC1348" s="32"/>
      <c r="AD1348" s="32"/>
      <c r="AE1348" s="32"/>
      <c r="AF1348" s="32"/>
      <c r="AG1348" s="32"/>
      <c r="AH1348" s="32"/>
    </row>
    <row r="1349" spans="27:34" x14ac:dyDescent="0.25">
      <c r="AA1349" s="32"/>
      <c r="AB1349" s="32"/>
      <c r="AC1349" s="32"/>
      <c r="AD1349" s="32"/>
      <c r="AE1349" s="32"/>
      <c r="AF1349" s="32"/>
      <c r="AG1349" s="32"/>
      <c r="AH1349" s="32"/>
    </row>
    <row r="1350" spans="27:34" x14ac:dyDescent="0.25">
      <c r="AA1350" s="32"/>
      <c r="AB1350" s="32"/>
      <c r="AC1350" s="32"/>
      <c r="AD1350" s="32"/>
      <c r="AE1350" s="32"/>
      <c r="AF1350" s="32"/>
      <c r="AG1350" s="32"/>
      <c r="AH1350" s="32"/>
    </row>
    <row r="1351" spans="27:34" x14ac:dyDescent="0.25">
      <c r="AA1351" s="32"/>
      <c r="AB1351" s="32"/>
      <c r="AC1351" s="32"/>
      <c r="AD1351" s="32"/>
      <c r="AE1351" s="32"/>
      <c r="AF1351" s="32"/>
      <c r="AG1351" s="32"/>
      <c r="AH1351" s="32"/>
    </row>
    <row r="1352" spans="27:34" x14ac:dyDescent="0.25">
      <c r="AA1352" s="32"/>
      <c r="AB1352" s="32"/>
      <c r="AC1352" s="32"/>
      <c r="AD1352" s="32"/>
      <c r="AE1352" s="32"/>
      <c r="AF1352" s="32"/>
      <c r="AG1352" s="32"/>
      <c r="AH1352" s="32"/>
    </row>
    <row r="1353" spans="27:34" x14ac:dyDescent="0.25">
      <c r="AA1353" s="32"/>
      <c r="AB1353" s="32"/>
      <c r="AC1353" s="32"/>
      <c r="AD1353" s="32"/>
      <c r="AE1353" s="32"/>
      <c r="AF1353" s="32"/>
      <c r="AG1353" s="32"/>
      <c r="AH1353" s="32"/>
    </row>
    <row r="1354" spans="27:34" x14ac:dyDescent="0.25">
      <c r="AA1354" s="32"/>
      <c r="AB1354" s="32"/>
      <c r="AC1354" s="32"/>
      <c r="AD1354" s="32"/>
      <c r="AE1354" s="32"/>
      <c r="AF1354" s="32"/>
      <c r="AG1354" s="32"/>
      <c r="AH1354" s="32"/>
    </row>
    <row r="1355" spans="27:34" x14ac:dyDescent="0.25">
      <c r="AA1355" s="32"/>
      <c r="AB1355" s="32"/>
      <c r="AC1355" s="32"/>
      <c r="AD1355" s="32"/>
      <c r="AE1355" s="32"/>
      <c r="AF1355" s="32"/>
      <c r="AG1355" s="32"/>
      <c r="AH1355" s="32"/>
    </row>
    <row r="1356" spans="27:34" x14ac:dyDescent="0.25">
      <c r="AA1356" s="32"/>
      <c r="AB1356" s="32"/>
      <c r="AC1356" s="32"/>
      <c r="AD1356" s="32"/>
      <c r="AE1356" s="32"/>
      <c r="AF1356" s="32"/>
      <c r="AG1356" s="32"/>
      <c r="AH1356" s="32"/>
    </row>
    <row r="1357" spans="27:34" x14ac:dyDescent="0.25">
      <c r="AA1357" s="32"/>
      <c r="AB1357" s="32"/>
      <c r="AC1357" s="32"/>
      <c r="AD1357" s="32"/>
      <c r="AE1357" s="32"/>
      <c r="AF1357" s="32"/>
      <c r="AG1357" s="32"/>
      <c r="AH1357" s="32"/>
    </row>
    <row r="1358" spans="27:34" x14ac:dyDescent="0.25">
      <c r="AA1358" s="32"/>
      <c r="AB1358" s="32"/>
      <c r="AC1358" s="32"/>
      <c r="AD1358" s="32"/>
      <c r="AE1358" s="32"/>
      <c r="AF1358" s="32"/>
      <c r="AG1358" s="32"/>
      <c r="AH1358" s="32"/>
    </row>
    <row r="1359" spans="27:34" x14ac:dyDescent="0.25">
      <c r="AA1359" s="32"/>
      <c r="AB1359" s="32"/>
      <c r="AC1359" s="32"/>
      <c r="AD1359" s="32"/>
      <c r="AE1359" s="32"/>
      <c r="AF1359" s="32"/>
      <c r="AG1359" s="32"/>
      <c r="AH1359" s="32"/>
    </row>
    <row r="1360" spans="27:34" x14ac:dyDescent="0.25">
      <c r="AA1360" s="32"/>
      <c r="AB1360" s="32"/>
      <c r="AC1360" s="32"/>
      <c r="AD1360" s="32"/>
      <c r="AE1360" s="32"/>
      <c r="AF1360" s="32"/>
      <c r="AG1360" s="32"/>
      <c r="AH1360" s="32"/>
    </row>
    <row r="1361" spans="27:34" x14ac:dyDescent="0.25">
      <c r="AA1361" s="32"/>
      <c r="AB1361" s="32"/>
      <c r="AC1361" s="32"/>
      <c r="AD1361" s="32"/>
      <c r="AE1361" s="32"/>
      <c r="AF1361" s="32"/>
      <c r="AG1361" s="32"/>
      <c r="AH1361" s="32"/>
    </row>
    <row r="1362" spans="27:34" x14ac:dyDescent="0.25">
      <c r="AA1362" s="32"/>
      <c r="AB1362" s="32"/>
      <c r="AC1362" s="32"/>
      <c r="AD1362" s="32"/>
      <c r="AE1362" s="32"/>
      <c r="AF1362" s="32"/>
      <c r="AG1362" s="32"/>
      <c r="AH1362" s="32"/>
    </row>
    <row r="1363" spans="27:34" x14ac:dyDescent="0.25">
      <c r="AA1363" s="32"/>
      <c r="AB1363" s="32"/>
      <c r="AC1363" s="32"/>
      <c r="AD1363" s="32"/>
      <c r="AE1363" s="32"/>
      <c r="AF1363" s="32"/>
      <c r="AG1363" s="32"/>
      <c r="AH1363" s="32"/>
    </row>
    <row r="1364" spans="27:34" x14ac:dyDescent="0.25">
      <c r="AA1364" s="32"/>
      <c r="AB1364" s="32"/>
      <c r="AC1364" s="32"/>
      <c r="AD1364" s="32"/>
      <c r="AE1364" s="32"/>
      <c r="AF1364" s="32"/>
      <c r="AG1364" s="32"/>
      <c r="AH1364" s="32"/>
    </row>
    <row r="1365" spans="27:34" x14ac:dyDescent="0.25">
      <c r="AA1365" s="32"/>
      <c r="AB1365" s="32"/>
      <c r="AC1365" s="32"/>
      <c r="AD1365" s="32"/>
      <c r="AE1365" s="32"/>
      <c r="AF1365" s="32"/>
      <c r="AG1365" s="32"/>
      <c r="AH1365" s="32"/>
    </row>
    <row r="1366" spans="27:34" x14ac:dyDescent="0.25">
      <c r="AA1366" s="32"/>
      <c r="AB1366" s="32"/>
      <c r="AC1366" s="32"/>
      <c r="AD1366" s="32"/>
      <c r="AE1366" s="32"/>
      <c r="AF1366" s="32"/>
      <c r="AG1366" s="32"/>
      <c r="AH1366" s="32"/>
    </row>
    <row r="1367" spans="27:34" x14ac:dyDescent="0.25">
      <c r="AA1367" s="32"/>
      <c r="AB1367" s="32"/>
      <c r="AC1367" s="32"/>
      <c r="AD1367" s="32"/>
      <c r="AE1367" s="32"/>
      <c r="AF1367" s="32"/>
      <c r="AG1367" s="32"/>
      <c r="AH1367" s="32"/>
    </row>
    <row r="1368" spans="27:34" x14ac:dyDescent="0.25">
      <c r="AA1368" s="32"/>
      <c r="AB1368" s="32"/>
      <c r="AC1368" s="32"/>
      <c r="AD1368" s="32"/>
      <c r="AE1368" s="32"/>
      <c r="AF1368" s="32"/>
      <c r="AG1368" s="32"/>
      <c r="AH1368" s="32"/>
    </row>
    <row r="1369" spans="27:34" x14ac:dyDescent="0.25">
      <c r="AA1369" s="32"/>
      <c r="AB1369" s="32"/>
      <c r="AC1369" s="32"/>
      <c r="AD1369" s="32"/>
      <c r="AE1369" s="32"/>
      <c r="AF1369" s="32"/>
      <c r="AG1369" s="32"/>
      <c r="AH1369" s="32"/>
    </row>
    <row r="1370" spans="27:34" x14ac:dyDescent="0.25">
      <c r="AA1370" s="32"/>
      <c r="AB1370" s="32"/>
      <c r="AC1370" s="32"/>
      <c r="AD1370" s="32"/>
      <c r="AE1370" s="32"/>
      <c r="AF1370" s="32"/>
      <c r="AG1370" s="32"/>
      <c r="AH1370" s="32"/>
    </row>
    <row r="1371" spans="27:34" x14ac:dyDescent="0.25">
      <c r="AA1371" s="32"/>
      <c r="AB1371" s="32"/>
      <c r="AC1371" s="32"/>
      <c r="AD1371" s="32"/>
      <c r="AE1371" s="32"/>
      <c r="AF1371" s="32"/>
      <c r="AG1371" s="32"/>
      <c r="AH1371" s="32"/>
    </row>
    <row r="1372" spans="27:34" x14ac:dyDescent="0.25">
      <c r="AA1372" s="32"/>
      <c r="AB1372" s="32"/>
      <c r="AC1372" s="32"/>
      <c r="AD1372" s="32"/>
      <c r="AE1372" s="32"/>
      <c r="AF1372" s="32"/>
      <c r="AG1372" s="32"/>
      <c r="AH1372" s="32"/>
    </row>
    <row r="1373" spans="27:34" x14ac:dyDescent="0.25">
      <c r="AA1373" s="32"/>
      <c r="AB1373" s="32"/>
      <c r="AC1373" s="32"/>
      <c r="AD1373" s="32"/>
      <c r="AE1373" s="32"/>
      <c r="AF1373" s="32"/>
      <c r="AG1373" s="32"/>
      <c r="AH1373" s="32"/>
    </row>
    <row r="1374" spans="27:34" x14ac:dyDescent="0.25">
      <c r="AA1374" s="32"/>
      <c r="AB1374" s="32"/>
      <c r="AC1374" s="32"/>
      <c r="AD1374" s="32"/>
      <c r="AE1374" s="32"/>
      <c r="AF1374" s="32"/>
      <c r="AG1374" s="32"/>
      <c r="AH1374" s="32"/>
    </row>
    <row r="1375" spans="27:34" x14ac:dyDescent="0.25">
      <c r="AA1375" s="32"/>
      <c r="AB1375" s="32"/>
      <c r="AC1375" s="32"/>
      <c r="AD1375" s="32"/>
      <c r="AE1375" s="32"/>
      <c r="AF1375" s="32"/>
      <c r="AG1375" s="32"/>
      <c r="AH1375" s="32"/>
    </row>
    <row r="1376" spans="27:34" x14ac:dyDescent="0.25">
      <c r="AA1376" s="32"/>
      <c r="AB1376" s="32"/>
      <c r="AC1376" s="32"/>
      <c r="AD1376" s="32"/>
      <c r="AE1376" s="32"/>
      <c r="AF1376" s="32"/>
      <c r="AG1376" s="32"/>
      <c r="AH1376" s="32"/>
    </row>
    <row r="1377" spans="27:34" x14ac:dyDescent="0.25">
      <c r="AA1377" s="32"/>
      <c r="AB1377" s="32"/>
      <c r="AC1377" s="32"/>
      <c r="AD1377" s="32"/>
      <c r="AE1377" s="32"/>
      <c r="AF1377" s="32"/>
      <c r="AG1377" s="32"/>
      <c r="AH1377" s="32"/>
    </row>
    <row r="1378" spans="27:34" x14ac:dyDescent="0.25">
      <c r="AA1378" s="32"/>
      <c r="AB1378" s="32"/>
      <c r="AC1378" s="32"/>
      <c r="AD1378" s="32"/>
      <c r="AE1378" s="32"/>
      <c r="AF1378" s="32"/>
      <c r="AG1378" s="32"/>
      <c r="AH1378" s="32"/>
    </row>
    <row r="1379" spans="27:34" x14ac:dyDescent="0.25">
      <c r="AA1379" s="32"/>
      <c r="AB1379" s="32"/>
      <c r="AC1379" s="32"/>
      <c r="AD1379" s="32"/>
      <c r="AE1379" s="32"/>
      <c r="AF1379" s="32"/>
      <c r="AG1379" s="32"/>
      <c r="AH1379" s="32"/>
    </row>
    <row r="1380" spans="27:34" x14ac:dyDescent="0.25">
      <c r="AA1380" s="32"/>
      <c r="AB1380" s="32"/>
      <c r="AC1380" s="32"/>
      <c r="AD1380" s="32"/>
      <c r="AE1380" s="32"/>
      <c r="AF1380" s="32"/>
      <c r="AG1380" s="32"/>
      <c r="AH1380" s="32"/>
    </row>
    <row r="1381" spans="27:34" x14ac:dyDescent="0.25">
      <c r="AA1381" s="32"/>
      <c r="AB1381" s="32"/>
      <c r="AC1381" s="32"/>
      <c r="AD1381" s="32"/>
      <c r="AE1381" s="32"/>
      <c r="AF1381" s="32"/>
      <c r="AG1381" s="32"/>
      <c r="AH1381" s="32"/>
    </row>
    <row r="1382" spans="27:34" x14ac:dyDescent="0.25">
      <c r="AA1382" s="32"/>
      <c r="AB1382" s="32"/>
      <c r="AC1382" s="32"/>
      <c r="AD1382" s="32"/>
      <c r="AE1382" s="32"/>
      <c r="AF1382" s="32"/>
      <c r="AG1382" s="32"/>
      <c r="AH1382" s="32"/>
    </row>
    <row r="1383" spans="27:34" x14ac:dyDescent="0.25">
      <c r="AA1383" s="32"/>
      <c r="AB1383" s="32"/>
      <c r="AC1383" s="32"/>
      <c r="AD1383" s="32"/>
      <c r="AE1383" s="32"/>
      <c r="AF1383" s="32"/>
      <c r="AG1383" s="32"/>
      <c r="AH1383" s="32"/>
    </row>
    <row r="1384" spans="27:34" x14ac:dyDescent="0.25">
      <c r="AA1384" s="32"/>
      <c r="AB1384" s="32"/>
      <c r="AC1384" s="32"/>
      <c r="AD1384" s="32"/>
      <c r="AE1384" s="32"/>
      <c r="AF1384" s="32"/>
      <c r="AG1384" s="32"/>
      <c r="AH1384" s="32"/>
    </row>
    <row r="1385" spans="27:34" x14ac:dyDescent="0.25">
      <c r="AA1385" s="32"/>
      <c r="AB1385" s="32"/>
      <c r="AC1385" s="32"/>
      <c r="AD1385" s="32"/>
      <c r="AE1385" s="32"/>
      <c r="AF1385" s="32"/>
      <c r="AG1385" s="32"/>
      <c r="AH1385" s="32"/>
    </row>
    <row r="1386" spans="27:34" x14ac:dyDescent="0.25">
      <c r="AA1386" s="32"/>
      <c r="AB1386" s="32"/>
      <c r="AC1386" s="32"/>
      <c r="AD1386" s="32"/>
      <c r="AE1386" s="32"/>
      <c r="AF1386" s="32"/>
      <c r="AG1386" s="32"/>
      <c r="AH1386" s="32"/>
    </row>
    <row r="1387" spans="27:34" x14ac:dyDescent="0.25">
      <c r="AA1387" s="32"/>
      <c r="AB1387" s="32"/>
      <c r="AC1387" s="32"/>
      <c r="AD1387" s="32"/>
      <c r="AE1387" s="32"/>
      <c r="AF1387" s="32"/>
      <c r="AG1387" s="32"/>
      <c r="AH1387" s="32"/>
    </row>
    <row r="1388" spans="27:34" x14ac:dyDescent="0.25">
      <c r="AA1388" s="32"/>
      <c r="AB1388" s="32"/>
      <c r="AC1388" s="32"/>
      <c r="AD1388" s="32"/>
      <c r="AE1388" s="32"/>
      <c r="AF1388" s="32"/>
      <c r="AG1388" s="32"/>
      <c r="AH1388" s="32"/>
    </row>
    <row r="1389" spans="27:34" x14ac:dyDescent="0.25">
      <c r="AA1389" s="32"/>
      <c r="AB1389" s="32"/>
      <c r="AC1389" s="32"/>
      <c r="AD1389" s="32"/>
      <c r="AE1389" s="32"/>
      <c r="AF1389" s="32"/>
      <c r="AG1389" s="32"/>
      <c r="AH1389" s="32"/>
    </row>
    <row r="1390" spans="27:34" x14ac:dyDescent="0.25">
      <c r="AA1390" s="32"/>
      <c r="AB1390" s="32"/>
      <c r="AC1390" s="32"/>
      <c r="AD1390" s="32"/>
      <c r="AE1390" s="32"/>
      <c r="AF1390" s="32"/>
      <c r="AG1390" s="32"/>
      <c r="AH1390" s="32"/>
    </row>
    <row r="1391" spans="27:34" x14ac:dyDescent="0.25">
      <c r="AA1391" s="32"/>
      <c r="AB1391" s="32"/>
      <c r="AC1391" s="32"/>
      <c r="AD1391" s="32"/>
      <c r="AE1391" s="32"/>
      <c r="AF1391" s="32"/>
      <c r="AG1391" s="32"/>
      <c r="AH1391" s="32"/>
    </row>
    <row r="1392" spans="27:34" x14ac:dyDescent="0.25">
      <c r="AA1392" s="32"/>
      <c r="AB1392" s="32"/>
      <c r="AC1392" s="32"/>
      <c r="AD1392" s="32"/>
      <c r="AE1392" s="32"/>
      <c r="AF1392" s="32"/>
      <c r="AG1392" s="32"/>
      <c r="AH1392" s="32"/>
    </row>
    <row r="1393" spans="27:34" x14ac:dyDescent="0.25">
      <c r="AA1393" s="32"/>
      <c r="AB1393" s="32"/>
      <c r="AC1393" s="32"/>
      <c r="AD1393" s="32"/>
      <c r="AE1393" s="32"/>
      <c r="AF1393" s="32"/>
      <c r="AG1393" s="32"/>
      <c r="AH1393" s="32"/>
    </row>
    <row r="1394" spans="27:34" x14ac:dyDescent="0.25">
      <c r="AA1394" s="32"/>
      <c r="AB1394" s="32"/>
      <c r="AC1394" s="32"/>
      <c r="AD1394" s="32"/>
      <c r="AE1394" s="32"/>
      <c r="AF1394" s="32"/>
      <c r="AG1394" s="32"/>
      <c r="AH1394" s="32"/>
    </row>
    <row r="1395" spans="27:34" x14ac:dyDescent="0.25">
      <c r="AA1395" s="32"/>
      <c r="AB1395" s="32"/>
      <c r="AC1395" s="32"/>
      <c r="AD1395" s="32"/>
      <c r="AE1395" s="32"/>
      <c r="AF1395" s="32"/>
      <c r="AG1395" s="32"/>
      <c r="AH1395" s="32"/>
    </row>
    <row r="1396" spans="27:34" x14ac:dyDescent="0.25">
      <c r="AA1396" s="32"/>
      <c r="AB1396" s="32"/>
      <c r="AC1396" s="32"/>
      <c r="AD1396" s="32"/>
      <c r="AE1396" s="32"/>
      <c r="AF1396" s="32"/>
      <c r="AG1396" s="32"/>
      <c r="AH1396" s="32"/>
    </row>
    <row r="1397" spans="27:34" x14ac:dyDescent="0.25">
      <c r="AA1397" s="32"/>
      <c r="AB1397" s="32"/>
      <c r="AC1397" s="32"/>
      <c r="AD1397" s="32"/>
      <c r="AE1397" s="32"/>
      <c r="AF1397" s="32"/>
      <c r="AG1397" s="32"/>
      <c r="AH1397" s="32"/>
    </row>
    <row r="1398" spans="27:34" x14ac:dyDescent="0.25">
      <c r="AA1398" s="32"/>
      <c r="AB1398" s="32"/>
      <c r="AC1398" s="32"/>
      <c r="AD1398" s="32"/>
      <c r="AE1398" s="32"/>
      <c r="AF1398" s="32"/>
      <c r="AG1398" s="32"/>
      <c r="AH1398" s="32"/>
    </row>
    <row r="1399" spans="27:34" x14ac:dyDescent="0.25">
      <c r="AA1399" s="32"/>
      <c r="AB1399" s="32"/>
      <c r="AC1399" s="32"/>
      <c r="AD1399" s="32"/>
      <c r="AE1399" s="32"/>
      <c r="AF1399" s="32"/>
      <c r="AG1399" s="32"/>
      <c r="AH1399" s="32"/>
    </row>
    <row r="1400" spans="27:34" x14ac:dyDescent="0.25">
      <c r="AA1400" s="32"/>
      <c r="AB1400" s="32"/>
      <c r="AC1400" s="32"/>
      <c r="AD1400" s="32"/>
      <c r="AE1400" s="32"/>
      <c r="AF1400" s="32"/>
      <c r="AG1400" s="32"/>
      <c r="AH1400" s="32"/>
    </row>
    <row r="1401" spans="27:34" x14ac:dyDescent="0.25">
      <c r="AA1401" s="32"/>
      <c r="AB1401" s="32"/>
      <c r="AC1401" s="32"/>
      <c r="AD1401" s="32"/>
      <c r="AE1401" s="32"/>
      <c r="AF1401" s="32"/>
      <c r="AG1401" s="32"/>
      <c r="AH1401" s="32"/>
    </row>
    <row r="1402" spans="27:34" x14ac:dyDescent="0.25">
      <c r="AA1402" s="32"/>
      <c r="AB1402" s="32"/>
      <c r="AC1402" s="32"/>
      <c r="AD1402" s="32"/>
      <c r="AE1402" s="32"/>
      <c r="AF1402" s="32"/>
      <c r="AG1402" s="32"/>
      <c r="AH1402" s="32"/>
    </row>
    <row r="1403" spans="27:34" x14ac:dyDescent="0.25">
      <c r="AA1403" s="32"/>
      <c r="AB1403" s="32"/>
      <c r="AC1403" s="32"/>
      <c r="AD1403" s="32"/>
      <c r="AE1403" s="32"/>
      <c r="AF1403" s="32"/>
      <c r="AG1403" s="32"/>
      <c r="AH1403" s="32"/>
    </row>
    <row r="1404" spans="27:34" x14ac:dyDescent="0.25">
      <c r="AA1404" s="32"/>
      <c r="AB1404" s="32"/>
      <c r="AC1404" s="32"/>
      <c r="AD1404" s="32"/>
      <c r="AE1404" s="32"/>
      <c r="AF1404" s="32"/>
      <c r="AG1404" s="32"/>
      <c r="AH1404" s="32"/>
    </row>
    <row r="1405" spans="27:34" x14ac:dyDescent="0.25">
      <c r="AA1405" s="32"/>
      <c r="AB1405" s="32"/>
      <c r="AC1405" s="32"/>
      <c r="AD1405" s="32"/>
      <c r="AE1405" s="32"/>
      <c r="AF1405" s="32"/>
      <c r="AG1405" s="32"/>
      <c r="AH1405" s="32"/>
    </row>
    <row r="1406" spans="27:34" x14ac:dyDescent="0.25">
      <c r="AA1406" s="32"/>
      <c r="AB1406" s="32"/>
      <c r="AC1406" s="32"/>
      <c r="AD1406" s="32"/>
      <c r="AE1406" s="32"/>
      <c r="AF1406" s="32"/>
      <c r="AG1406" s="32"/>
      <c r="AH1406" s="32"/>
    </row>
    <row r="1407" spans="27:34" x14ac:dyDescent="0.25">
      <c r="AA1407" s="32"/>
      <c r="AB1407" s="32"/>
      <c r="AC1407" s="32"/>
      <c r="AD1407" s="32"/>
      <c r="AE1407" s="32"/>
      <c r="AF1407" s="32"/>
      <c r="AG1407" s="32"/>
      <c r="AH1407" s="32"/>
    </row>
    <row r="1408" spans="27:34" x14ac:dyDescent="0.25">
      <c r="AA1408" s="32"/>
      <c r="AB1408" s="32"/>
      <c r="AC1408" s="32"/>
      <c r="AD1408" s="32"/>
      <c r="AE1408" s="32"/>
      <c r="AF1408" s="32"/>
      <c r="AG1408" s="32"/>
      <c r="AH1408" s="32"/>
    </row>
    <row r="1409" spans="27:34" x14ac:dyDescent="0.25">
      <c r="AA1409" s="32"/>
      <c r="AB1409" s="32"/>
      <c r="AC1409" s="32"/>
      <c r="AD1409" s="32"/>
      <c r="AE1409" s="32"/>
      <c r="AF1409" s="32"/>
      <c r="AG1409" s="32"/>
      <c r="AH1409" s="32"/>
    </row>
    <row r="1410" spans="27:34" x14ac:dyDescent="0.25">
      <c r="AA1410" s="32"/>
      <c r="AB1410" s="32"/>
      <c r="AC1410" s="32"/>
      <c r="AD1410" s="32"/>
      <c r="AE1410" s="32"/>
      <c r="AF1410" s="32"/>
      <c r="AG1410" s="32"/>
      <c r="AH1410" s="32"/>
    </row>
    <row r="1411" spans="27:34" x14ac:dyDescent="0.25">
      <c r="AA1411" s="32"/>
      <c r="AB1411" s="32"/>
      <c r="AC1411" s="32"/>
      <c r="AD1411" s="32"/>
      <c r="AE1411" s="32"/>
      <c r="AF1411" s="32"/>
      <c r="AG1411" s="32"/>
      <c r="AH1411" s="32"/>
    </row>
    <row r="1412" spans="27:34" x14ac:dyDescent="0.25">
      <c r="AA1412" s="32"/>
      <c r="AB1412" s="32"/>
      <c r="AC1412" s="32"/>
      <c r="AD1412" s="32"/>
      <c r="AE1412" s="32"/>
      <c r="AF1412" s="32"/>
      <c r="AG1412" s="32"/>
      <c r="AH1412" s="32"/>
    </row>
    <row r="1413" spans="27:34" x14ac:dyDescent="0.25">
      <c r="AA1413" s="32"/>
      <c r="AB1413" s="32"/>
      <c r="AC1413" s="32"/>
      <c r="AD1413" s="32"/>
      <c r="AE1413" s="32"/>
      <c r="AF1413" s="32"/>
      <c r="AG1413" s="32"/>
      <c r="AH1413" s="32"/>
    </row>
    <row r="1414" spans="27:34" x14ac:dyDescent="0.25">
      <c r="AA1414" s="32"/>
      <c r="AB1414" s="32"/>
      <c r="AC1414" s="32"/>
      <c r="AD1414" s="32"/>
      <c r="AE1414" s="32"/>
      <c r="AF1414" s="32"/>
      <c r="AG1414" s="32"/>
      <c r="AH1414" s="32"/>
    </row>
    <row r="1415" spans="27:34" x14ac:dyDescent="0.25">
      <c r="AA1415" s="32"/>
      <c r="AB1415" s="32"/>
      <c r="AC1415" s="32"/>
      <c r="AD1415" s="32"/>
      <c r="AE1415" s="32"/>
      <c r="AF1415" s="32"/>
      <c r="AG1415" s="32"/>
      <c r="AH1415" s="32"/>
    </row>
    <row r="1416" spans="27:34" x14ac:dyDescent="0.25">
      <c r="AA1416" s="32"/>
      <c r="AB1416" s="32"/>
      <c r="AC1416" s="32"/>
      <c r="AD1416" s="32"/>
      <c r="AE1416" s="32"/>
      <c r="AF1416" s="32"/>
      <c r="AG1416" s="32"/>
      <c r="AH1416" s="32"/>
    </row>
    <row r="1417" spans="27:34" x14ac:dyDescent="0.25">
      <c r="AA1417" s="32"/>
      <c r="AB1417" s="32"/>
      <c r="AC1417" s="32"/>
      <c r="AD1417" s="32"/>
      <c r="AE1417" s="32"/>
      <c r="AF1417" s="32"/>
      <c r="AG1417" s="32"/>
      <c r="AH1417" s="32"/>
    </row>
    <row r="1418" spans="27:34" x14ac:dyDescent="0.25">
      <c r="AA1418" s="32"/>
      <c r="AB1418" s="32"/>
      <c r="AC1418" s="32"/>
      <c r="AD1418" s="32"/>
      <c r="AE1418" s="32"/>
      <c r="AF1418" s="32"/>
      <c r="AG1418" s="32"/>
      <c r="AH1418" s="32"/>
    </row>
    <row r="1419" spans="27:34" x14ac:dyDescent="0.25">
      <c r="AA1419" s="32"/>
      <c r="AB1419" s="32"/>
      <c r="AC1419" s="32"/>
      <c r="AD1419" s="32"/>
      <c r="AE1419" s="32"/>
      <c r="AF1419" s="32"/>
      <c r="AG1419" s="32"/>
      <c r="AH1419" s="32"/>
    </row>
    <row r="1420" spans="27:34" x14ac:dyDescent="0.25">
      <c r="AA1420" s="32"/>
      <c r="AB1420" s="32"/>
      <c r="AC1420" s="32"/>
      <c r="AD1420" s="32"/>
      <c r="AE1420" s="32"/>
      <c r="AF1420" s="32"/>
      <c r="AG1420" s="32"/>
      <c r="AH1420" s="32"/>
    </row>
    <row r="1421" spans="27:34" x14ac:dyDescent="0.25">
      <c r="AA1421" s="32"/>
      <c r="AB1421" s="32"/>
      <c r="AC1421" s="32"/>
      <c r="AD1421" s="32"/>
      <c r="AE1421" s="32"/>
      <c r="AF1421" s="32"/>
      <c r="AG1421" s="32"/>
      <c r="AH1421" s="32"/>
    </row>
    <row r="1422" spans="27:34" x14ac:dyDescent="0.25">
      <c r="AA1422" s="32"/>
      <c r="AB1422" s="32"/>
      <c r="AC1422" s="32"/>
      <c r="AD1422" s="32"/>
      <c r="AE1422" s="32"/>
      <c r="AF1422" s="32"/>
      <c r="AG1422" s="32"/>
      <c r="AH1422" s="32"/>
    </row>
    <row r="1423" spans="27:34" x14ac:dyDescent="0.25">
      <c r="AA1423" s="32"/>
      <c r="AB1423" s="32"/>
      <c r="AC1423" s="32"/>
      <c r="AD1423" s="32"/>
      <c r="AE1423" s="32"/>
      <c r="AF1423" s="32"/>
      <c r="AG1423" s="32"/>
      <c r="AH1423" s="32"/>
    </row>
    <row r="1424" spans="27:34" x14ac:dyDescent="0.25">
      <c r="AA1424" s="32"/>
      <c r="AB1424" s="32"/>
      <c r="AC1424" s="32"/>
      <c r="AD1424" s="32"/>
      <c r="AE1424" s="32"/>
      <c r="AF1424" s="32"/>
      <c r="AG1424" s="32"/>
      <c r="AH1424" s="32"/>
    </row>
    <row r="1425" spans="27:34" x14ac:dyDescent="0.25">
      <c r="AA1425" s="32"/>
      <c r="AB1425" s="32"/>
      <c r="AC1425" s="32"/>
      <c r="AD1425" s="32"/>
      <c r="AE1425" s="32"/>
      <c r="AF1425" s="32"/>
      <c r="AG1425" s="32"/>
      <c r="AH1425" s="32"/>
    </row>
    <row r="1426" spans="27:34" x14ac:dyDescent="0.25">
      <c r="AA1426" s="32"/>
      <c r="AB1426" s="32"/>
      <c r="AC1426" s="32"/>
      <c r="AD1426" s="32"/>
      <c r="AE1426" s="32"/>
      <c r="AF1426" s="32"/>
      <c r="AG1426" s="32"/>
      <c r="AH1426" s="32"/>
    </row>
    <row r="1427" spans="27:34" x14ac:dyDescent="0.25">
      <c r="AA1427" s="32"/>
      <c r="AB1427" s="32"/>
      <c r="AC1427" s="32"/>
      <c r="AD1427" s="32"/>
      <c r="AE1427" s="32"/>
      <c r="AF1427" s="32"/>
      <c r="AG1427" s="32"/>
      <c r="AH1427" s="32"/>
    </row>
    <row r="1428" spans="27:34" x14ac:dyDescent="0.25">
      <c r="AA1428" s="32"/>
      <c r="AB1428" s="32"/>
      <c r="AC1428" s="32"/>
      <c r="AD1428" s="32"/>
      <c r="AE1428" s="32"/>
      <c r="AF1428" s="32"/>
      <c r="AG1428" s="32"/>
      <c r="AH1428" s="32"/>
    </row>
    <row r="1429" spans="27:34" x14ac:dyDescent="0.25">
      <c r="AA1429" s="32"/>
      <c r="AB1429" s="32"/>
      <c r="AC1429" s="32"/>
      <c r="AD1429" s="32"/>
      <c r="AE1429" s="32"/>
      <c r="AF1429" s="32"/>
      <c r="AG1429" s="32"/>
      <c r="AH1429" s="32"/>
    </row>
    <row r="1430" spans="27:34" x14ac:dyDescent="0.25">
      <c r="AA1430" s="32"/>
      <c r="AB1430" s="32"/>
      <c r="AC1430" s="32"/>
      <c r="AD1430" s="32"/>
      <c r="AE1430" s="32"/>
      <c r="AF1430" s="32"/>
      <c r="AG1430" s="32"/>
      <c r="AH1430" s="32"/>
    </row>
    <row r="1431" spans="27:34" x14ac:dyDescent="0.25">
      <c r="AA1431" s="32"/>
      <c r="AB1431" s="32"/>
      <c r="AC1431" s="32"/>
      <c r="AD1431" s="32"/>
      <c r="AE1431" s="32"/>
      <c r="AF1431" s="32"/>
      <c r="AG1431" s="32"/>
      <c r="AH1431" s="32"/>
    </row>
    <row r="1432" spans="27:34" x14ac:dyDescent="0.25">
      <c r="AA1432" s="32"/>
      <c r="AB1432" s="32"/>
      <c r="AC1432" s="32"/>
      <c r="AD1432" s="32"/>
      <c r="AE1432" s="32"/>
      <c r="AF1432" s="32"/>
      <c r="AG1432" s="32"/>
      <c r="AH1432" s="32"/>
    </row>
    <row r="1433" spans="27:34" x14ac:dyDescent="0.25">
      <c r="AA1433" s="32"/>
      <c r="AB1433" s="32"/>
      <c r="AC1433" s="32"/>
      <c r="AD1433" s="32"/>
      <c r="AE1433" s="32"/>
      <c r="AF1433" s="32"/>
      <c r="AG1433" s="32"/>
      <c r="AH1433" s="32"/>
    </row>
    <row r="1434" spans="27:34" x14ac:dyDescent="0.25">
      <c r="AA1434" s="32"/>
      <c r="AB1434" s="32"/>
      <c r="AC1434" s="32"/>
      <c r="AD1434" s="32"/>
      <c r="AE1434" s="32"/>
      <c r="AF1434" s="32"/>
      <c r="AG1434" s="32"/>
      <c r="AH1434" s="32"/>
    </row>
    <row r="1435" spans="27:34" x14ac:dyDescent="0.25">
      <c r="AA1435" s="32"/>
      <c r="AB1435" s="32"/>
      <c r="AC1435" s="32"/>
      <c r="AD1435" s="32"/>
      <c r="AE1435" s="32"/>
      <c r="AF1435" s="32"/>
      <c r="AG1435" s="32"/>
      <c r="AH1435" s="32"/>
    </row>
    <row r="1436" spans="27:34" x14ac:dyDescent="0.25">
      <c r="AA1436" s="32"/>
      <c r="AB1436" s="32"/>
      <c r="AC1436" s="32"/>
      <c r="AD1436" s="32"/>
      <c r="AE1436" s="32"/>
      <c r="AF1436" s="32"/>
      <c r="AG1436" s="32"/>
      <c r="AH1436" s="32"/>
    </row>
    <row r="1437" spans="27:34" x14ac:dyDescent="0.25">
      <c r="AA1437" s="32"/>
      <c r="AB1437" s="32"/>
      <c r="AC1437" s="32"/>
      <c r="AD1437" s="32"/>
      <c r="AE1437" s="32"/>
      <c r="AF1437" s="32"/>
      <c r="AG1437" s="32"/>
      <c r="AH1437" s="32"/>
    </row>
    <row r="1438" spans="27:34" x14ac:dyDescent="0.25">
      <c r="AA1438" s="32"/>
      <c r="AB1438" s="32"/>
      <c r="AC1438" s="32"/>
      <c r="AD1438" s="32"/>
      <c r="AE1438" s="32"/>
      <c r="AF1438" s="32"/>
      <c r="AG1438" s="32"/>
      <c r="AH1438" s="32"/>
    </row>
    <row r="1439" spans="27:34" x14ac:dyDescent="0.25">
      <c r="AA1439" s="32"/>
      <c r="AB1439" s="32"/>
      <c r="AC1439" s="32"/>
      <c r="AD1439" s="32"/>
      <c r="AE1439" s="32"/>
      <c r="AF1439" s="32"/>
      <c r="AG1439" s="32"/>
      <c r="AH1439" s="32"/>
    </row>
    <row r="1440" spans="27:34" x14ac:dyDescent="0.25">
      <c r="AA1440" s="32"/>
      <c r="AB1440" s="32"/>
      <c r="AC1440" s="32"/>
      <c r="AD1440" s="32"/>
      <c r="AE1440" s="32"/>
      <c r="AF1440" s="32"/>
      <c r="AG1440" s="32"/>
      <c r="AH1440" s="32"/>
    </row>
    <row r="1441" spans="27:34" x14ac:dyDescent="0.25">
      <c r="AA1441" s="32"/>
      <c r="AB1441" s="32"/>
      <c r="AC1441" s="32"/>
      <c r="AD1441" s="32"/>
      <c r="AE1441" s="32"/>
      <c r="AF1441" s="32"/>
      <c r="AG1441" s="32"/>
      <c r="AH1441" s="32"/>
    </row>
    <row r="1442" spans="27:34" x14ac:dyDescent="0.25">
      <c r="AA1442" s="32"/>
      <c r="AB1442" s="32"/>
      <c r="AC1442" s="32"/>
      <c r="AD1442" s="32"/>
      <c r="AE1442" s="32"/>
      <c r="AF1442" s="32"/>
      <c r="AG1442" s="32"/>
      <c r="AH1442" s="32"/>
    </row>
    <row r="1443" spans="27:34" x14ac:dyDescent="0.25">
      <c r="AA1443" s="32"/>
      <c r="AB1443" s="32"/>
      <c r="AC1443" s="32"/>
      <c r="AD1443" s="32"/>
      <c r="AE1443" s="32"/>
      <c r="AF1443" s="32"/>
      <c r="AG1443" s="32"/>
      <c r="AH1443" s="32"/>
    </row>
    <row r="1444" spans="27:34" x14ac:dyDescent="0.25">
      <c r="AA1444" s="32"/>
      <c r="AB1444" s="32"/>
      <c r="AC1444" s="32"/>
      <c r="AD1444" s="32"/>
      <c r="AE1444" s="32"/>
      <c r="AF1444" s="32"/>
      <c r="AG1444" s="32"/>
      <c r="AH1444" s="32"/>
    </row>
    <row r="1445" spans="27:34" x14ac:dyDescent="0.25">
      <c r="AA1445" s="32"/>
      <c r="AB1445" s="32"/>
      <c r="AC1445" s="32"/>
      <c r="AD1445" s="32"/>
      <c r="AE1445" s="32"/>
      <c r="AF1445" s="32"/>
      <c r="AG1445" s="32"/>
      <c r="AH1445" s="32"/>
    </row>
    <row r="1446" spans="27:34" x14ac:dyDescent="0.25">
      <c r="AA1446" s="32"/>
      <c r="AB1446" s="32"/>
      <c r="AC1446" s="32"/>
      <c r="AD1446" s="32"/>
      <c r="AE1446" s="32"/>
      <c r="AF1446" s="32"/>
      <c r="AG1446" s="32"/>
      <c r="AH1446" s="32"/>
    </row>
    <row r="1447" spans="27:34" x14ac:dyDescent="0.25">
      <c r="AA1447" s="32"/>
      <c r="AB1447" s="32"/>
      <c r="AC1447" s="32"/>
      <c r="AD1447" s="32"/>
      <c r="AE1447" s="32"/>
      <c r="AF1447" s="32"/>
      <c r="AG1447" s="32"/>
      <c r="AH1447" s="32"/>
    </row>
    <row r="1448" spans="27:34" x14ac:dyDescent="0.25">
      <c r="AA1448" s="32"/>
      <c r="AB1448" s="32"/>
      <c r="AC1448" s="32"/>
      <c r="AD1448" s="32"/>
      <c r="AE1448" s="32"/>
      <c r="AF1448" s="32"/>
      <c r="AG1448" s="32"/>
      <c r="AH1448" s="32"/>
    </row>
    <row r="1449" spans="27:34" x14ac:dyDescent="0.25">
      <c r="AA1449" s="32"/>
      <c r="AB1449" s="32"/>
      <c r="AC1449" s="32"/>
      <c r="AD1449" s="32"/>
      <c r="AE1449" s="32"/>
      <c r="AF1449" s="32"/>
      <c r="AG1449" s="32"/>
      <c r="AH1449" s="32"/>
    </row>
    <row r="1450" spans="27:34" x14ac:dyDescent="0.25">
      <c r="AA1450" s="32"/>
      <c r="AB1450" s="32"/>
      <c r="AC1450" s="32"/>
      <c r="AD1450" s="32"/>
      <c r="AE1450" s="32"/>
      <c r="AF1450" s="32"/>
      <c r="AG1450" s="32"/>
      <c r="AH1450" s="32"/>
    </row>
    <row r="1451" spans="27:34" x14ac:dyDescent="0.25">
      <c r="AA1451" s="32"/>
      <c r="AB1451" s="32"/>
      <c r="AC1451" s="32"/>
      <c r="AD1451" s="32"/>
      <c r="AE1451" s="32"/>
      <c r="AF1451" s="32"/>
      <c r="AG1451" s="32"/>
      <c r="AH1451" s="32"/>
    </row>
    <row r="1452" spans="27:34" x14ac:dyDescent="0.25">
      <c r="AA1452" s="32"/>
      <c r="AB1452" s="32"/>
      <c r="AC1452" s="32"/>
      <c r="AD1452" s="32"/>
      <c r="AE1452" s="32"/>
      <c r="AF1452" s="32"/>
      <c r="AG1452" s="32"/>
      <c r="AH1452" s="32"/>
    </row>
    <row r="1453" spans="27:34" x14ac:dyDescent="0.25">
      <c r="AA1453" s="32"/>
      <c r="AB1453" s="32"/>
      <c r="AC1453" s="32"/>
      <c r="AD1453" s="32"/>
      <c r="AE1453" s="32"/>
      <c r="AF1453" s="32"/>
      <c r="AG1453" s="32"/>
      <c r="AH1453" s="32"/>
    </row>
    <row r="1454" spans="27:34" x14ac:dyDescent="0.25">
      <c r="AA1454" s="32"/>
      <c r="AB1454" s="32"/>
      <c r="AC1454" s="32"/>
      <c r="AD1454" s="32"/>
      <c r="AE1454" s="32"/>
      <c r="AF1454" s="32"/>
      <c r="AG1454" s="32"/>
      <c r="AH1454" s="32"/>
    </row>
    <row r="1455" spans="27:34" x14ac:dyDescent="0.25">
      <c r="AA1455" s="32"/>
      <c r="AB1455" s="32"/>
      <c r="AC1455" s="32"/>
      <c r="AD1455" s="32"/>
      <c r="AE1455" s="32"/>
      <c r="AF1455" s="32"/>
      <c r="AG1455" s="32"/>
      <c r="AH1455" s="32"/>
    </row>
    <row r="1456" spans="27:34" x14ac:dyDescent="0.25">
      <c r="AA1456" s="32"/>
      <c r="AB1456" s="32"/>
      <c r="AC1456" s="32"/>
      <c r="AD1456" s="32"/>
      <c r="AE1456" s="32"/>
      <c r="AF1456" s="32"/>
      <c r="AG1456" s="32"/>
      <c r="AH1456" s="32"/>
    </row>
    <row r="1457" spans="27:34" x14ac:dyDescent="0.25">
      <c r="AA1457" s="32"/>
      <c r="AB1457" s="32"/>
      <c r="AC1457" s="32"/>
      <c r="AD1457" s="32"/>
      <c r="AE1457" s="32"/>
      <c r="AF1457" s="32"/>
      <c r="AG1457" s="32"/>
      <c r="AH1457" s="32"/>
    </row>
    <row r="1458" spans="27:34" x14ac:dyDescent="0.25">
      <c r="AA1458" s="32"/>
      <c r="AB1458" s="32"/>
      <c r="AC1458" s="32"/>
      <c r="AD1458" s="32"/>
      <c r="AE1458" s="32"/>
      <c r="AF1458" s="32"/>
      <c r="AG1458" s="32"/>
      <c r="AH1458" s="32"/>
    </row>
    <row r="1459" spans="27:34" x14ac:dyDescent="0.25">
      <c r="AA1459" s="32"/>
      <c r="AB1459" s="32"/>
      <c r="AC1459" s="32"/>
      <c r="AD1459" s="32"/>
      <c r="AE1459" s="32"/>
      <c r="AF1459" s="32"/>
      <c r="AG1459" s="32"/>
      <c r="AH1459" s="32"/>
    </row>
    <row r="1460" spans="27:34" x14ac:dyDescent="0.25">
      <c r="AA1460" s="32"/>
      <c r="AB1460" s="32"/>
      <c r="AC1460" s="32"/>
      <c r="AD1460" s="32"/>
      <c r="AE1460" s="32"/>
      <c r="AF1460" s="32"/>
      <c r="AG1460" s="32"/>
      <c r="AH1460" s="32"/>
    </row>
    <row r="1461" spans="27:34" x14ac:dyDescent="0.25">
      <c r="AA1461" s="32"/>
      <c r="AB1461" s="32"/>
      <c r="AC1461" s="32"/>
      <c r="AD1461" s="32"/>
      <c r="AE1461" s="32"/>
      <c r="AF1461" s="32"/>
      <c r="AG1461" s="32"/>
      <c r="AH1461" s="32"/>
    </row>
    <row r="1462" spans="27:34" x14ac:dyDescent="0.25">
      <c r="AA1462" s="32"/>
      <c r="AB1462" s="32"/>
      <c r="AC1462" s="32"/>
      <c r="AD1462" s="32"/>
      <c r="AE1462" s="32"/>
      <c r="AF1462" s="32"/>
      <c r="AG1462" s="32"/>
      <c r="AH1462" s="32"/>
    </row>
    <row r="1463" spans="27:34" x14ac:dyDescent="0.25">
      <c r="AA1463" s="32"/>
      <c r="AB1463" s="32"/>
      <c r="AC1463" s="32"/>
      <c r="AD1463" s="32"/>
      <c r="AE1463" s="32"/>
      <c r="AF1463" s="32"/>
      <c r="AG1463" s="32"/>
      <c r="AH1463" s="32"/>
    </row>
    <row r="1464" spans="27:34" x14ac:dyDescent="0.25">
      <c r="AA1464" s="32"/>
      <c r="AB1464" s="32"/>
      <c r="AC1464" s="32"/>
      <c r="AD1464" s="32"/>
      <c r="AE1464" s="32"/>
      <c r="AF1464" s="32"/>
      <c r="AG1464" s="32"/>
      <c r="AH1464" s="32"/>
    </row>
    <row r="1465" spans="27:34" x14ac:dyDescent="0.25">
      <c r="AA1465" s="32"/>
      <c r="AB1465" s="32"/>
      <c r="AC1465" s="32"/>
      <c r="AD1465" s="32"/>
      <c r="AE1465" s="32"/>
      <c r="AF1465" s="32"/>
      <c r="AG1465" s="32"/>
      <c r="AH1465" s="32"/>
    </row>
    <row r="1466" spans="27:34" x14ac:dyDescent="0.25">
      <c r="AA1466" s="32"/>
      <c r="AB1466" s="32"/>
      <c r="AC1466" s="32"/>
      <c r="AD1466" s="32"/>
      <c r="AE1466" s="32"/>
      <c r="AF1466" s="32"/>
      <c r="AG1466" s="32"/>
      <c r="AH1466" s="32"/>
    </row>
    <row r="1467" spans="27:34" x14ac:dyDescent="0.25">
      <c r="AA1467" s="32"/>
      <c r="AB1467" s="32"/>
      <c r="AC1467" s="32"/>
      <c r="AD1467" s="32"/>
      <c r="AE1467" s="32"/>
      <c r="AF1467" s="32"/>
      <c r="AG1467" s="32"/>
      <c r="AH1467" s="32"/>
    </row>
    <row r="1468" spans="27:34" x14ac:dyDescent="0.25">
      <c r="AA1468" s="32"/>
      <c r="AB1468" s="32"/>
      <c r="AC1468" s="32"/>
      <c r="AD1468" s="32"/>
      <c r="AE1468" s="32"/>
      <c r="AF1468" s="32"/>
      <c r="AG1468" s="32"/>
      <c r="AH1468" s="32"/>
    </row>
    <row r="1469" spans="27:34" x14ac:dyDescent="0.25">
      <c r="AA1469" s="32"/>
      <c r="AB1469" s="32"/>
      <c r="AC1469" s="32"/>
      <c r="AD1469" s="32"/>
      <c r="AE1469" s="32"/>
      <c r="AF1469" s="32"/>
      <c r="AG1469" s="32"/>
      <c r="AH1469" s="32"/>
    </row>
    <row r="1470" spans="27:34" x14ac:dyDescent="0.25">
      <c r="AA1470" s="32"/>
      <c r="AB1470" s="32"/>
      <c r="AC1470" s="32"/>
      <c r="AD1470" s="32"/>
      <c r="AE1470" s="32"/>
      <c r="AF1470" s="32"/>
      <c r="AG1470" s="32"/>
      <c r="AH1470" s="32"/>
    </row>
    <row r="1471" spans="27:34" x14ac:dyDescent="0.25">
      <c r="AA1471" s="32"/>
      <c r="AB1471" s="32"/>
      <c r="AC1471" s="32"/>
      <c r="AD1471" s="32"/>
      <c r="AE1471" s="32"/>
      <c r="AF1471" s="32"/>
      <c r="AG1471" s="32"/>
      <c r="AH1471" s="32"/>
    </row>
    <row r="1472" spans="27:34" x14ac:dyDescent="0.25">
      <c r="AA1472" s="32"/>
      <c r="AB1472" s="32"/>
      <c r="AC1472" s="32"/>
      <c r="AD1472" s="32"/>
      <c r="AE1472" s="32"/>
      <c r="AF1472" s="32"/>
      <c r="AG1472" s="32"/>
      <c r="AH1472" s="32"/>
    </row>
    <row r="1473" spans="27:34" x14ac:dyDescent="0.25">
      <c r="AA1473" s="32"/>
      <c r="AB1473" s="32"/>
      <c r="AC1473" s="32"/>
      <c r="AD1473" s="32"/>
      <c r="AE1473" s="32"/>
      <c r="AF1473" s="32"/>
      <c r="AG1473" s="32"/>
      <c r="AH1473" s="32"/>
    </row>
    <row r="1474" spans="27:34" x14ac:dyDescent="0.25">
      <c r="AA1474" s="32"/>
      <c r="AB1474" s="32"/>
      <c r="AC1474" s="32"/>
      <c r="AD1474" s="32"/>
      <c r="AE1474" s="32"/>
      <c r="AF1474" s="32"/>
      <c r="AG1474" s="32"/>
      <c r="AH1474" s="32"/>
    </row>
    <row r="1475" spans="27:34" x14ac:dyDescent="0.25">
      <c r="AA1475" s="32"/>
      <c r="AB1475" s="32"/>
      <c r="AC1475" s="32"/>
      <c r="AD1475" s="32"/>
      <c r="AE1475" s="32"/>
      <c r="AF1475" s="32"/>
      <c r="AG1475" s="32"/>
      <c r="AH1475" s="32"/>
    </row>
    <row r="1476" spans="27:34" x14ac:dyDescent="0.25">
      <c r="AA1476" s="32"/>
      <c r="AB1476" s="32"/>
      <c r="AC1476" s="32"/>
      <c r="AD1476" s="32"/>
      <c r="AE1476" s="32"/>
      <c r="AF1476" s="32"/>
      <c r="AG1476" s="32"/>
      <c r="AH1476" s="32"/>
    </row>
    <row r="1477" spans="27:34" x14ac:dyDescent="0.25">
      <c r="AA1477" s="32"/>
      <c r="AB1477" s="32"/>
      <c r="AC1477" s="32"/>
      <c r="AD1477" s="32"/>
      <c r="AE1477" s="32"/>
      <c r="AF1477" s="32"/>
      <c r="AG1477" s="32"/>
      <c r="AH1477" s="32"/>
    </row>
    <row r="1478" spans="27:34" x14ac:dyDescent="0.25">
      <c r="AA1478" s="32"/>
      <c r="AB1478" s="32"/>
      <c r="AC1478" s="32"/>
      <c r="AD1478" s="32"/>
      <c r="AE1478" s="32"/>
      <c r="AF1478" s="32"/>
      <c r="AG1478" s="32"/>
      <c r="AH1478" s="32"/>
    </row>
    <row r="1479" spans="27:34" x14ac:dyDescent="0.25">
      <c r="AA1479" s="32"/>
      <c r="AB1479" s="32"/>
      <c r="AC1479" s="32"/>
      <c r="AD1479" s="32"/>
      <c r="AE1479" s="32"/>
      <c r="AF1479" s="32"/>
      <c r="AG1479" s="32"/>
      <c r="AH1479" s="32"/>
    </row>
    <row r="1480" spans="27:34" x14ac:dyDescent="0.25">
      <c r="AA1480" s="32"/>
      <c r="AB1480" s="32"/>
      <c r="AC1480" s="32"/>
      <c r="AD1480" s="32"/>
      <c r="AE1480" s="32"/>
      <c r="AF1480" s="32"/>
      <c r="AG1480" s="32"/>
      <c r="AH1480" s="32"/>
    </row>
    <row r="1481" spans="27:34" x14ac:dyDescent="0.25">
      <c r="AA1481" s="32"/>
      <c r="AB1481" s="32"/>
      <c r="AC1481" s="32"/>
      <c r="AD1481" s="32"/>
      <c r="AE1481" s="32"/>
      <c r="AF1481" s="32"/>
      <c r="AG1481" s="32"/>
      <c r="AH1481" s="32"/>
    </row>
    <row r="1482" spans="27:34" x14ac:dyDescent="0.25">
      <c r="AA1482" s="32"/>
      <c r="AB1482" s="32"/>
      <c r="AC1482" s="32"/>
      <c r="AD1482" s="32"/>
      <c r="AE1482" s="32"/>
      <c r="AF1482" s="32"/>
      <c r="AG1482" s="32"/>
      <c r="AH1482" s="32"/>
    </row>
    <row r="1483" spans="27:34" x14ac:dyDescent="0.25">
      <c r="AA1483" s="32"/>
      <c r="AB1483" s="32"/>
      <c r="AC1483" s="32"/>
      <c r="AD1483" s="32"/>
      <c r="AE1483" s="32"/>
      <c r="AF1483" s="32"/>
      <c r="AG1483" s="32"/>
      <c r="AH1483" s="32"/>
    </row>
    <row r="1484" spans="27:34" x14ac:dyDescent="0.25">
      <c r="AA1484" s="32"/>
      <c r="AB1484" s="32"/>
      <c r="AC1484" s="32"/>
      <c r="AD1484" s="32"/>
      <c r="AE1484" s="32"/>
      <c r="AF1484" s="32"/>
      <c r="AG1484" s="32"/>
      <c r="AH1484" s="32"/>
    </row>
    <row r="1485" spans="27:34" x14ac:dyDescent="0.25">
      <c r="AA1485" s="32"/>
      <c r="AB1485" s="32"/>
      <c r="AC1485" s="32"/>
      <c r="AD1485" s="32"/>
      <c r="AE1485" s="32"/>
      <c r="AF1485" s="32"/>
      <c r="AG1485" s="32"/>
      <c r="AH1485" s="32"/>
    </row>
    <row r="1486" spans="27:34" x14ac:dyDescent="0.25">
      <c r="AA1486" s="32"/>
      <c r="AB1486" s="32"/>
      <c r="AC1486" s="32"/>
      <c r="AD1486" s="32"/>
      <c r="AE1486" s="32"/>
      <c r="AF1486" s="32"/>
      <c r="AG1486" s="32"/>
      <c r="AH1486" s="32"/>
    </row>
    <row r="1487" spans="27:34" x14ac:dyDescent="0.25">
      <c r="AA1487" s="32"/>
      <c r="AB1487" s="32"/>
      <c r="AC1487" s="32"/>
      <c r="AD1487" s="32"/>
      <c r="AE1487" s="32"/>
      <c r="AF1487" s="32"/>
      <c r="AG1487" s="32"/>
      <c r="AH1487" s="32"/>
    </row>
    <row r="1488" spans="27:34" x14ac:dyDescent="0.25">
      <c r="AA1488" s="32"/>
      <c r="AB1488" s="32"/>
      <c r="AC1488" s="32"/>
      <c r="AD1488" s="32"/>
      <c r="AE1488" s="32"/>
      <c r="AF1488" s="32"/>
      <c r="AG1488" s="32"/>
      <c r="AH1488" s="32"/>
    </row>
    <row r="1489" spans="27:34" x14ac:dyDescent="0.25">
      <c r="AA1489" s="32"/>
      <c r="AB1489" s="32"/>
      <c r="AC1489" s="32"/>
      <c r="AD1489" s="32"/>
      <c r="AE1489" s="32"/>
      <c r="AF1489" s="32"/>
      <c r="AG1489" s="32"/>
      <c r="AH1489" s="32"/>
    </row>
    <row r="1490" spans="27:34" x14ac:dyDescent="0.25">
      <c r="AA1490" s="32"/>
      <c r="AB1490" s="32"/>
      <c r="AC1490" s="32"/>
      <c r="AD1490" s="32"/>
      <c r="AE1490" s="32"/>
      <c r="AF1490" s="32"/>
      <c r="AG1490" s="32"/>
      <c r="AH1490" s="32"/>
    </row>
    <row r="1491" spans="27:34" x14ac:dyDescent="0.25">
      <c r="AA1491" s="32"/>
      <c r="AB1491" s="32"/>
      <c r="AC1491" s="32"/>
      <c r="AD1491" s="32"/>
      <c r="AE1491" s="32"/>
      <c r="AF1491" s="32"/>
      <c r="AG1491" s="32"/>
      <c r="AH1491" s="32"/>
    </row>
    <row r="1492" spans="27:34" x14ac:dyDescent="0.25">
      <c r="AA1492" s="32"/>
      <c r="AB1492" s="32"/>
      <c r="AC1492" s="32"/>
      <c r="AD1492" s="32"/>
      <c r="AE1492" s="32"/>
      <c r="AF1492" s="32"/>
      <c r="AG1492" s="32"/>
      <c r="AH1492" s="32"/>
    </row>
    <row r="1493" spans="27:34" x14ac:dyDescent="0.25">
      <c r="AA1493" s="32"/>
      <c r="AB1493" s="32"/>
      <c r="AC1493" s="32"/>
      <c r="AD1493" s="32"/>
      <c r="AE1493" s="32"/>
      <c r="AF1493" s="32"/>
      <c r="AG1493" s="32"/>
      <c r="AH1493" s="32"/>
    </row>
    <row r="1494" spans="27:34" x14ac:dyDescent="0.25">
      <c r="AA1494" s="32"/>
      <c r="AB1494" s="32"/>
      <c r="AC1494" s="32"/>
      <c r="AD1494" s="32"/>
      <c r="AE1494" s="32"/>
      <c r="AF1494" s="32"/>
      <c r="AG1494" s="32"/>
      <c r="AH1494" s="32"/>
    </row>
    <row r="1495" spans="27:34" x14ac:dyDescent="0.25">
      <c r="AA1495" s="32"/>
      <c r="AB1495" s="32"/>
      <c r="AC1495" s="32"/>
      <c r="AD1495" s="32"/>
      <c r="AE1495" s="32"/>
      <c r="AF1495" s="32"/>
      <c r="AG1495" s="32"/>
      <c r="AH1495" s="32"/>
    </row>
    <row r="1496" spans="27:34" x14ac:dyDescent="0.25">
      <c r="AA1496" s="32"/>
      <c r="AB1496" s="32"/>
      <c r="AC1496" s="32"/>
      <c r="AD1496" s="32"/>
      <c r="AE1496" s="32"/>
      <c r="AF1496" s="32"/>
      <c r="AG1496" s="32"/>
      <c r="AH1496" s="32"/>
    </row>
    <row r="1497" spans="27:34" x14ac:dyDescent="0.25">
      <c r="AA1497" s="32"/>
      <c r="AB1497" s="32"/>
      <c r="AC1497" s="32"/>
      <c r="AD1497" s="32"/>
      <c r="AE1497" s="32"/>
      <c r="AF1497" s="32"/>
      <c r="AG1497" s="32"/>
      <c r="AH1497" s="32"/>
    </row>
    <row r="1498" spans="27:34" x14ac:dyDescent="0.25">
      <c r="AA1498" s="32"/>
      <c r="AB1498" s="32"/>
      <c r="AC1498" s="32"/>
      <c r="AD1498" s="32"/>
      <c r="AE1498" s="32"/>
      <c r="AF1498" s="32"/>
      <c r="AG1498" s="32"/>
      <c r="AH1498" s="32"/>
    </row>
    <row r="1499" spans="27:34" x14ac:dyDescent="0.25">
      <c r="AA1499" s="32"/>
      <c r="AB1499" s="32"/>
      <c r="AC1499" s="32"/>
      <c r="AD1499" s="32"/>
      <c r="AE1499" s="32"/>
      <c r="AF1499" s="32"/>
      <c r="AG1499" s="32"/>
      <c r="AH1499" s="32"/>
    </row>
    <row r="1500" spans="27:34" x14ac:dyDescent="0.25">
      <c r="AA1500" s="32"/>
      <c r="AB1500" s="32"/>
      <c r="AC1500" s="32"/>
      <c r="AD1500" s="32"/>
      <c r="AE1500" s="32"/>
      <c r="AF1500" s="32"/>
      <c r="AG1500" s="32"/>
      <c r="AH1500" s="32"/>
    </row>
    <row r="1501" spans="27:34" x14ac:dyDescent="0.25">
      <c r="AA1501" s="32"/>
      <c r="AB1501" s="32"/>
      <c r="AC1501" s="32"/>
      <c r="AD1501" s="32"/>
      <c r="AE1501" s="32"/>
      <c r="AF1501" s="32"/>
      <c r="AG1501" s="32"/>
      <c r="AH1501" s="32"/>
    </row>
    <row r="1502" spans="27:34" x14ac:dyDescent="0.25">
      <c r="AA1502" s="32"/>
      <c r="AB1502" s="32"/>
      <c r="AC1502" s="32"/>
      <c r="AD1502" s="32"/>
      <c r="AE1502" s="32"/>
      <c r="AF1502" s="32"/>
      <c r="AG1502" s="32"/>
      <c r="AH1502" s="32"/>
    </row>
    <row r="1503" spans="27:34" x14ac:dyDescent="0.25">
      <c r="AA1503" s="32"/>
      <c r="AB1503" s="32"/>
      <c r="AC1503" s="32"/>
      <c r="AD1503" s="32"/>
      <c r="AE1503" s="32"/>
      <c r="AF1503" s="32"/>
      <c r="AG1503" s="32"/>
      <c r="AH1503" s="32"/>
    </row>
    <row r="1504" spans="27:34" x14ac:dyDescent="0.25">
      <c r="AA1504" s="32"/>
      <c r="AB1504" s="32"/>
      <c r="AC1504" s="32"/>
      <c r="AD1504" s="32"/>
      <c r="AE1504" s="32"/>
      <c r="AF1504" s="32"/>
      <c r="AG1504" s="32"/>
      <c r="AH1504" s="32"/>
    </row>
    <row r="1505" spans="27:34" x14ac:dyDescent="0.25">
      <c r="AA1505" s="32"/>
      <c r="AB1505" s="32"/>
      <c r="AC1505" s="32"/>
      <c r="AD1505" s="32"/>
      <c r="AE1505" s="32"/>
      <c r="AF1505" s="32"/>
      <c r="AG1505" s="32"/>
      <c r="AH1505" s="32"/>
    </row>
    <row r="1506" spans="27:34" x14ac:dyDescent="0.25">
      <c r="AA1506" s="32"/>
      <c r="AB1506" s="32"/>
      <c r="AC1506" s="32"/>
      <c r="AD1506" s="32"/>
      <c r="AE1506" s="32"/>
      <c r="AF1506" s="32"/>
      <c r="AG1506" s="32"/>
      <c r="AH1506" s="32"/>
    </row>
    <row r="1507" spans="27:34" x14ac:dyDescent="0.25">
      <c r="AA1507" s="32"/>
      <c r="AB1507" s="32"/>
      <c r="AC1507" s="32"/>
      <c r="AD1507" s="32"/>
      <c r="AE1507" s="32"/>
      <c r="AF1507" s="32"/>
      <c r="AG1507" s="32"/>
      <c r="AH1507" s="32"/>
    </row>
    <row r="1508" spans="27:34" x14ac:dyDescent="0.25">
      <c r="AA1508" s="32"/>
      <c r="AB1508" s="32"/>
      <c r="AC1508" s="32"/>
      <c r="AD1508" s="32"/>
      <c r="AE1508" s="32"/>
      <c r="AF1508" s="32"/>
      <c r="AG1508" s="32"/>
      <c r="AH1508" s="32"/>
    </row>
    <row r="1509" spans="27:34" x14ac:dyDescent="0.25">
      <c r="AA1509" s="32"/>
      <c r="AB1509" s="32"/>
      <c r="AC1509" s="32"/>
      <c r="AD1509" s="32"/>
      <c r="AE1509" s="32"/>
      <c r="AF1509" s="32"/>
      <c r="AG1509" s="32"/>
      <c r="AH1509" s="32"/>
    </row>
    <row r="1510" spans="27:34" x14ac:dyDescent="0.25">
      <c r="AA1510" s="32"/>
      <c r="AB1510" s="32"/>
      <c r="AC1510" s="32"/>
      <c r="AD1510" s="32"/>
      <c r="AE1510" s="32"/>
      <c r="AF1510" s="32"/>
      <c r="AG1510" s="32"/>
      <c r="AH1510" s="32"/>
    </row>
    <row r="1511" spans="27:34" x14ac:dyDescent="0.25">
      <c r="AA1511" s="32"/>
      <c r="AB1511" s="32"/>
      <c r="AC1511" s="32"/>
      <c r="AD1511" s="32"/>
      <c r="AE1511" s="32"/>
      <c r="AF1511" s="32"/>
      <c r="AG1511" s="32"/>
      <c r="AH1511" s="32"/>
    </row>
    <row r="1512" spans="27:34" x14ac:dyDescent="0.25">
      <c r="AA1512" s="32"/>
      <c r="AB1512" s="32"/>
      <c r="AC1512" s="32"/>
      <c r="AD1512" s="32"/>
      <c r="AE1512" s="32"/>
      <c r="AF1512" s="32"/>
      <c r="AG1512" s="32"/>
      <c r="AH1512" s="32"/>
    </row>
    <row r="1513" spans="27:34" x14ac:dyDescent="0.25">
      <c r="AA1513" s="32"/>
      <c r="AB1513" s="32"/>
      <c r="AC1513" s="32"/>
      <c r="AD1513" s="32"/>
      <c r="AE1513" s="32"/>
      <c r="AF1513" s="32"/>
      <c r="AG1513" s="32"/>
      <c r="AH1513" s="32"/>
    </row>
    <row r="1514" spans="27:34" x14ac:dyDescent="0.25">
      <c r="AA1514" s="32"/>
      <c r="AB1514" s="32"/>
      <c r="AC1514" s="32"/>
      <c r="AD1514" s="32"/>
      <c r="AE1514" s="32"/>
      <c r="AF1514" s="32"/>
      <c r="AG1514" s="32"/>
      <c r="AH1514" s="32"/>
    </row>
    <row r="1515" spans="27:34" x14ac:dyDescent="0.25">
      <c r="AA1515" s="32"/>
      <c r="AB1515" s="32"/>
      <c r="AC1515" s="32"/>
      <c r="AD1515" s="32"/>
      <c r="AE1515" s="32"/>
      <c r="AF1515" s="32"/>
      <c r="AG1515" s="32"/>
      <c r="AH1515" s="32"/>
    </row>
    <row r="1516" spans="27:34" x14ac:dyDescent="0.25">
      <c r="AA1516" s="32"/>
      <c r="AB1516" s="32"/>
      <c r="AC1516" s="32"/>
      <c r="AD1516" s="32"/>
      <c r="AE1516" s="32"/>
      <c r="AF1516" s="32"/>
      <c r="AG1516" s="32"/>
      <c r="AH1516" s="32"/>
    </row>
    <row r="1517" spans="27:34" x14ac:dyDescent="0.25">
      <c r="AA1517" s="32"/>
      <c r="AB1517" s="32"/>
      <c r="AC1517" s="32"/>
      <c r="AD1517" s="32"/>
      <c r="AE1517" s="32"/>
      <c r="AF1517" s="32"/>
      <c r="AG1517" s="32"/>
      <c r="AH1517" s="32"/>
    </row>
    <row r="1518" spans="27:34" x14ac:dyDescent="0.25">
      <c r="AA1518" s="32"/>
      <c r="AB1518" s="32"/>
      <c r="AC1518" s="32"/>
      <c r="AD1518" s="32"/>
      <c r="AE1518" s="32"/>
      <c r="AF1518" s="32"/>
      <c r="AG1518" s="32"/>
      <c r="AH1518" s="32"/>
    </row>
    <row r="1519" spans="27:34" x14ac:dyDescent="0.25">
      <c r="AA1519" s="32"/>
      <c r="AB1519" s="32"/>
      <c r="AC1519" s="32"/>
      <c r="AD1519" s="32"/>
      <c r="AE1519" s="32"/>
      <c r="AF1519" s="32"/>
      <c r="AG1519" s="32"/>
      <c r="AH1519" s="32"/>
    </row>
    <row r="1520" spans="27:34" x14ac:dyDescent="0.25">
      <c r="AA1520" s="32"/>
      <c r="AB1520" s="32"/>
      <c r="AC1520" s="32"/>
      <c r="AD1520" s="32"/>
      <c r="AE1520" s="32"/>
      <c r="AF1520" s="32"/>
      <c r="AG1520" s="32"/>
      <c r="AH1520" s="32"/>
    </row>
    <row r="1521" spans="27:34" x14ac:dyDescent="0.25">
      <c r="AA1521" s="32"/>
      <c r="AB1521" s="32"/>
      <c r="AC1521" s="32"/>
      <c r="AD1521" s="32"/>
      <c r="AE1521" s="32"/>
      <c r="AF1521" s="32"/>
      <c r="AG1521" s="32"/>
      <c r="AH1521" s="32"/>
    </row>
    <row r="1522" spans="27:34" x14ac:dyDescent="0.25">
      <c r="AA1522" s="32"/>
      <c r="AB1522" s="32"/>
      <c r="AC1522" s="32"/>
      <c r="AD1522" s="32"/>
      <c r="AE1522" s="32"/>
      <c r="AF1522" s="32"/>
      <c r="AG1522" s="32"/>
      <c r="AH1522" s="32"/>
    </row>
    <row r="1523" spans="27:34" x14ac:dyDescent="0.25">
      <c r="AA1523" s="32"/>
      <c r="AB1523" s="32"/>
      <c r="AC1523" s="32"/>
      <c r="AD1523" s="32"/>
      <c r="AE1523" s="32"/>
      <c r="AF1523" s="32"/>
      <c r="AG1523" s="32"/>
      <c r="AH1523" s="32"/>
    </row>
    <row r="1524" spans="27:34" x14ac:dyDescent="0.25">
      <c r="AA1524" s="32"/>
      <c r="AB1524" s="32"/>
      <c r="AC1524" s="32"/>
      <c r="AD1524" s="32"/>
      <c r="AE1524" s="32"/>
      <c r="AF1524" s="32"/>
      <c r="AG1524" s="32"/>
      <c r="AH1524" s="32"/>
    </row>
    <row r="1525" spans="27:34" x14ac:dyDescent="0.25">
      <c r="AA1525" s="32"/>
      <c r="AB1525" s="32"/>
      <c r="AC1525" s="32"/>
      <c r="AD1525" s="32"/>
      <c r="AE1525" s="32"/>
      <c r="AF1525" s="32"/>
      <c r="AG1525" s="32"/>
      <c r="AH1525" s="32"/>
    </row>
    <row r="1526" spans="27:34" x14ac:dyDescent="0.25">
      <c r="AA1526" s="32"/>
      <c r="AB1526" s="32"/>
      <c r="AC1526" s="32"/>
      <c r="AD1526" s="32"/>
      <c r="AE1526" s="32"/>
      <c r="AF1526" s="32"/>
      <c r="AG1526" s="32"/>
      <c r="AH1526" s="32"/>
    </row>
    <row r="1527" spans="27:34" x14ac:dyDescent="0.25">
      <c r="AA1527" s="32"/>
      <c r="AB1527" s="32"/>
      <c r="AC1527" s="32"/>
      <c r="AD1527" s="32"/>
      <c r="AE1527" s="32"/>
      <c r="AF1527" s="32"/>
      <c r="AG1527" s="32"/>
      <c r="AH1527" s="32"/>
    </row>
    <row r="1528" spans="27:34" x14ac:dyDescent="0.25">
      <c r="AA1528" s="32"/>
      <c r="AB1528" s="32"/>
      <c r="AC1528" s="32"/>
      <c r="AD1528" s="32"/>
      <c r="AE1528" s="32"/>
      <c r="AF1528" s="32"/>
      <c r="AG1528" s="32"/>
      <c r="AH1528" s="32"/>
    </row>
    <row r="1529" spans="27:34" x14ac:dyDescent="0.25">
      <c r="AA1529" s="32"/>
      <c r="AB1529" s="32"/>
      <c r="AC1529" s="32"/>
      <c r="AD1529" s="32"/>
      <c r="AE1529" s="32"/>
      <c r="AF1529" s="32"/>
      <c r="AG1529" s="32"/>
      <c r="AH1529" s="32"/>
    </row>
    <row r="1530" spans="27:34" x14ac:dyDescent="0.25">
      <c r="AA1530" s="32"/>
      <c r="AB1530" s="32"/>
      <c r="AC1530" s="32"/>
      <c r="AD1530" s="32"/>
      <c r="AE1530" s="32"/>
      <c r="AF1530" s="32"/>
      <c r="AG1530" s="32"/>
      <c r="AH1530" s="32"/>
    </row>
    <row r="1531" spans="27:34" x14ac:dyDescent="0.25">
      <c r="AA1531" s="32"/>
      <c r="AB1531" s="32"/>
      <c r="AC1531" s="32"/>
      <c r="AD1531" s="32"/>
      <c r="AE1531" s="32"/>
      <c r="AF1531" s="32"/>
      <c r="AG1531" s="32"/>
      <c r="AH1531" s="32"/>
    </row>
    <row r="1532" spans="27:34" x14ac:dyDescent="0.25">
      <c r="AA1532" s="32"/>
      <c r="AB1532" s="32"/>
      <c r="AC1532" s="32"/>
      <c r="AD1532" s="32"/>
      <c r="AE1532" s="32"/>
      <c r="AF1532" s="32"/>
      <c r="AG1532" s="32"/>
      <c r="AH1532" s="32"/>
    </row>
    <row r="1533" spans="27:34" x14ac:dyDescent="0.25">
      <c r="AA1533" s="32"/>
      <c r="AB1533" s="32"/>
      <c r="AC1533" s="32"/>
      <c r="AD1533" s="32"/>
      <c r="AE1533" s="32"/>
      <c r="AF1533" s="32"/>
      <c r="AG1533" s="32"/>
      <c r="AH1533" s="32"/>
    </row>
    <row r="1534" spans="27:34" x14ac:dyDescent="0.25">
      <c r="AA1534" s="32"/>
      <c r="AB1534" s="32"/>
      <c r="AC1534" s="32"/>
      <c r="AD1534" s="32"/>
      <c r="AE1534" s="32"/>
      <c r="AF1534" s="32"/>
      <c r="AG1534" s="32"/>
      <c r="AH1534" s="32"/>
    </row>
    <row r="1535" spans="27:34" x14ac:dyDescent="0.25">
      <c r="AA1535" s="32"/>
      <c r="AB1535" s="32"/>
      <c r="AC1535" s="32"/>
      <c r="AD1535" s="32"/>
      <c r="AE1535" s="32"/>
      <c r="AF1535" s="32"/>
      <c r="AG1535" s="32"/>
      <c r="AH1535" s="32"/>
    </row>
    <row r="1536" spans="27:34" x14ac:dyDescent="0.25">
      <c r="AA1536" s="32"/>
      <c r="AB1536" s="32"/>
      <c r="AC1536" s="32"/>
      <c r="AD1536" s="32"/>
      <c r="AE1536" s="32"/>
      <c r="AF1536" s="32"/>
      <c r="AG1536" s="32"/>
      <c r="AH1536" s="32"/>
    </row>
    <row r="1537" spans="27:34" x14ac:dyDescent="0.25">
      <c r="AA1537" s="32"/>
      <c r="AB1537" s="32"/>
      <c r="AC1537" s="32"/>
      <c r="AD1537" s="32"/>
      <c r="AE1537" s="32"/>
      <c r="AF1537" s="32"/>
      <c r="AG1537" s="32"/>
      <c r="AH1537" s="32"/>
    </row>
    <row r="1538" spans="27:34" x14ac:dyDescent="0.25">
      <c r="AA1538" s="32"/>
      <c r="AB1538" s="32"/>
      <c r="AC1538" s="32"/>
      <c r="AD1538" s="32"/>
      <c r="AE1538" s="32"/>
      <c r="AF1538" s="32"/>
      <c r="AG1538" s="32"/>
      <c r="AH1538" s="32"/>
    </row>
    <row r="1539" spans="27:34" x14ac:dyDescent="0.25">
      <c r="AA1539" s="32"/>
      <c r="AB1539" s="32"/>
      <c r="AC1539" s="32"/>
      <c r="AD1539" s="32"/>
      <c r="AE1539" s="32"/>
      <c r="AF1539" s="32"/>
      <c r="AG1539" s="32"/>
      <c r="AH1539" s="32"/>
    </row>
    <row r="1540" spans="27:34" x14ac:dyDescent="0.25">
      <c r="AA1540" s="32"/>
      <c r="AB1540" s="32"/>
      <c r="AC1540" s="32"/>
      <c r="AD1540" s="32"/>
      <c r="AE1540" s="32"/>
      <c r="AF1540" s="32"/>
      <c r="AG1540" s="32"/>
      <c r="AH1540" s="32"/>
    </row>
    <row r="1541" spans="27:34" x14ac:dyDescent="0.25">
      <c r="AA1541" s="32"/>
      <c r="AB1541" s="32"/>
      <c r="AC1541" s="32"/>
      <c r="AD1541" s="32"/>
      <c r="AE1541" s="32"/>
      <c r="AF1541" s="32"/>
      <c r="AG1541" s="32"/>
      <c r="AH1541" s="32"/>
    </row>
  </sheetData>
  <conditionalFormatting sqref="A1 I1:J1 S1:Z1">
    <cfRule type="expression" dxfId="45" priority="20" stopIfTrue="1">
      <formula>NOT(ISERROR(SEARCH("NOKIA",A1)))</formula>
    </cfRule>
  </conditionalFormatting>
  <conditionalFormatting sqref="A1">
    <cfRule type="expression" dxfId="44" priority="24" stopIfTrue="1">
      <formula>NOT(ISERROR(SEARCH("NOKIA",A1)))</formula>
    </cfRule>
    <cfRule type="expression" dxfId="43" priority="27" stopIfTrue="1">
      <formula>NOT(ISERROR(SEARCH("ALCATEL",A1)))</formula>
    </cfRule>
    <cfRule type="expression" dxfId="42" priority="31" stopIfTrue="1">
      <formula>AND(COUNTIF($A$1:$A$1, A1)&gt;1,NOT(ISBLANK(A1)))</formula>
    </cfRule>
  </conditionalFormatting>
  <conditionalFormatting sqref="B1 E1:H1">
    <cfRule type="expression" dxfId="41" priority="19" stopIfTrue="1">
      <formula>NOT(ISERROR(SEARCH("NOKIA",B1)))</formula>
    </cfRule>
  </conditionalFormatting>
  <conditionalFormatting sqref="B1">
    <cfRule type="expression" dxfId="40" priority="38" stopIfTrue="1">
      <formula>NOT(ISERROR(SEARCH("ALCATEL",B1)))</formula>
    </cfRule>
    <cfRule type="expression" dxfId="39" priority="39" stopIfTrue="1">
      <formula>AND(COUNTIF($A$1:$A$1, B1)&gt;1,NOT(ISBLANK(B1)))</formula>
    </cfRule>
  </conditionalFormatting>
  <conditionalFormatting sqref="C2:C505 C552:C696 C508:C542 C698:C712 C714:C723 C726:C1214">
    <cfRule type="duplicateValues" dxfId="38" priority="42"/>
    <cfRule type="duplicateValues" dxfId="37" priority="43"/>
    <cfRule type="duplicateValues" dxfId="36" priority="44"/>
  </conditionalFormatting>
  <conditionalFormatting sqref="C506:C507">
    <cfRule type="duplicateValues" dxfId="35" priority="13"/>
    <cfRule type="duplicateValues" dxfId="34" priority="14"/>
    <cfRule type="duplicateValues" dxfId="33" priority="15"/>
  </conditionalFormatting>
  <conditionalFormatting sqref="C543:C551">
    <cfRule type="duplicateValues" dxfId="32" priority="17"/>
    <cfRule type="duplicateValues" dxfId="31" priority="18"/>
    <cfRule type="duplicateValues" dxfId="30" priority="16"/>
  </conditionalFormatting>
  <conditionalFormatting sqref="C697">
    <cfRule type="duplicateValues" dxfId="29" priority="10"/>
    <cfRule type="duplicateValues" dxfId="28" priority="11"/>
    <cfRule type="duplicateValues" dxfId="27" priority="12"/>
  </conditionalFormatting>
  <conditionalFormatting sqref="C713">
    <cfRule type="duplicateValues" dxfId="26" priority="7"/>
    <cfRule type="duplicateValues" dxfId="25" priority="8"/>
    <cfRule type="duplicateValues" dxfId="24" priority="9"/>
  </conditionalFormatting>
  <conditionalFormatting sqref="C724">
    <cfRule type="duplicateValues" dxfId="23" priority="4"/>
    <cfRule type="duplicateValues" dxfId="22" priority="5"/>
    <cfRule type="duplicateValues" dxfId="21" priority="6"/>
  </conditionalFormatting>
  <conditionalFormatting sqref="C725">
    <cfRule type="duplicateValues" dxfId="20" priority="2"/>
    <cfRule type="duplicateValues" dxfId="19" priority="3"/>
    <cfRule type="duplicateValues" dxfId="18" priority="1"/>
  </conditionalFormatting>
  <conditionalFormatting sqref="C1:D1">
    <cfRule type="expression" dxfId="17" priority="60" stopIfTrue="1">
      <formula>NOT(ISERROR(SEARCH("NOKIA",C1)))</formula>
    </cfRule>
    <cfRule type="expression" dxfId="16" priority="61" stopIfTrue="1">
      <formula>NOT(ISERROR(SEARCH("NOKIA",C1)))</formula>
    </cfRule>
    <cfRule type="expression" dxfId="15" priority="62" stopIfTrue="1">
      <formula>NOT(ISERROR(SEARCH("ALCATEL",C1)))</formula>
    </cfRule>
    <cfRule type="expression" dxfId="14" priority="63" stopIfTrue="1">
      <formula>AND(COUNTIF($A$1:$D$1, C1)&gt;1,NOT(ISBLANK(C1)))</formula>
    </cfRule>
  </conditionalFormatting>
  <conditionalFormatting sqref="E1:J1 S1:W1 Y1:Z1">
    <cfRule type="expression" dxfId="13" priority="30" stopIfTrue="1">
      <formula>NOT(ISERROR(SEARCH("ALCATEL",E1)))</formula>
    </cfRule>
  </conditionalFormatting>
  <conditionalFormatting sqref="I1:J1 S1:U1 B1">
    <cfRule type="expression" dxfId="12" priority="29" stopIfTrue="1">
      <formula>NOT(ISERROR(SEARCH("NOKIA",B1)))</formula>
    </cfRule>
  </conditionalFormatting>
  <conditionalFormatting sqref="V1:W1 Y1:Z1 E1:H1">
    <cfRule type="expression" dxfId="11" priority="26" stopIfTrue="1">
      <formula>NOT(ISERROR(SEARCH("NOKIA",E1)))</formula>
    </cfRule>
  </conditionalFormatting>
  <conditionalFormatting sqref="X1">
    <cfRule type="expression" dxfId="10" priority="21" stopIfTrue="1">
      <formula>NOT(ISERROR(SEARCH("NOKIA",X1)))</formula>
    </cfRule>
    <cfRule type="expression" dxfId="9" priority="28" stopIfTrue="1">
      <formula>NOT(ISERROR(SEARCH("ALCATEL",X1)))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8"/>
  <sheetViews>
    <sheetView workbookViewId="0">
      <selection activeCell="I5" sqref="I5"/>
    </sheetView>
  </sheetViews>
  <sheetFormatPr baseColWidth="10" defaultRowHeight="15" x14ac:dyDescent="0.25"/>
  <cols>
    <col min="2" max="2" width="26.28515625" customWidth="1"/>
    <col min="5" max="5" width="21.5703125" customWidth="1"/>
  </cols>
  <sheetData>
    <row r="1" spans="1:5" ht="24.75" x14ac:dyDescent="0.25">
      <c r="B1" s="25" t="s">
        <v>1</v>
      </c>
      <c r="C1" s="25" t="s">
        <v>0</v>
      </c>
      <c r="D1" s="25" t="s">
        <v>3308</v>
      </c>
      <c r="E1" s="25" t="s">
        <v>3269</v>
      </c>
    </row>
    <row r="2" spans="1:5" ht="18" x14ac:dyDescent="0.35">
      <c r="A2" s="6">
        <v>1</v>
      </c>
      <c r="B2" s="22" t="s">
        <v>1851</v>
      </c>
      <c r="C2" s="22" t="s">
        <v>1850</v>
      </c>
      <c r="D2" s="6" t="s">
        <v>3230</v>
      </c>
      <c r="E2" s="6" t="s">
        <v>3268</v>
      </c>
    </row>
    <row r="3" spans="1:5" ht="18" x14ac:dyDescent="0.35">
      <c r="A3" s="6">
        <v>2</v>
      </c>
      <c r="B3" s="22" t="s">
        <v>1334</v>
      </c>
      <c r="C3" s="22" t="s">
        <v>1333</v>
      </c>
      <c r="D3" s="6" t="s">
        <v>3230</v>
      </c>
      <c r="E3" s="6" t="s">
        <v>3268</v>
      </c>
    </row>
    <row r="4" spans="1:5" ht="18" x14ac:dyDescent="0.35">
      <c r="A4" s="6">
        <v>3</v>
      </c>
      <c r="B4" s="22" t="s">
        <v>3270</v>
      </c>
      <c r="C4" s="22" t="s">
        <v>1337</v>
      </c>
      <c r="D4" s="6" t="s">
        <v>3230</v>
      </c>
      <c r="E4" s="6" t="s">
        <v>3268</v>
      </c>
    </row>
    <row r="5" spans="1:5" ht="18.75" x14ac:dyDescent="0.35">
      <c r="A5" s="6">
        <v>4</v>
      </c>
      <c r="B5" s="23" t="s">
        <v>1046</v>
      </c>
      <c r="C5" s="22" t="s">
        <v>1045</v>
      </c>
      <c r="D5" s="6" t="s">
        <v>3230</v>
      </c>
      <c r="E5" s="26" t="s">
        <v>3269</v>
      </c>
    </row>
    <row r="6" spans="1:5" ht="18.75" x14ac:dyDescent="0.35">
      <c r="A6" s="6">
        <v>5</v>
      </c>
      <c r="B6" s="24" t="s">
        <v>1462</v>
      </c>
      <c r="C6" s="22" t="s">
        <v>1461</v>
      </c>
      <c r="D6" s="6" t="s">
        <v>3230</v>
      </c>
      <c r="E6" s="6" t="s">
        <v>3268</v>
      </c>
    </row>
    <row r="7" spans="1:5" ht="18.75" x14ac:dyDescent="0.35">
      <c r="A7" s="6">
        <v>6</v>
      </c>
      <c r="B7" s="24" t="s">
        <v>3271</v>
      </c>
      <c r="C7" s="22" t="s">
        <v>1473</v>
      </c>
      <c r="D7" s="6" t="s">
        <v>3230</v>
      </c>
      <c r="E7" s="6" t="s">
        <v>3268</v>
      </c>
    </row>
    <row r="8" spans="1:5" ht="18.75" x14ac:dyDescent="0.35">
      <c r="A8" s="6">
        <v>7</v>
      </c>
      <c r="B8" s="24" t="s">
        <v>1464</v>
      </c>
      <c r="C8" s="22" t="s">
        <v>1463</v>
      </c>
      <c r="D8" s="6" t="s">
        <v>3230</v>
      </c>
      <c r="E8" s="6" t="s">
        <v>3268</v>
      </c>
    </row>
    <row r="9" spans="1:5" ht="18" x14ac:dyDescent="0.35">
      <c r="A9" s="6">
        <v>8</v>
      </c>
      <c r="B9" s="22" t="s">
        <v>3272</v>
      </c>
      <c r="C9" s="22" t="s">
        <v>1733</v>
      </c>
      <c r="D9" s="6" t="s">
        <v>3230</v>
      </c>
      <c r="E9" s="6" t="s">
        <v>3268</v>
      </c>
    </row>
    <row r="10" spans="1:5" ht="18" x14ac:dyDescent="0.35">
      <c r="A10" s="6">
        <v>9</v>
      </c>
      <c r="B10" s="22" t="s">
        <v>1480</v>
      </c>
      <c r="C10" s="22" t="s">
        <v>1479</v>
      </c>
      <c r="D10" s="6" t="s">
        <v>3230</v>
      </c>
      <c r="E10" s="6" t="s">
        <v>3268</v>
      </c>
    </row>
    <row r="11" spans="1:5" ht="18" x14ac:dyDescent="0.35">
      <c r="A11" s="6">
        <v>10</v>
      </c>
      <c r="B11" s="22" t="s">
        <v>3273</v>
      </c>
      <c r="C11" s="22" t="s">
        <v>1213</v>
      </c>
      <c r="D11" s="6" t="s">
        <v>3230</v>
      </c>
      <c r="E11" s="6" t="s">
        <v>3268</v>
      </c>
    </row>
    <row r="12" spans="1:5" ht="18" x14ac:dyDescent="0.35">
      <c r="A12" s="6">
        <v>11</v>
      </c>
      <c r="B12" s="22" t="s">
        <v>1347</v>
      </c>
      <c r="C12" s="22" t="s">
        <v>1346</v>
      </c>
      <c r="D12" s="6" t="s">
        <v>3230</v>
      </c>
      <c r="E12" s="26" t="s">
        <v>3269</v>
      </c>
    </row>
    <row r="13" spans="1:5" ht="18.75" x14ac:dyDescent="0.35">
      <c r="A13" s="6">
        <v>12</v>
      </c>
      <c r="B13" s="24" t="s">
        <v>3274</v>
      </c>
      <c r="C13" s="22" t="s">
        <v>1485</v>
      </c>
      <c r="D13" s="6" t="s">
        <v>3230</v>
      </c>
      <c r="E13" s="6" t="s">
        <v>3268</v>
      </c>
    </row>
    <row r="14" spans="1:5" ht="18.75" x14ac:dyDescent="0.35">
      <c r="A14" s="6">
        <v>13</v>
      </c>
      <c r="B14" s="23" t="s">
        <v>2332</v>
      </c>
      <c r="C14" s="22" t="s">
        <v>2331</v>
      </c>
      <c r="D14" s="6" t="s">
        <v>3230</v>
      </c>
      <c r="E14" s="6" t="s">
        <v>3268</v>
      </c>
    </row>
    <row r="15" spans="1:5" ht="18" x14ac:dyDescent="0.35">
      <c r="A15" s="6">
        <v>14</v>
      </c>
      <c r="B15" s="22" t="s">
        <v>4</v>
      </c>
      <c r="C15" s="22" t="s">
        <v>3</v>
      </c>
      <c r="D15" s="6" t="s">
        <v>3230</v>
      </c>
      <c r="E15" s="6" t="s">
        <v>3268</v>
      </c>
    </row>
    <row r="16" spans="1:5" ht="18" x14ac:dyDescent="0.35">
      <c r="A16" s="6">
        <v>15</v>
      </c>
      <c r="B16" s="22" t="s">
        <v>3297</v>
      </c>
      <c r="C16" s="22" t="s">
        <v>158</v>
      </c>
      <c r="D16" s="6" t="s">
        <v>3230</v>
      </c>
      <c r="E16" s="6" t="s">
        <v>3268</v>
      </c>
    </row>
    <row r="17" spans="1:5" ht="18" x14ac:dyDescent="0.35">
      <c r="A17" s="6">
        <v>16</v>
      </c>
      <c r="B17" s="22" t="s">
        <v>161</v>
      </c>
      <c r="C17" s="22" t="s">
        <v>160</v>
      </c>
      <c r="D17" s="6"/>
      <c r="E17" s="26" t="s">
        <v>3269</v>
      </c>
    </row>
    <row r="18" spans="1:5" ht="18" x14ac:dyDescent="0.35">
      <c r="A18" s="6">
        <v>17</v>
      </c>
      <c r="B18" s="22" t="s">
        <v>1310</v>
      </c>
      <c r="C18" s="22" t="s">
        <v>1309</v>
      </c>
      <c r="D18" s="6" t="s">
        <v>3230</v>
      </c>
      <c r="E18" s="6" t="s">
        <v>3268</v>
      </c>
    </row>
    <row r="19" spans="1:5" ht="18.75" x14ac:dyDescent="0.35">
      <c r="A19" s="6">
        <v>18</v>
      </c>
      <c r="B19" s="23" t="s">
        <v>1005</v>
      </c>
      <c r="C19" s="22" t="s">
        <v>1004</v>
      </c>
      <c r="D19" s="6" t="s">
        <v>3230</v>
      </c>
      <c r="E19" s="6" t="s">
        <v>3268</v>
      </c>
    </row>
    <row r="20" spans="1:5" ht="18" x14ac:dyDescent="0.35">
      <c r="A20" s="6">
        <v>19</v>
      </c>
      <c r="B20" s="22" t="s">
        <v>2179</v>
      </c>
      <c r="C20" s="22" t="s">
        <v>2178</v>
      </c>
      <c r="D20" s="6"/>
      <c r="E20" s="26" t="s">
        <v>3269</v>
      </c>
    </row>
    <row r="21" spans="1:5" ht="18.75" x14ac:dyDescent="0.35">
      <c r="A21" s="6">
        <v>20</v>
      </c>
      <c r="B21" s="23" t="s">
        <v>3275</v>
      </c>
      <c r="C21" s="22" t="s">
        <v>1709</v>
      </c>
      <c r="D21" s="6" t="s">
        <v>3230</v>
      </c>
      <c r="E21" s="6" t="s">
        <v>3268</v>
      </c>
    </row>
    <row r="22" spans="1:5" ht="18" x14ac:dyDescent="0.35">
      <c r="A22" s="6">
        <v>21</v>
      </c>
      <c r="B22" s="22" t="s">
        <v>6</v>
      </c>
      <c r="C22" s="22" t="s">
        <v>69</v>
      </c>
      <c r="D22" s="6"/>
      <c r="E22" s="26" t="s">
        <v>3269</v>
      </c>
    </row>
    <row r="23" spans="1:5" ht="18" x14ac:dyDescent="0.35">
      <c r="A23" s="6">
        <v>22</v>
      </c>
      <c r="B23" s="22" t="s">
        <v>71</v>
      </c>
      <c r="C23" s="22" t="s">
        <v>70</v>
      </c>
      <c r="D23" s="6" t="s">
        <v>3230</v>
      </c>
      <c r="E23" s="6" t="s">
        <v>3268</v>
      </c>
    </row>
    <row r="24" spans="1:5" ht="18" x14ac:dyDescent="0.35">
      <c r="A24" s="6">
        <v>23</v>
      </c>
      <c r="B24" s="22" t="s">
        <v>73</v>
      </c>
      <c r="C24" s="22" t="s">
        <v>72</v>
      </c>
      <c r="D24" s="6" t="s">
        <v>3230</v>
      </c>
      <c r="E24" s="6" t="s">
        <v>3268</v>
      </c>
    </row>
    <row r="25" spans="1:5" ht="18" x14ac:dyDescent="0.35">
      <c r="A25" s="6">
        <v>24</v>
      </c>
      <c r="B25" s="22" t="s">
        <v>75</v>
      </c>
      <c r="C25" s="22" t="s">
        <v>74</v>
      </c>
      <c r="D25" s="6" t="s">
        <v>3230</v>
      </c>
      <c r="E25" s="6" t="s">
        <v>3268</v>
      </c>
    </row>
    <row r="26" spans="1:5" ht="18" x14ac:dyDescent="0.35">
      <c r="A26" s="6">
        <v>25</v>
      </c>
      <c r="B26" s="22" t="s">
        <v>590</v>
      </c>
      <c r="C26" s="22" t="s">
        <v>589</v>
      </c>
      <c r="D26" s="6" t="s">
        <v>3230</v>
      </c>
      <c r="E26" s="26" t="s">
        <v>3269</v>
      </c>
    </row>
    <row r="27" spans="1:5" ht="18" x14ac:dyDescent="0.35">
      <c r="A27" s="6">
        <v>26</v>
      </c>
      <c r="B27" s="22" t="s">
        <v>592</v>
      </c>
      <c r="C27" s="22" t="s">
        <v>591</v>
      </c>
      <c r="D27" s="6"/>
      <c r="E27" s="26" t="s">
        <v>3269</v>
      </c>
    </row>
    <row r="28" spans="1:5" ht="18.75" x14ac:dyDescent="0.35">
      <c r="A28" s="6">
        <v>27</v>
      </c>
      <c r="B28" s="24" t="s">
        <v>1753</v>
      </c>
      <c r="C28" s="22" t="s">
        <v>1752</v>
      </c>
      <c r="D28" s="6" t="s">
        <v>3230</v>
      </c>
      <c r="E28" s="6" t="s">
        <v>3268</v>
      </c>
    </row>
    <row r="29" spans="1:5" ht="18" x14ac:dyDescent="0.35">
      <c r="A29" s="6">
        <v>28</v>
      </c>
      <c r="B29" s="22" t="s">
        <v>1626</v>
      </c>
      <c r="C29" s="22" t="s">
        <v>1625</v>
      </c>
      <c r="D29" s="6" t="s">
        <v>3230</v>
      </c>
      <c r="E29" s="6" t="s">
        <v>3268</v>
      </c>
    </row>
    <row r="30" spans="1:5" ht="18" x14ac:dyDescent="0.35">
      <c r="A30" s="6">
        <v>29</v>
      </c>
      <c r="B30" s="22" t="s">
        <v>1628</v>
      </c>
      <c r="C30" s="22" t="s">
        <v>1627</v>
      </c>
      <c r="D30" s="6" t="s">
        <v>3230</v>
      </c>
      <c r="E30" s="6" t="s">
        <v>3268</v>
      </c>
    </row>
    <row r="31" spans="1:5" ht="18" x14ac:dyDescent="0.35">
      <c r="A31" s="6">
        <v>30</v>
      </c>
      <c r="B31" s="22" t="s">
        <v>3298</v>
      </c>
      <c r="C31" s="22" t="s">
        <v>3299</v>
      </c>
      <c r="D31" s="6" t="s">
        <v>3230</v>
      </c>
      <c r="E31" s="6" t="s">
        <v>3268</v>
      </c>
    </row>
    <row r="32" spans="1:5" ht="18" x14ac:dyDescent="0.35">
      <c r="A32" s="6">
        <v>31</v>
      </c>
      <c r="B32" s="22" t="s">
        <v>3309</v>
      </c>
      <c r="C32" s="22"/>
      <c r="D32" s="6"/>
      <c r="E32" s="6" t="s">
        <v>3268</v>
      </c>
    </row>
    <row r="33" spans="1:5" ht="18" x14ac:dyDescent="0.35">
      <c r="A33" s="6">
        <v>32</v>
      </c>
      <c r="B33" s="22" t="s">
        <v>3276</v>
      </c>
      <c r="C33" s="22" t="s">
        <v>1756</v>
      </c>
      <c r="D33" s="6" t="s">
        <v>3230</v>
      </c>
      <c r="E33" s="6" t="s">
        <v>3268</v>
      </c>
    </row>
    <row r="34" spans="1:5" ht="18.75" x14ac:dyDescent="0.35">
      <c r="A34" s="6">
        <v>33</v>
      </c>
      <c r="B34" s="23" t="s">
        <v>3277</v>
      </c>
      <c r="C34" s="22" t="s">
        <v>1758</v>
      </c>
      <c r="D34" s="6" t="s">
        <v>3230</v>
      </c>
      <c r="E34" s="6" t="s">
        <v>3268</v>
      </c>
    </row>
    <row r="35" spans="1:5" ht="18" x14ac:dyDescent="0.35">
      <c r="A35" s="6">
        <v>34</v>
      </c>
      <c r="B35" s="22" t="s">
        <v>1312</v>
      </c>
      <c r="C35" s="22" t="s">
        <v>1311</v>
      </c>
      <c r="D35" s="6"/>
      <c r="E35" s="26" t="s">
        <v>3269</v>
      </c>
    </row>
    <row r="36" spans="1:5" ht="18.75" x14ac:dyDescent="0.35">
      <c r="A36" s="6">
        <v>35</v>
      </c>
      <c r="B36" s="23" t="s">
        <v>939</v>
      </c>
      <c r="C36" s="22" t="s">
        <v>938</v>
      </c>
      <c r="D36" s="6" t="s">
        <v>3230</v>
      </c>
      <c r="E36" s="6" t="s">
        <v>3268</v>
      </c>
    </row>
    <row r="37" spans="1:5" ht="18" x14ac:dyDescent="0.35">
      <c r="A37" s="6">
        <v>36</v>
      </c>
      <c r="B37" s="22" t="s">
        <v>3278</v>
      </c>
      <c r="C37" s="22" t="s">
        <v>1313</v>
      </c>
      <c r="D37" s="6" t="s">
        <v>3230</v>
      </c>
      <c r="E37" s="6" t="s">
        <v>3268</v>
      </c>
    </row>
    <row r="38" spans="1:5" ht="18.75" x14ac:dyDescent="0.35">
      <c r="A38" s="6">
        <v>37</v>
      </c>
      <c r="B38" s="23" t="s">
        <v>682</v>
      </c>
      <c r="C38" s="22" t="s">
        <v>681</v>
      </c>
      <c r="D38" s="6" t="s">
        <v>3230</v>
      </c>
      <c r="E38" s="26" t="s">
        <v>3269</v>
      </c>
    </row>
    <row r="39" spans="1:5" ht="18" x14ac:dyDescent="0.35">
      <c r="A39" s="6">
        <v>38</v>
      </c>
      <c r="B39" s="22" t="s">
        <v>3279</v>
      </c>
      <c r="C39" s="22" t="s">
        <v>1876</v>
      </c>
      <c r="D39" s="6" t="s">
        <v>3230</v>
      </c>
      <c r="E39" s="6" t="s">
        <v>3268</v>
      </c>
    </row>
    <row r="40" spans="1:5" ht="18.75" x14ac:dyDescent="0.35">
      <c r="A40" s="6">
        <v>39</v>
      </c>
      <c r="B40" s="23" t="s">
        <v>321</v>
      </c>
      <c r="C40" s="22" t="s">
        <v>342</v>
      </c>
      <c r="D40" s="6" t="s">
        <v>3230</v>
      </c>
      <c r="E40" s="26" t="s">
        <v>3269</v>
      </c>
    </row>
    <row r="41" spans="1:5" ht="18" x14ac:dyDescent="0.35">
      <c r="A41" s="6">
        <v>40</v>
      </c>
      <c r="B41" s="22" t="s">
        <v>3310</v>
      </c>
      <c r="C41" s="6" t="s">
        <v>3311</v>
      </c>
      <c r="D41" s="6"/>
      <c r="E41" s="6" t="s">
        <v>3268</v>
      </c>
    </row>
    <row r="42" spans="1:5" ht="18" x14ac:dyDescent="0.35">
      <c r="A42" s="6">
        <v>41</v>
      </c>
      <c r="B42" s="22" t="s">
        <v>3312</v>
      </c>
      <c r="C42" s="22" t="s">
        <v>1509</v>
      </c>
      <c r="D42" s="6"/>
      <c r="E42" s="26" t="s">
        <v>3269</v>
      </c>
    </row>
    <row r="43" spans="1:5" ht="18" x14ac:dyDescent="0.35">
      <c r="A43" s="6">
        <v>42</v>
      </c>
      <c r="B43" s="22" t="s">
        <v>3280</v>
      </c>
      <c r="C43" s="22" t="s">
        <v>1509</v>
      </c>
      <c r="D43" s="6" t="s">
        <v>3230</v>
      </c>
      <c r="E43" s="26" t="s">
        <v>3269</v>
      </c>
    </row>
    <row r="44" spans="1:5" ht="18" x14ac:dyDescent="0.35">
      <c r="A44" s="6">
        <v>43</v>
      </c>
      <c r="B44" s="22" t="s">
        <v>3281</v>
      </c>
      <c r="C44" s="22" t="s">
        <v>1229</v>
      </c>
      <c r="D44" s="6" t="s">
        <v>3230</v>
      </c>
      <c r="E44" s="6" t="s">
        <v>3268</v>
      </c>
    </row>
    <row r="45" spans="1:5" ht="18" x14ac:dyDescent="0.35">
      <c r="A45" s="6">
        <v>44</v>
      </c>
      <c r="B45" s="22" t="s">
        <v>501</v>
      </c>
      <c r="C45" s="22" t="s">
        <v>500</v>
      </c>
      <c r="D45" s="6"/>
      <c r="E45" s="26" t="s">
        <v>3269</v>
      </c>
    </row>
    <row r="46" spans="1:5" ht="18" x14ac:dyDescent="0.35">
      <c r="A46" s="6">
        <v>45</v>
      </c>
      <c r="B46" s="22" t="s">
        <v>3300</v>
      </c>
      <c r="C46" s="22" t="s">
        <v>500</v>
      </c>
      <c r="D46" s="6" t="s">
        <v>3230</v>
      </c>
      <c r="E46" s="26" t="s">
        <v>3269</v>
      </c>
    </row>
    <row r="47" spans="1:5" ht="18" x14ac:dyDescent="0.35">
      <c r="A47" s="6">
        <v>46</v>
      </c>
      <c r="B47" s="22" t="s">
        <v>505</v>
      </c>
      <c r="C47" s="22" t="s">
        <v>504</v>
      </c>
      <c r="D47" s="6"/>
      <c r="E47" s="26" t="s">
        <v>3269</v>
      </c>
    </row>
    <row r="48" spans="1:5" ht="18" x14ac:dyDescent="0.35">
      <c r="A48" s="6">
        <v>47</v>
      </c>
      <c r="B48" s="22" t="s">
        <v>396</v>
      </c>
      <c r="C48" s="22" t="s">
        <v>512</v>
      </c>
      <c r="D48" s="6"/>
      <c r="E48" s="26" t="s">
        <v>3269</v>
      </c>
    </row>
    <row r="49" spans="1:5" ht="18.75" x14ac:dyDescent="0.35">
      <c r="A49" s="6">
        <v>48</v>
      </c>
      <c r="B49" s="24" t="s">
        <v>522</v>
      </c>
      <c r="C49" s="22" t="s">
        <v>521</v>
      </c>
      <c r="D49" s="6" t="s">
        <v>3230</v>
      </c>
      <c r="E49" s="6" t="s">
        <v>3268</v>
      </c>
    </row>
    <row r="50" spans="1:5" ht="18" x14ac:dyDescent="0.35">
      <c r="A50" s="6">
        <v>49</v>
      </c>
      <c r="B50" s="22" t="s">
        <v>3301</v>
      </c>
      <c r="C50" s="22" t="s">
        <v>512</v>
      </c>
      <c r="D50" s="6" t="s">
        <v>3230</v>
      </c>
      <c r="E50" s="26" t="s">
        <v>3269</v>
      </c>
    </row>
    <row r="51" spans="1:5" ht="18.75" x14ac:dyDescent="0.35">
      <c r="A51" s="6">
        <v>50</v>
      </c>
      <c r="B51" s="24" t="s">
        <v>1520</v>
      </c>
      <c r="C51" s="22" t="s">
        <v>1519</v>
      </c>
      <c r="D51" s="6" t="s">
        <v>3230</v>
      </c>
      <c r="E51" s="6" t="s">
        <v>3268</v>
      </c>
    </row>
    <row r="52" spans="1:5" ht="18.75" x14ac:dyDescent="0.35">
      <c r="A52" s="6">
        <v>51</v>
      </c>
      <c r="B52" s="24" t="s">
        <v>1240</v>
      </c>
      <c r="C52" s="22" t="s">
        <v>1239</v>
      </c>
      <c r="D52" s="6" t="s">
        <v>3230</v>
      </c>
      <c r="E52" s="6" t="s">
        <v>3268</v>
      </c>
    </row>
    <row r="53" spans="1:5" ht="18" x14ac:dyDescent="0.35">
      <c r="A53" s="6">
        <v>52</v>
      </c>
      <c r="B53" s="22" t="s">
        <v>1398</v>
      </c>
      <c r="C53" s="22" t="s">
        <v>1397</v>
      </c>
      <c r="D53" s="6" t="s">
        <v>3230</v>
      </c>
      <c r="E53" s="6" t="s">
        <v>3268</v>
      </c>
    </row>
    <row r="54" spans="1:5" ht="18" x14ac:dyDescent="0.35">
      <c r="A54" s="6">
        <v>53</v>
      </c>
      <c r="B54" s="22" t="s">
        <v>1843</v>
      </c>
      <c r="C54" s="22" t="s">
        <v>1842</v>
      </c>
      <c r="D54" s="6" t="s">
        <v>3230</v>
      </c>
      <c r="E54" s="6" t="s">
        <v>3268</v>
      </c>
    </row>
    <row r="55" spans="1:5" ht="18" x14ac:dyDescent="0.35">
      <c r="A55" s="6">
        <v>54</v>
      </c>
      <c r="B55" s="22" t="s">
        <v>3282</v>
      </c>
      <c r="C55" s="22" t="s">
        <v>1897</v>
      </c>
      <c r="D55" s="6" t="s">
        <v>3230</v>
      </c>
      <c r="E55" s="6" t="s">
        <v>3268</v>
      </c>
    </row>
    <row r="56" spans="1:5" ht="18" x14ac:dyDescent="0.35">
      <c r="A56" s="6">
        <v>55</v>
      </c>
      <c r="B56" s="22" t="s">
        <v>210</v>
      </c>
      <c r="C56" s="22" t="s">
        <v>209</v>
      </c>
      <c r="D56" s="6"/>
      <c r="E56" s="26" t="s">
        <v>3269</v>
      </c>
    </row>
    <row r="57" spans="1:5" ht="18" x14ac:dyDescent="0.35">
      <c r="A57" s="6">
        <v>56</v>
      </c>
      <c r="B57" s="22" t="s">
        <v>1540</v>
      </c>
      <c r="C57" s="22" t="s">
        <v>1539</v>
      </c>
      <c r="D57" s="6" t="s">
        <v>3230</v>
      </c>
      <c r="E57" s="26" t="s">
        <v>3269</v>
      </c>
    </row>
    <row r="58" spans="1:5" ht="18" x14ac:dyDescent="0.35">
      <c r="A58" s="6">
        <v>57</v>
      </c>
      <c r="B58" s="22" t="s">
        <v>3313</v>
      </c>
      <c r="C58" s="6" t="s">
        <v>720</v>
      </c>
      <c r="D58" s="6"/>
      <c r="E58" s="26" t="s">
        <v>3269</v>
      </c>
    </row>
    <row r="59" spans="1:5" ht="18" x14ac:dyDescent="0.35">
      <c r="A59" s="6">
        <v>58</v>
      </c>
      <c r="B59" s="22" t="s">
        <v>3314</v>
      </c>
      <c r="C59" s="18" t="s">
        <v>722</v>
      </c>
      <c r="D59" s="6"/>
      <c r="E59" s="26" t="s">
        <v>3269</v>
      </c>
    </row>
    <row r="60" spans="1:5" ht="18" x14ac:dyDescent="0.35">
      <c r="A60" s="6">
        <v>59</v>
      </c>
      <c r="B60" s="22" t="s">
        <v>3315</v>
      </c>
      <c r="C60" s="22" t="s">
        <v>1249</v>
      </c>
      <c r="D60" s="6"/>
      <c r="E60" s="26" t="s">
        <v>3269</v>
      </c>
    </row>
    <row r="61" spans="1:5" ht="18" x14ac:dyDescent="0.35">
      <c r="A61" s="6">
        <v>60</v>
      </c>
      <c r="B61" s="22" t="s">
        <v>3283</v>
      </c>
      <c r="C61" s="22" t="s">
        <v>1249</v>
      </c>
      <c r="D61" s="6" t="s">
        <v>3230</v>
      </c>
      <c r="E61" s="26" t="s">
        <v>3269</v>
      </c>
    </row>
    <row r="62" spans="1:5" ht="18" x14ac:dyDescent="0.35">
      <c r="A62" s="6">
        <v>61</v>
      </c>
      <c r="B62" s="22" t="s">
        <v>216</v>
      </c>
      <c r="C62" s="22" t="s">
        <v>215</v>
      </c>
      <c r="D62" s="6" t="s">
        <v>3230</v>
      </c>
      <c r="E62" s="6" t="s">
        <v>3268</v>
      </c>
    </row>
    <row r="63" spans="1:5" ht="18" x14ac:dyDescent="0.35">
      <c r="A63" s="6">
        <v>62</v>
      </c>
      <c r="B63" s="22" t="s">
        <v>3284</v>
      </c>
      <c r="C63" s="22" t="s">
        <v>1184</v>
      </c>
      <c r="D63" s="6" t="s">
        <v>3230</v>
      </c>
      <c r="E63" s="6" t="s">
        <v>3268</v>
      </c>
    </row>
    <row r="64" spans="1:5" ht="18" x14ac:dyDescent="0.35">
      <c r="A64" s="6">
        <v>63</v>
      </c>
      <c r="B64" s="22" t="s">
        <v>658</v>
      </c>
      <c r="C64" s="22" t="s">
        <v>709</v>
      </c>
      <c r="D64" s="6"/>
      <c r="E64" s="26" t="s">
        <v>3269</v>
      </c>
    </row>
    <row r="65" spans="1:5" ht="18.75" x14ac:dyDescent="0.35">
      <c r="A65" s="6">
        <v>64</v>
      </c>
      <c r="B65" s="23" t="s">
        <v>758</v>
      </c>
      <c r="C65" s="22" t="s">
        <v>759</v>
      </c>
      <c r="D65" s="6" t="s">
        <v>3230</v>
      </c>
      <c r="E65" s="26" t="s">
        <v>3269</v>
      </c>
    </row>
    <row r="66" spans="1:5" ht="18" x14ac:dyDescent="0.35">
      <c r="A66" s="6">
        <v>65</v>
      </c>
      <c r="B66" s="22" t="s">
        <v>657</v>
      </c>
      <c r="C66" s="22" t="s">
        <v>960</v>
      </c>
      <c r="D66" s="6"/>
      <c r="E66" s="26" t="s">
        <v>3269</v>
      </c>
    </row>
    <row r="67" spans="1:5" ht="18" x14ac:dyDescent="0.35">
      <c r="A67" s="6">
        <v>66</v>
      </c>
      <c r="B67" s="22" t="s">
        <v>3316</v>
      </c>
      <c r="C67" s="22" t="s">
        <v>3317</v>
      </c>
      <c r="D67" s="6"/>
      <c r="E67" s="6" t="s">
        <v>3268</v>
      </c>
    </row>
    <row r="68" spans="1:5" ht="18.75" x14ac:dyDescent="0.35">
      <c r="A68" s="6">
        <v>67</v>
      </c>
      <c r="B68" s="24" t="s">
        <v>3304</v>
      </c>
      <c r="C68" s="22" t="s">
        <v>966</v>
      </c>
      <c r="D68" s="6" t="s">
        <v>3230</v>
      </c>
      <c r="E68" s="6" t="s">
        <v>3268</v>
      </c>
    </row>
    <row r="69" spans="1:5" ht="18" x14ac:dyDescent="0.35">
      <c r="A69" s="6">
        <v>68</v>
      </c>
      <c r="B69" s="22" t="s">
        <v>849</v>
      </c>
      <c r="C69" s="22" t="s">
        <v>848</v>
      </c>
      <c r="D69" s="6" t="s">
        <v>3230</v>
      </c>
      <c r="E69" s="6" t="s">
        <v>3268</v>
      </c>
    </row>
    <row r="70" spans="1:5" ht="18" x14ac:dyDescent="0.35">
      <c r="A70" s="6">
        <v>69</v>
      </c>
      <c r="B70" s="22" t="s">
        <v>3303</v>
      </c>
      <c r="C70" s="22" t="s">
        <v>3302</v>
      </c>
      <c r="D70" s="6" t="s">
        <v>3230</v>
      </c>
      <c r="E70" s="6" t="s">
        <v>3268</v>
      </c>
    </row>
    <row r="71" spans="1:5" ht="18" x14ac:dyDescent="0.35">
      <c r="A71" s="6">
        <v>70</v>
      </c>
      <c r="B71" s="22" t="s">
        <v>3285</v>
      </c>
      <c r="C71" s="22" t="s">
        <v>1261</v>
      </c>
      <c r="D71" s="6" t="s">
        <v>3230</v>
      </c>
      <c r="E71" s="6" t="s">
        <v>3268</v>
      </c>
    </row>
    <row r="72" spans="1:5" ht="18.75" x14ac:dyDescent="0.35">
      <c r="A72" s="6">
        <v>71</v>
      </c>
      <c r="B72" s="24" t="s">
        <v>1272</v>
      </c>
      <c r="C72" s="22" t="s">
        <v>1271</v>
      </c>
      <c r="D72" s="6" t="s">
        <v>3230</v>
      </c>
      <c r="E72" s="6" t="s">
        <v>3268</v>
      </c>
    </row>
    <row r="73" spans="1:5" ht="18" x14ac:dyDescent="0.35">
      <c r="A73" s="6">
        <v>72</v>
      </c>
      <c r="B73" s="22" t="s">
        <v>2403</v>
      </c>
      <c r="C73" s="22" t="s">
        <v>2402</v>
      </c>
      <c r="D73" s="6"/>
      <c r="E73" s="26" t="s">
        <v>3269</v>
      </c>
    </row>
    <row r="74" spans="1:5" ht="18.75" x14ac:dyDescent="0.35">
      <c r="A74" s="6">
        <v>73</v>
      </c>
      <c r="B74" s="24" t="s">
        <v>1712</v>
      </c>
      <c r="C74" s="22" t="s">
        <v>1711</v>
      </c>
      <c r="D74" s="6" t="s">
        <v>3230</v>
      </c>
      <c r="E74" s="6" t="s">
        <v>3268</v>
      </c>
    </row>
    <row r="75" spans="1:5" ht="18" x14ac:dyDescent="0.35">
      <c r="A75" s="6">
        <v>74</v>
      </c>
      <c r="B75" s="22" t="s">
        <v>1278</v>
      </c>
      <c r="C75" s="22" t="s">
        <v>1277</v>
      </c>
      <c r="D75" s="6" t="s">
        <v>3230</v>
      </c>
      <c r="E75" s="6" t="s">
        <v>3268</v>
      </c>
    </row>
    <row r="76" spans="1:5" ht="18.75" x14ac:dyDescent="0.35">
      <c r="A76" s="6">
        <v>75</v>
      </c>
      <c r="B76" s="24" t="s">
        <v>1912</v>
      </c>
      <c r="C76" s="22" t="s">
        <v>1911</v>
      </c>
      <c r="D76" s="6" t="s">
        <v>3230</v>
      </c>
      <c r="E76" s="6" t="s">
        <v>3268</v>
      </c>
    </row>
    <row r="77" spans="1:5" ht="18.75" x14ac:dyDescent="0.35">
      <c r="A77" s="6">
        <v>76</v>
      </c>
      <c r="B77" s="24" t="s">
        <v>2209</v>
      </c>
      <c r="C77" s="22" t="s">
        <v>2208</v>
      </c>
      <c r="D77" s="6" t="s">
        <v>3230</v>
      </c>
      <c r="E77" s="6" t="s">
        <v>3268</v>
      </c>
    </row>
    <row r="78" spans="1:5" ht="18" x14ac:dyDescent="0.35">
      <c r="A78" s="6">
        <v>77</v>
      </c>
      <c r="B78" s="22" t="s">
        <v>1981</v>
      </c>
      <c r="C78" s="22" t="s">
        <v>1980</v>
      </c>
      <c r="D78" s="6"/>
      <c r="E78" s="26" t="s">
        <v>3269</v>
      </c>
    </row>
    <row r="79" spans="1:5" ht="18" x14ac:dyDescent="0.35">
      <c r="A79" s="6">
        <v>78</v>
      </c>
      <c r="B79" s="22" t="s">
        <v>3286</v>
      </c>
      <c r="C79" s="22" t="s">
        <v>3287</v>
      </c>
      <c r="D79" s="6" t="s">
        <v>3230</v>
      </c>
      <c r="E79" s="6" t="s">
        <v>3268</v>
      </c>
    </row>
    <row r="80" spans="1:5" ht="18" x14ac:dyDescent="0.35">
      <c r="A80" s="6">
        <v>79</v>
      </c>
      <c r="B80" s="22" t="s">
        <v>3318</v>
      </c>
      <c r="C80" s="6" t="s">
        <v>1095</v>
      </c>
      <c r="D80" s="6"/>
      <c r="E80" s="26" t="s">
        <v>3269</v>
      </c>
    </row>
    <row r="81" spans="1:5" ht="18.75" x14ac:dyDescent="0.35">
      <c r="A81" s="6">
        <v>80</v>
      </c>
      <c r="B81" s="24" t="s">
        <v>3306</v>
      </c>
      <c r="C81" s="22" t="s">
        <v>1108</v>
      </c>
      <c r="D81" s="6" t="s">
        <v>3230</v>
      </c>
      <c r="E81" s="26" t="s">
        <v>3269</v>
      </c>
    </row>
    <row r="82" spans="1:5" ht="18" x14ac:dyDescent="0.35">
      <c r="A82" s="6">
        <v>81</v>
      </c>
      <c r="B82" s="22" t="s">
        <v>1099</v>
      </c>
      <c r="C82" s="22" t="s">
        <v>1098</v>
      </c>
      <c r="D82" s="6" t="s">
        <v>3230</v>
      </c>
      <c r="E82" s="6" t="s">
        <v>3268</v>
      </c>
    </row>
    <row r="83" spans="1:5" ht="18" x14ac:dyDescent="0.35">
      <c r="A83" s="6">
        <v>82</v>
      </c>
      <c r="B83" s="22" t="s">
        <v>329</v>
      </c>
      <c r="C83" s="22" t="s">
        <v>328</v>
      </c>
      <c r="D83" s="6"/>
      <c r="E83" s="26" t="s">
        <v>3269</v>
      </c>
    </row>
    <row r="84" spans="1:5" ht="18" x14ac:dyDescent="0.35">
      <c r="A84" s="6">
        <v>83</v>
      </c>
      <c r="B84" s="22" t="s">
        <v>2221</v>
      </c>
      <c r="C84" s="22" t="s">
        <v>2220</v>
      </c>
      <c r="D84" s="6" t="s">
        <v>3230</v>
      </c>
      <c r="E84" s="26" t="s">
        <v>3269</v>
      </c>
    </row>
    <row r="85" spans="1:5" ht="18" x14ac:dyDescent="0.35">
      <c r="A85" s="6">
        <v>84</v>
      </c>
      <c r="B85" s="22" t="s">
        <v>1594</v>
      </c>
      <c r="C85" s="22" t="s">
        <v>1593</v>
      </c>
      <c r="D85" s="6" t="s">
        <v>3230</v>
      </c>
      <c r="E85" s="6" t="s">
        <v>3268</v>
      </c>
    </row>
    <row r="86" spans="1:5" ht="18" x14ac:dyDescent="0.35">
      <c r="A86" s="6">
        <v>85</v>
      </c>
      <c r="B86" s="22" t="s">
        <v>3288</v>
      </c>
      <c r="C86" s="22" t="s">
        <v>1679</v>
      </c>
      <c r="D86" s="6" t="s">
        <v>3230</v>
      </c>
      <c r="E86" s="6" t="s">
        <v>3268</v>
      </c>
    </row>
    <row r="87" spans="1:5" ht="18" x14ac:dyDescent="0.35">
      <c r="A87" s="6">
        <v>86</v>
      </c>
      <c r="B87" s="22" t="s">
        <v>3319</v>
      </c>
      <c r="C87" s="6" t="s">
        <v>1923</v>
      </c>
      <c r="D87" s="6"/>
      <c r="E87" s="26" t="s">
        <v>3269</v>
      </c>
    </row>
    <row r="88" spans="1:5" ht="18" x14ac:dyDescent="0.35">
      <c r="A88" s="6">
        <v>87</v>
      </c>
      <c r="B88" s="22" t="s">
        <v>1684</v>
      </c>
      <c r="C88" s="22" t="s">
        <v>1683</v>
      </c>
      <c r="D88" s="6" t="s">
        <v>3230</v>
      </c>
      <c r="E88" s="6" t="s">
        <v>3268</v>
      </c>
    </row>
    <row r="89" spans="1:5" ht="18.75" x14ac:dyDescent="0.35">
      <c r="A89" s="6">
        <v>88</v>
      </c>
      <c r="B89" s="23" t="s">
        <v>1965</v>
      </c>
      <c r="C89" s="22" t="s">
        <v>2016</v>
      </c>
      <c r="D89" s="6" t="s">
        <v>3230</v>
      </c>
      <c r="E89" s="26" t="s">
        <v>3269</v>
      </c>
    </row>
    <row r="90" spans="1:5" ht="18" x14ac:dyDescent="0.35">
      <c r="A90" s="6">
        <v>89</v>
      </c>
      <c r="B90" s="22" t="s">
        <v>1975</v>
      </c>
      <c r="C90" s="22" t="s">
        <v>1974</v>
      </c>
      <c r="D90" s="6"/>
      <c r="E90" s="26" t="s">
        <v>3269</v>
      </c>
    </row>
    <row r="91" spans="1:5" ht="18" x14ac:dyDescent="0.35">
      <c r="A91" s="6">
        <v>90</v>
      </c>
      <c r="B91" s="22" t="s">
        <v>3289</v>
      </c>
      <c r="C91" s="20" t="s">
        <v>1447</v>
      </c>
      <c r="D91" s="6" t="s">
        <v>3230</v>
      </c>
      <c r="E91" s="6" t="s">
        <v>3268</v>
      </c>
    </row>
    <row r="92" spans="1:5" ht="18" x14ac:dyDescent="0.35">
      <c r="A92" s="6">
        <v>91</v>
      </c>
      <c r="B92" s="22" t="s">
        <v>789</v>
      </c>
      <c r="C92" s="22" t="s">
        <v>788</v>
      </c>
      <c r="D92" s="6"/>
      <c r="E92" s="26" t="s">
        <v>3269</v>
      </c>
    </row>
    <row r="93" spans="1:5" ht="18" x14ac:dyDescent="0.35">
      <c r="A93" s="6">
        <v>92</v>
      </c>
      <c r="B93" s="22" t="s">
        <v>542</v>
      </c>
      <c r="C93" s="22" t="s">
        <v>541</v>
      </c>
      <c r="D93" s="6"/>
      <c r="E93" s="26" t="s">
        <v>3269</v>
      </c>
    </row>
    <row r="94" spans="1:5" ht="18" x14ac:dyDescent="0.35">
      <c r="A94" s="6">
        <v>93</v>
      </c>
      <c r="B94" s="22" t="s">
        <v>1985</v>
      </c>
      <c r="C94" s="22" t="s">
        <v>1984</v>
      </c>
      <c r="D94" s="6"/>
      <c r="E94" s="26" t="s">
        <v>3269</v>
      </c>
    </row>
    <row r="95" spans="1:5" ht="18" x14ac:dyDescent="0.35">
      <c r="A95" s="6">
        <v>94</v>
      </c>
      <c r="B95" s="22" t="s">
        <v>2028</v>
      </c>
      <c r="C95" s="22" t="s">
        <v>2027</v>
      </c>
      <c r="D95" s="6"/>
      <c r="E95" s="26" t="s">
        <v>3269</v>
      </c>
    </row>
    <row r="96" spans="1:5" ht="18.75" x14ac:dyDescent="0.35">
      <c r="A96" s="6">
        <v>95</v>
      </c>
      <c r="B96" s="24" t="s">
        <v>546</v>
      </c>
      <c r="C96" s="22" t="s">
        <v>545</v>
      </c>
      <c r="D96" s="6" t="s">
        <v>3230</v>
      </c>
      <c r="E96" s="26" t="s">
        <v>3269</v>
      </c>
    </row>
    <row r="97" spans="1:5" ht="18.75" x14ac:dyDescent="0.35">
      <c r="A97" s="6">
        <v>96</v>
      </c>
      <c r="B97" s="23" t="s">
        <v>879</v>
      </c>
      <c r="C97" s="22" t="s">
        <v>878</v>
      </c>
      <c r="D97" s="6" t="s">
        <v>3230</v>
      </c>
      <c r="E97" s="26" t="s">
        <v>3269</v>
      </c>
    </row>
    <row r="98" spans="1:5" ht="18" x14ac:dyDescent="0.35">
      <c r="A98" s="6">
        <v>97</v>
      </c>
      <c r="B98" s="22" t="s">
        <v>2049</v>
      </c>
      <c r="C98" s="22" t="s">
        <v>2106</v>
      </c>
      <c r="D98" s="6"/>
      <c r="E98" s="26" t="s">
        <v>3269</v>
      </c>
    </row>
    <row r="99" spans="1:5" ht="18.75" x14ac:dyDescent="0.35">
      <c r="A99" s="6">
        <v>98</v>
      </c>
      <c r="B99" s="23" t="s">
        <v>2112</v>
      </c>
      <c r="C99" s="22" t="s">
        <v>2111</v>
      </c>
      <c r="D99" s="6" t="s">
        <v>3230</v>
      </c>
      <c r="E99" s="6" t="s">
        <v>3268</v>
      </c>
    </row>
    <row r="100" spans="1:5" ht="18" x14ac:dyDescent="0.35">
      <c r="A100" s="6">
        <v>99</v>
      </c>
      <c r="B100" s="22" t="s">
        <v>3290</v>
      </c>
      <c r="C100" s="22" t="s">
        <v>1186</v>
      </c>
      <c r="D100" s="6" t="s">
        <v>3230</v>
      </c>
      <c r="E100" s="6" t="s">
        <v>3268</v>
      </c>
    </row>
    <row r="101" spans="1:5" ht="18" x14ac:dyDescent="0.35">
      <c r="A101" s="6">
        <v>100</v>
      </c>
      <c r="B101" s="22" t="s">
        <v>1422</v>
      </c>
      <c r="C101" s="22" t="s">
        <v>1421</v>
      </c>
      <c r="D101" s="6" t="s">
        <v>3230</v>
      </c>
      <c r="E101" s="26" t="s">
        <v>3269</v>
      </c>
    </row>
    <row r="102" spans="1:5" ht="18.75" x14ac:dyDescent="0.35">
      <c r="A102" s="6">
        <v>101</v>
      </c>
      <c r="B102" s="24" t="s">
        <v>893</v>
      </c>
      <c r="C102" s="22" t="s">
        <v>892</v>
      </c>
      <c r="D102" s="6" t="s">
        <v>3230</v>
      </c>
      <c r="E102" s="6" t="s">
        <v>3268</v>
      </c>
    </row>
    <row r="103" spans="1:5" ht="18" x14ac:dyDescent="0.35">
      <c r="A103" s="6">
        <v>102</v>
      </c>
      <c r="B103" s="22" t="s">
        <v>1979</v>
      </c>
      <c r="C103" s="22" t="s">
        <v>1978</v>
      </c>
      <c r="D103" s="6"/>
      <c r="E103" s="26" t="s">
        <v>3269</v>
      </c>
    </row>
    <row r="104" spans="1:5" ht="18.75" x14ac:dyDescent="0.35">
      <c r="A104" s="6">
        <v>103</v>
      </c>
      <c r="B104" s="24" t="s">
        <v>1714</v>
      </c>
      <c r="C104" s="22" t="s">
        <v>1713</v>
      </c>
      <c r="D104" s="6" t="s">
        <v>3230</v>
      </c>
      <c r="E104" s="6" t="s">
        <v>3268</v>
      </c>
    </row>
    <row r="105" spans="1:5" ht="18.75" x14ac:dyDescent="0.35">
      <c r="A105" s="6">
        <v>104</v>
      </c>
      <c r="B105" s="24" t="s">
        <v>1809</v>
      </c>
      <c r="C105" s="22" t="s">
        <v>1808</v>
      </c>
      <c r="D105" s="6" t="s">
        <v>3230</v>
      </c>
      <c r="E105" s="6" t="s">
        <v>3268</v>
      </c>
    </row>
    <row r="106" spans="1:5" ht="18" x14ac:dyDescent="0.35">
      <c r="A106" s="6">
        <v>105</v>
      </c>
      <c r="B106" s="22" t="s">
        <v>1944</v>
      </c>
      <c r="C106" s="22" t="s">
        <v>1943</v>
      </c>
      <c r="D106" s="6" t="s">
        <v>3230</v>
      </c>
      <c r="E106" s="6" t="s">
        <v>3268</v>
      </c>
    </row>
    <row r="107" spans="1:5" ht="18" x14ac:dyDescent="0.35">
      <c r="A107" s="6">
        <v>106</v>
      </c>
      <c r="B107" s="22" t="s">
        <v>2141</v>
      </c>
      <c r="C107" s="6" t="s">
        <v>2178</v>
      </c>
      <c r="D107" s="6"/>
      <c r="E107" s="26" t="s">
        <v>3269</v>
      </c>
    </row>
    <row r="108" spans="1:5" ht="18" x14ac:dyDescent="0.35">
      <c r="A108" s="6">
        <v>107</v>
      </c>
      <c r="B108" s="22" t="s">
        <v>1296</v>
      </c>
      <c r="C108" s="22" t="s">
        <v>1295</v>
      </c>
      <c r="D108" s="6" t="s">
        <v>3230</v>
      </c>
      <c r="E108" s="6" t="s">
        <v>3268</v>
      </c>
    </row>
    <row r="109" spans="1:5" ht="18.75" x14ac:dyDescent="0.35">
      <c r="A109" s="6">
        <v>108</v>
      </c>
      <c r="B109" s="23" t="s">
        <v>2255</v>
      </c>
      <c r="C109" s="22" t="s">
        <v>2254</v>
      </c>
      <c r="D109" s="6" t="s">
        <v>3230</v>
      </c>
      <c r="E109" s="26" t="s">
        <v>3269</v>
      </c>
    </row>
    <row r="110" spans="1:5" ht="18" x14ac:dyDescent="0.35">
      <c r="A110" s="6">
        <v>109</v>
      </c>
      <c r="B110" s="22" t="s">
        <v>1821</v>
      </c>
      <c r="C110" s="22" t="s">
        <v>1820</v>
      </c>
      <c r="D110" s="6" t="s">
        <v>3230</v>
      </c>
      <c r="E110" s="6" t="s">
        <v>3268</v>
      </c>
    </row>
    <row r="111" spans="1:5" ht="18" x14ac:dyDescent="0.35">
      <c r="A111" s="6">
        <v>110</v>
      </c>
      <c r="B111" s="22" t="s">
        <v>107</v>
      </c>
      <c r="C111" s="22" t="s">
        <v>106</v>
      </c>
      <c r="D111" s="6" t="s">
        <v>3230</v>
      </c>
      <c r="E111" s="6" t="s">
        <v>3268</v>
      </c>
    </row>
    <row r="112" spans="1:5" ht="18.75" x14ac:dyDescent="0.35">
      <c r="A112" s="6">
        <v>111</v>
      </c>
      <c r="B112" s="23" t="s">
        <v>2328</v>
      </c>
      <c r="C112" s="22" t="s">
        <v>2327</v>
      </c>
      <c r="D112" s="6" t="s">
        <v>3230</v>
      </c>
      <c r="E112" s="6" t="s">
        <v>3268</v>
      </c>
    </row>
    <row r="113" spans="1:5" ht="18.75" x14ac:dyDescent="0.35">
      <c r="A113" s="6">
        <v>112</v>
      </c>
      <c r="B113" s="23" t="s">
        <v>1560</v>
      </c>
      <c r="C113" s="22" t="s">
        <v>1559</v>
      </c>
      <c r="D113" s="6" t="s">
        <v>3230</v>
      </c>
      <c r="E113" s="6" t="s">
        <v>3268</v>
      </c>
    </row>
    <row r="114" spans="1:5" ht="18" x14ac:dyDescent="0.35">
      <c r="A114" s="6">
        <v>113</v>
      </c>
      <c r="B114" s="22" t="s">
        <v>244</v>
      </c>
      <c r="C114" s="22" t="s">
        <v>243</v>
      </c>
      <c r="D114" s="6" t="s">
        <v>3230</v>
      </c>
      <c r="E114" s="6" t="s">
        <v>3268</v>
      </c>
    </row>
    <row r="115" spans="1:5" ht="18" x14ac:dyDescent="0.35">
      <c r="A115" s="6">
        <v>114</v>
      </c>
      <c r="B115" s="22" t="s">
        <v>3291</v>
      </c>
      <c r="C115" s="22" t="s">
        <v>1297</v>
      </c>
      <c r="D115" s="6" t="s">
        <v>3230</v>
      </c>
      <c r="E115" s="6" t="s">
        <v>3268</v>
      </c>
    </row>
    <row r="116" spans="1:5" ht="18" x14ac:dyDescent="0.35">
      <c r="A116" s="6">
        <v>115</v>
      </c>
      <c r="B116" s="22" t="s">
        <v>1956</v>
      </c>
      <c r="C116" s="22" t="s">
        <v>1955</v>
      </c>
      <c r="D116" s="6" t="s">
        <v>3230</v>
      </c>
      <c r="E116" s="6" t="s">
        <v>3268</v>
      </c>
    </row>
    <row r="117" spans="1:5" ht="18.75" x14ac:dyDescent="0.35">
      <c r="A117" s="6">
        <v>116</v>
      </c>
      <c r="B117" s="24" t="s">
        <v>3305</v>
      </c>
      <c r="C117" s="22" t="s">
        <v>908</v>
      </c>
      <c r="D117" s="6" t="s">
        <v>3230</v>
      </c>
      <c r="E117" s="6" t="s">
        <v>3268</v>
      </c>
    </row>
    <row r="118" spans="1:5" ht="18" x14ac:dyDescent="0.35">
      <c r="A118" s="6">
        <v>117</v>
      </c>
      <c r="B118" s="22" t="s">
        <v>3293</v>
      </c>
      <c r="C118" s="22" t="s">
        <v>1717</v>
      </c>
      <c r="D118" s="6" t="s">
        <v>3230</v>
      </c>
      <c r="E118" s="6" t="s">
        <v>3268</v>
      </c>
    </row>
    <row r="119" spans="1:5" ht="18" x14ac:dyDescent="0.35">
      <c r="A119" s="6">
        <v>118</v>
      </c>
      <c r="B119" s="22" t="s">
        <v>3292</v>
      </c>
      <c r="C119" s="22" t="s">
        <v>1719</v>
      </c>
      <c r="D119" s="6" t="s">
        <v>3230</v>
      </c>
      <c r="E119" s="6" t="s">
        <v>3268</v>
      </c>
    </row>
    <row r="120" spans="1:5" ht="18.75" x14ac:dyDescent="0.35">
      <c r="A120" s="6">
        <v>119</v>
      </c>
      <c r="B120" s="24" t="s">
        <v>2333</v>
      </c>
      <c r="C120" s="22" t="s">
        <v>2412</v>
      </c>
      <c r="D120" s="6" t="s">
        <v>3230</v>
      </c>
      <c r="E120" s="26" t="s">
        <v>3269</v>
      </c>
    </row>
    <row r="121" spans="1:5" ht="18" x14ac:dyDescent="0.35">
      <c r="A121" s="6">
        <v>120</v>
      </c>
      <c r="B121" s="22" t="s">
        <v>3320</v>
      </c>
      <c r="C121" s="6" t="s">
        <v>2425</v>
      </c>
      <c r="D121" s="6"/>
      <c r="E121" s="26" t="s">
        <v>3269</v>
      </c>
    </row>
    <row r="122" spans="1:5" ht="18.75" x14ac:dyDescent="0.35">
      <c r="A122" s="6">
        <v>121</v>
      </c>
      <c r="B122" s="24" t="s">
        <v>3307</v>
      </c>
      <c r="C122" s="22" t="s">
        <v>2429</v>
      </c>
      <c r="D122" s="6" t="s">
        <v>3230</v>
      </c>
      <c r="E122" s="6" t="s">
        <v>3268</v>
      </c>
    </row>
    <row r="123" spans="1:5" ht="18" x14ac:dyDescent="0.35">
      <c r="A123" s="6">
        <v>122</v>
      </c>
      <c r="B123" s="22" t="s">
        <v>119</v>
      </c>
      <c r="C123" s="22" t="s">
        <v>118</v>
      </c>
      <c r="D123" s="6" t="s">
        <v>3230</v>
      </c>
      <c r="E123" s="6" t="s">
        <v>3268</v>
      </c>
    </row>
    <row r="124" spans="1:5" ht="18" x14ac:dyDescent="0.35">
      <c r="A124" s="6">
        <v>123</v>
      </c>
      <c r="B124" s="22" t="s">
        <v>1837</v>
      </c>
      <c r="C124" s="22" t="s">
        <v>1836</v>
      </c>
      <c r="D124" s="6" t="s">
        <v>3230</v>
      </c>
      <c r="E124" s="6" t="s">
        <v>3268</v>
      </c>
    </row>
    <row r="125" spans="1:5" ht="18.75" x14ac:dyDescent="0.35">
      <c r="A125" s="6">
        <v>124</v>
      </c>
      <c r="B125" s="24" t="s">
        <v>3295</v>
      </c>
      <c r="C125" s="22" t="s">
        <v>1697</v>
      </c>
      <c r="D125" s="6" t="s">
        <v>3230</v>
      </c>
      <c r="E125" s="6" t="s">
        <v>3268</v>
      </c>
    </row>
    <row r="126" spans="1:5" ht="18.75" x14ac:dyDescent="0.35">
      <c r="A126" s="6">
        <v>125</v>
      </c>
      <c r="B126" s="24" t="s">
        <v>3294</v>
      </c>
      <c r="C126" s="22" t="s">
        <v>1703</v>
      </c>
      <c r="D126" s="6" t="s">
        <v>3230</v>
      </c>
      <c r="E126" s="6" t="s">
        <v>3268</v>
      </c>
    </row>
    <row r="127" spans="1:5" ht="18" x14ac:dyDescent="0.35">
      <c r="A127" s="6">
        <v>126</v>
      </c>
      <c r="B127" s="22" t="s">
        <v>3296</v>
      </c>
      <c r="C127" s="22" t="s">
        <v>1595</v>
      </c>
      <c r="D127" s="6" t="s">
        <v>3230</v>
      </c>
      <c r="E127" s="6" t="s">
        <v>3268</v>
      </c>
    </row>
    <row r="128" spans="1:5" ht="18" x14ac:dyDescent="0.35">
      <c r="A128" s="6">
        <v>127</v>
      </c>
      <c r="B128" s="22" t="s">
        <v>1710</v>
      </c>
      <c r="C128" s="22" t="s">
        <v>1709</v>
      </c>
      <c r="D128" s="6" t="s">
        <v>3230</v>
      </c>
      <c r="E128" s="6" t="s">
        <v>3268</v>
      </c>
    </row>
  </sheetData>
  <conditionalFormatting sqref="C58">
    <cfRule type="duplicateValues" dxfId="8" priority="4"/>
    <cfRule type="duplicateValues" dxfId="7" priority="5"/>
    <cfRule type="duplicateValues" dxfId="6" priority="6"/>
  </conditionalFormatting>
  <conditionalFormatting sqref="C87">
    <cfRule type="duplicateValues" dxfId="5" priority="7"/>
    <cfRule type="duplicateValues" dxfId="4" priority="8"/>
    <cfRule type="duplicateValues" dxfId="3" priority="9"/>
  </conditionalFormatting>
  <conditionalFormatting sqref="C9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1"/>
  <sheetViews>
    <sheetView workbookViewId="0">
      <selection sqref="A1:XFD1048576"/>
    </sheetView>
  </sheetViews>
  <sheetFormatPr baseColWidth="10" defaultRowHeight="15" x14ac:dyDescent="0.25"/>
  <cols>
    <col min="1" max="1" width="49.42578125" bestFit="1" customWidth="1"/>
    <col min="2" max="2" width="25.140625" hidden="1" customWidth="1"/>
    <col min="3" max="3" width="23.28515625" bestFit="1" customWidth="1"/>
    <col min="4" max="4" width="14.85546875" bestFit="1" customWidth="1"/>
    <col min="5" max="5" width="19.140625" bestFit="1" customWidth="1"/>
    <col min="6" max="7" width="17.140625" bestFit="1" customWidth="1"/>
    <col min="8" max="8" width="22.42578125" bestFit="1" customWidth="1"/>
  </cols>
  <sheetData>
    <row r="1" spans="1:8" ht="24.75" x14ac:dyDescent="0.25">
      <c r="A1" s="47" t="s">
        <v>3716</v>
      </c>
      <c r="B1" s="48" t="s">
        <v>3717</v>
      </c>
      <c r="C1" s="49" t="s">
        <v>1</v>
      </c>
      <c r="D1" s="49" t="s">
        <v>0</v>
      </c>
      <c r="E1" s="49" t="s">
        <v>3718</v>
      </c>
      <c r="F1" s="50" t="s">
        <v>3719</v>
      </c>
      <c r="G1" s="51" t="s">
        <v>3720</v>
      </c>
      <c r="H1" s="51" t="s">
        <v>3721</v>
      </c>
    </row>
    <row r="2" spans="1:8" ht="29.25" x14ac:dyDescent="0.55000000000000004">
      <c r="A2" s="52" t="s">
        <v>3722</v>
      </c>
      <c r="B2" s="53" t="s">
        <v>3723</v>
      </c>
      <c r="C2" s="22" t="s">
        <v>1851</v>
      </c>
      <c r="D2" s="54" t="s">
        <v>1850</v>
      </c>
      <c r="E2" s="54" t="s">
        <v>3724</v>
      </c>
      <c r="F2" s="54" t="s">
        <v>3725</v>
      </c>
      <c r="G2" s="6" t="s">
        <v>3726</v>
      </c>
      <c r="H2" s="6" t="s">
        <v>2460</v>
      </c>
    </row>
    <row r="3" spans="1:8" ht="29.25" x14ac:dyDescent="0.55000000000000004">
      <c r="A3" s="52" t="s">
        <v>3727</v>
      </c>
      <c r="B3" s="53" t="s">
        <v>3728</v>
      </c>
      <c r="C3" s="22" t="s">
        <v>1334</v>
      </c>
      <c r="D3" s="54" t="s">
        <v>1333</v>
      </c>
      <c r="E3" s="54" t="s">
        <v>3729</v>
      </c>
      <c r="F3" s="54" t="s">
        <v>3730</v>
      </c>
      <c r="G3" s="6" t="s">
        <v>3731</v>
      </c>
      <c r="H3" s="6" t="s">
        <v>3732</v>
      </c>
    </row>
    <row r="4" spans="1:8" ht="29.25" x14ac:dyDescent="0.55000000000000004">
      <c r="A4" s="52" t="s">
        <v>3733</v>
      </c>
      <c r="B4" s="53" t="s">
        <v>3734</v>
      </c>
      <c r="C4" s="22" t="s">
        <v>3270</v>
      </c>
      <c r="D4" s="54" t="s">
        <v>1337</v>
      </c>
      <c r="E4" s="55" t="s">
        <v>3735</v>
      </c>
      <c r="F4" s="55" t="s">
        <v>3736</v>
      </c>
      <c r="G4" s="6" t="s">
        <v>3737</v>
      </c>
      <c r="H4" s="6" t="s">
        <v>2460</v>
      </c>
    </row>
    <row r="5" spans="1:8" ht="29.25" x14ac:dyDescent="0.55000000000000004">
      <c r="A5" s="52" t="s">
        <v>3738</v>
      </c>
      <c r="B5" s="53" t="s">
        <v>3739</v>
      </c>
      <c r="C5" s="22" t="s">
        <v>3270</v>
      </c>
      <c r="D5" s="54" t="s">
        <v>1337</v>
      </c>
      <c r="E5" s="55" t="s">
        <v>3735</v>
      </c>
      <c r="F5" s="55" t="s">
        <v>3736</v>
      </c>
      <c r="G5" s="6" t="s">
        <v>3737</v>
      </c>
      <c r="H5" s="6" t="s">
        <v>2460</v>
      </c>
    </row>
    <row r="6" spans="1:8" ht="29.25" x14ac:dyDescent="0.55000000000000004">
      <c r="A6" s="52" t="s">
        <v>3740</v>
      </c>
      <c r="B6" s="53" t="s">
        <v>3741</v>
      </c>
      <c r="C6" s="23" t="s">
        <v>1046</v>
      </c>
      <c r="D6" s="54" t="s">
        <v>1045</v>
      </c>
      <c r="E6" s="55">
        <v>0.73383299999999996</v>
      </c>
      <c r="F6" s="55">
        <v>7.1350600000000002</v>
      </c>
      <c r="G6" s="6" t="s">
        <v>3742</v>
      </c>
      <c r="H6" s="6" t="s">
        <v>2460</v>
      </c>
    </row>
    <row r="7" spans="1:8" ht="29.25" x14ac:dyDescent="0.55000000000000004">
      <c r="A7" s="52" t="s">
        <v>3743</v>
      </c>
      <c r="B7" s="53" t="s">
        <v>3744</v>
      </c>
      <c r="C7" s="24" t="s">
        <v>1462</v>
      </c>
      <c r="D7" s="54" t="s">
        <v>1461</v>
      </c>
      <c r="E7" s="54" t="s">
        <v>3745</v>
      </c>
      <c r="F7" s="54" t="s">
        <v>3746</v>
      </c>
      <c r="G7" s="6" t="s">
        <v>3747</v>
      </c>
      <c r="H7" s="6" t="s">
        <v>2460</v>
      </c>
    </row>
    <row r="8" spans="1:8" ht="29.25" x14ac:dyDescent="0.55000000000000004">
      <c r="A8" s="52" t="s">
        <v>3748</v>
      </c>
      <c r="B8" s="53" t="s">
        <v>3749</v>
      </c>
      <c r="C8" s="24" t="s">
        <v>1464</v>
      </c>
      <c r="D8" s="54" t="s">
        <v>1463</v>
      </c>
      <c r="E8" s="54">
        <v>1.2312777779999999</v>
      </c>
      <c r="F8" s="54">
        <v>6.306743451</v>
      </c>
      <c r="G8" s="6" t="s">
        <v>3747</v>
      </c>
      <c r="H8" s="6" t="s">
        <v>2460</v>
      </c>
    </row>
    <row r="9" spans="1:8" ht="29.25" x14ac:dyDescent="0.55000000000000004">
      <c r="A9" s="52" t="s">
        <v>3750</v>
      </c>
      <c r="B9" s="53" t="s">
        <v>3751</v>
      </c>
      <c r="C9" s="24" t="s">
        <v>3271</v>
      </c>
      <c r="D9" s="54" t="s">
        <v>1473</v>
      </c>
      <c r="E9" s="54">
        <v>1.2151380000000001</v>
      </c>
      <c r="F9" s="54">
        <v>6.326835</v>
      </c>
      <c r="G9" s="6" t="s">
        <v>3752</v>
      </c>
      <c r="H9" s="6" t="s">
        <v>2460</v>
      </c>
    </row>
    <row r="10" spans="1:8" ht="29.25" x14ac:dyDescent="0.55000000000000004">
      <c r="A10" s="52" t="s">
        <v>3753</v>
      </c>
      <c r="B10" s="53" t="s">
        <v>3754</v>
      </c>
      <c r="C10" s="22" t="s">
        <v>3272</v>
      </c>
      <c r="D10" s="54" t="s">
        <v>1733</v>
      </c>
      <c r="E10" s="54" t="s">
        <v>3755</v>
      </c>
      <c r="F10" s="54" t="s">
        <v>3756</v>
      </c>
      <c r="G10" s="6" t="s">
        <v>3757</v>
      </c>
      <c r="H10" s="6" t="s">
        <v>2460</v>
      </c>
    </row>
    <row r="11" spans="1:8" ht="29.25" x14ac:dyDescent="0.55000000000000004">
      <c r="A11" s="52" t="s">
        <v>3758</v>
      </c>
      <c r="B11" s="53" t="s">
        <v>3759</v>
      </c>
      <c r="C11" s="22" t="s">
        <v>3272</v>
      </c>
      <c r="D11" s="54" t="s">
        <v>1733</v>
      </c>
      <c r="E11" s="54" t="s">
        <v>3755</v>
      </c>
      <c r="F11" s="54" t="s">
        <v>3756</v>
      </c>
      <c r="G11" s="6" t="s">
        <v>3757</v>
      </c>
      <c r="H11" s="6" t="s">
        <v>2460</v>
      </c>
    </row>
    <row r="12" spans="1:8" ht="29.25" x14ac:dyDescent="0.55000000000000004">
      <c r="A12" s="52" t="s">
        <v>3760</v>
      </c>
      <c r="B12" s="53" t="s">
        <v>3761</v>
      </c>
      <c r="C12" s="22" t="s">
        <v>3272</v>
      </c>
      <c r="D12" s="54" t="s">
        <v>1733</v>
      </c>
      <c r="E12" s="54" t="s">
        <v>3755</v>
      </c>
      <c r="F12" s="54" t="s">
        <v>3756</v>
      </c>
      <c r="G12" s="6" t="s">
        <v>3757</v>
      </c>
      <c r="H12" s="6" t="s">
        <v>2460</v>
      </c>
    </row>
    <row r="13" spans="1:8" ht="29.25" x14ac:dyDescent="0.55000000000000004">
      <c r="A13" s="52" t="s">
        <v>3762</v>
      </c>
      <c r="B13" s="53" t="s">
        <v>3763</v>
      </c>
      <c r="C13" s="22" t="s">
        <v>3272</v>
      </c>
      <c r="D13" s="54" t="s">
        <v>1733</v>
      </c>
      <c r="E13" s="54" t="s">
        <v>3755</v>
      </c>
      <c r="F13" s="54" t="s">
        <v>3756</v>
      </c>
      <c r="G13" s="6" t="s">
        <v>3764</v>
      </c>
      <c r="H13" s="6" t="s">
        <v>2460</v>
      </c>
    </row>
    <row r="14" spans="1:8" ht="29.25" x14ac:dyDescent="0.55000000000000004">
      <c r="A14" s="52" t="s">
        <v>3765</v>
      </c>
      <c r="B14" s="53" t="s">
        <v>3766</v>
      </c>
      <c r="C14" s="22" t="s">
        <v>1480</v>
      </c>
      <c r="D14" s="54" t="s">
        <v>1479</v>
      </c>
      <c r="E14" s="54" t="s">
        <v>3767</v>
      </c>
      <c r="F14" s="54" t="s">
        <v>3768</v>
      </c>
      <c r="G14" s="6" t="s">
        <v>3769</v>
      </c>
      <c r="H14" s="6" t="s">
        <v>3732</v>
      </c>
    </row>
    <row r="15" spans="1:8" ht="29.25" x14ac:dyDescent="0.55000000000000004">
      <c r="A15" s="52" t="s">
        <v>3770</v>
      </c>
      <c r="B15" s="53" t="s">
        <v>3771</v>
      </c>
      <c r="C15" s="22" t="s">
        <v>3273</v>
      </c>
      <c r="D15" s="54" t="s">
        <v>1213</v>
      </c>
      <c r="E15" s="55" t="s">
        <v>3772</v>
      </c>
      <c r="F15" s="55" t="s">
        <v>3773</v>
      </c>
      <c r="G15" s="56" t="s">
        <v>3774</v>
      </c>
      <c r="H15" s="6" t="s">
        <v>3732</v>
      </c>
    </row>
    <row r="16" spans="1:8" ht="29.25" x14ac:dyDescent="0.55000000000000004">
      <c r="A16" s="52" t="s">
        <v>3775</v>
      </c>
      <c r="B16" s="53" t="s">
        <v>3776</v>
      </c>
      <c r="C16" s="22" t="s">
        <v>1347</v>
      </c>
      <c r="D16" s="54" t="s">
        <v>1346</v>
      </c>
      <c r="E16" s="55" t="s">
        <v>3777</v>
      </c>
      <c r="F16" s="55" t="s">
        <v>3778</v>
      </c>
      <c r="G16" s="6" t="s">
        <v>3779</v>
      </c>
      <c r="H16" s="6" t="s">
        <v>2460</v>
      </c>
    </row>
    <row r="17" spans="1:8" ht="29.25" x14ac:dyDescent="0.55000000000000004">
      <c r="A17" s="52" t="s">
        <v>3780</v>
      </c>
      <c r="B17" s="53" t="s">
        <v>3781</v>
      </c>
      <c r="C17" s="24" t="s">
        <v>3274</v>
      </c>
      <c r="D17" s="54" t="s">
        <v>1485</v>
      </c>
      <c r="E17" s="54" t="s">
        <v>3782</v>
      </c>
      <c r="F17" s="54" t="s">
        <v>3783</v>
      </c>
      <c r="G17" s="56" t="s">
        <v>3784</v>
      </c>
      <c r="H17" s="6" t="s">
        <v>3732</v>
      </c>
    </row>
    <row r="18" spans="1:8" ht="29.25" x14ac:dyDescent="0.55000000000000004">
      <c r="A18" s="52" t="s">
        <v>3785</v>
      </c>
      <c r="B18" s="53" t="s">
        <v>3786</v>
      </c>
      <c r="C18" s="22" t="s">
        <v>4</v>
      </c>
      <c r="D18" s="54" t="s">
        <v>3</v>
      </c>
      <c r="E18" s="55" t="s">
        <v>3787</v>
      </c>
      <c r="F18" s="55" t="s">
        <v>3788</v>
      </c>
      <c r="G18" s="56" t="s">
        <v>3789</v>
      </c>
      <c r="H18" s="6" t="s">
        <v>2460</v>
      </c>
    </row>
    <row r="19" spans="1:8" ht="29.25" x14ac:dyDescent="0.55000000000000004">
      <c r="A19" s="52" t="s">
        <v>3790</v>
      </c>
      <c r="B19" s="53" t="s">
        <v>3791</v>
      </c>
      <c r="C19" s="22" t="s">
        <v>1310</v>
      </c>
      <c r="D19" s="54" t="s">
        <v>1309</v>
      </c>
      <c r="E19" s="54" t="s">
        <v>3792</v>
      </c>
      <c r="F19" s="54" t="s">
        <v>3793</v>
      </c>
      <c r="G19" s="56" t="s">
        <v>3794</v>
      </c>
      <c r="H19" s="6" t="s">
        <v>2460</v>
      </c>
    </row>
    <row r="20" spans="1:8" ht="29.25" x14ac:dyDescent="0.55000000000000004">
      <c r="A20" s="52" t="s">
        <v>3795</v>
      </c>
      <c r="B20" s="53" t="s">
        <v>3796</v>
      </c>
      <c r="C20" s="23" t="s">
        <v>3275</v>
      </c>
      <c r="D20" s="54" t="s">
        <v>1709</v>
      </c>
      <c r="E20" s="54" t="s">
        <v>3797</v>
      </c>
      <c r="F20" s="54" t="s">
        <v>3798</v>
      </c>
      <c r="G20" s="56" t="s">
        <v>3799</v>
      </c>
      <c r="H20" s="6" t="s">
        <v>2460</v>
      </c>
    </row>
    <row r="21" spans="1:8" ht="29.25" x14ac:dyDescent="0.55000000000000004">
      <c r="A21" s="52" t="s">
        <v>3800</v>
      </c>
      <c r="B21" s="53" t="s">
        <v>3801</v>
      </c>
      <c r="C21" s="24" t="s">
        <v>1753</v>
      </c>
      <c r="D21" s="54" t="s">
        <v>1752</v>
      </c>
      <c r="E21" s="54" t="s">
        <v>3802</v>
      </c>
      <c r="F21" s="54" t="s">
        <v>3803</v>
      </c>
      <c r="G21" s="56" t="s">
        <v>3804</v>
      </c>
      <c r="H21" s="6" t="s">
        <v>3732</v>
      </c>
    </row>
    <row r="22" spans="1:8" ht="29.25" x14ac:dyDescent="0.55000000000000004">
      <c r="A22" s="52" t="s">
        <v>3805</v>
      </c>
      <c r="B22" s="53" t="s">
        <v>3806</v>
      </c>
      <c r="C22" s="22" t="s">
        <v>1626</v>
      </c>
      <c r="D22" s="54" t="s">
        <v>1625</v>
      </c>
      <c r="E22" s="54">
        <v>1.13578</v>
      </c>
      <c r="F22" s="54">
        <v>6.2789700000000002</v>
      </c>
      <c r="G22" s="6" t="s">
        <v>3807</v>
      </c>
      <c r="H22" s="6" t="s">
        <v>2460</v>
      </c>
    </row>
    <row r="23" spans="1:8" ht="29.25" x14ac:dyDescent="0.55000000000000004">
      <c r="A23" s="52" t="s">
        <v>3808</v>
      </c>
      <c r="B23" s="53" t="s">
        <v>3809</v>
      </c>
      <c r="C23" s="22" t="s">
        <v>1628</v>
      </c>
      <c r="D23" s="54" t="s">
        <v>1627</v>
      </c>
      <c r="E23" s="55" t="s">
        <v>3810</v>
      </c>
      <c r="F23" s="55" t="s">
        <v>3811</v>
      </c>
      <c r="G23" s="6" t="s">
        <v>3812</v>
      </c>
      <c r="H23" s="6" t="s">
        <v>2460</v>
      </c>
    </row>
    <row r="24" spans="1:8" ht="29.25" x14ac:dyDescent="0.55000000000000004">
      <c r="A24" s="52" t="s">
        <v>3813</v>
      </c>
      <c r="B24" s="53" t="s">
        <v>3814</v>
      </c>
      <c r="C24" s="22" t="s">
        <v>3276</v>
      </c>
      <c r="D24" s="54" t="s">
        <v>1756</v>
      </c>
      <c r="E24" s="54" t="s">
        <v>3815</v>
      </c>
      <c r="F24" s="54" t="s">
        <v>3816</v>
      </c>
      <c r="G24" s="56" t="s">
        <v>3804</v>
      </c>
      <c r="H24" s="6" t="s">
        <v>2460</v>
      </c>
    </row>
    <row r="25" spans="1:8" ht="29.25" x14ac:dyDescent="0.55000000000000004">
      <c r="A25" s="52" t="s">
        <v>3817</v>
      </c>
      <c r="B25" s="53" t="s">
        <v>3818</v>
      </c>
      <c r="C25" s="23" t="s">
        <v>3276</v>
      </c>
      <c r="D25" s="54" t="s">
        <v>1756</v>
      </c>
      <c r="E25" s="54" t="s">
        <v>3815</v>
      </c>
      <c r="F25" s="54" t="s">
        <v>3816</v>
      </c>
      <c r="G25" s="6" t="s">
        <v>3819</v>
      </c>
      <c r="H25" s="6" t="s">
        <v>2460</v>
      </c>
    </row>
    <row r="26" spans="1:8" ht="29.25" x14ac:dyDescent="0.55000000000000004">
      <c r="A26" s="52" t="s">
        <v>3820</v>
      </c>
      <c r="B26" s="53" t="s">
        <v>3821</v>
      </c>
      <c r="C26" s="22" t="s">
        <v>3276</v>
      </c>
      <c r="D26" s="54" t="s">
        <v>1756</v>
      </c>
      <c r="E26" s="54" t="s">
        <v>3815</v>
      </c>
      <c r="F26" s="54" t="s">
        <v>3816</v>
      </c>
      <c r="G26" s="56" t="s">
        <v>3804</v>
      </c>
      <c r="H26" s="6" t="s">
        <v>2460</v>
      </c>
    </row>
    <row r="27" spans="1:8" ht="29.25" x14ac:dyDescent="0.55000000000000004">
      <c r="A27" s="52" t="s">
        <v>3822</v>
      </c>
      <c r="B27" s="53" t="s">
        <v>3823</v>
      </c>
      <c r="C27" s="23" t="s">
        <v>3277</v>
      </c>
      <c r="D27" s="54" t="s">
        <v>1758</v>
      </c>
      <c r="E27" s="23" t="s">
        <v>3824</v>
      </c>
      <c r="F27" s="23" t="s">
        <v>3825</v>
      </c>
      <c r="G27" s="56" t="s">
        <v>3804</v>
      </c>
      <c r="H27" s="6" t="s">
        <v>2460</v>
      </c>
    </row>
    <row r="28" spans="1:8" ht="29.25" x14ac:dyDescent="0.55000000000000004">
      <c r="A28" s="52" t="s">
        <v>3826</v>
      </c>
      <c r="B28" s="53" t="s">
        <v>3827</v>
      </c>
      <c r="C28" s="23" t="s">
        <v>3277</v>
      </c>
      <c r="D28" s="54" t="s">
        <v>1758</v>
      </c>
      <c r="E28" s="23" t="s">
        <v>3824</v>
      </c>
      <c r="F28" s="23" t="s">
        <v>3825</v>
      </c>
      <c r="G28" s="56" t="s">
        <v>3828</v>
      </c>
      <c r="H28" s="6" t="s">
        <v>2460</v>
      </c>
    </row>
    <row r="29" spans="1:8" ht="29.25" x14ac:dyDescent="0.55000000000000004">
      <c r="A29" s="52" t="s">
        <v>3829</v>
      </c>
      <c r="B29" s="53" t="s">
        <v>3830</v>
      </c>
      <c r="C29" s="22" t="s">
        <v>3278</v>
      </c>
      <c r="D29" s="54" t="s">
        <v>1313</v>
      </c>
      <c r="E29" s="54" t="s">
        <v>3831</v>
      </c>
      <c r="F29" s="54" t="s">
        <v>3832</v>
      </c>
      <c r="G29" s="6" t="s">
        <v>3833</v>
      </c>
      <c r="H29" s="6" t="s">
        <v>2460</v>
      </c>
    </row>
    <row r="30" spans="1:8" ht="29.25" x14ac:dyDescent="0.55000000000000004">
      <c r="A30" s="52" t="s">
        <v>3834</v>
      </c>
      <c r="B30" s="53" t="s">
        <v>3835</v>
      </c>
      <c r="C30" s="22" t="s">
        <v>3279</v>
      </c>
      <c r="D30" s="54" t="s">
        <v>1876</v>
      </c>
      <c r="E30" s="54" t="s">
        <v>3836</v>
      </c>
      <c r="F30" s="54" t="s">
        <v>3837</v>
      </c>
      <c r="G30" s="6" t="s">
        <v>3838</v>
      </c>
      <c r="H30" s="6" t="s">
        <v>2460</v>
      </c>
    </row>
    <row r="31" spans="1:8" ht="29.25" x14ac:dyDescent="0.55000000000000004">
      <c r="A31" s="52" t="s">
        <v>3839</v>
      </c>
      <c r="B31" s="53" t="s">
        <v>3840</v>
      </c>
      <c r="C31" s="22" t="s">
        <v>3280</v>
      </c>
      <c r="D31" s="54" t="s">
        <v>1509</v>
      </c>
      <c r="E31" s="54">
        <v>1.2008730000000001</v>
      </c>
      <c r="F31" s="54">
        <v>6.2046819400000004</v>
      </c>
      <c r="G31" s="6" t="s">
        <v>3841</v>
      </c>
      <c r="H31" s="6" t="s">
        <v>2460</v>
      </c>
    </row>
    <row r="32" spans="1:8" ht="29.25" x14ac:dyDescent="0.55000000000000004">
      <c r="A32" s="52" t="s">
        <v>3842</v>
      </c>
      <c r="B32" s="53" t="s">
        <v>3843</v>
      </c>
      <c r="C32" s="22" t="s">
        <v>3280</v>
      </c>
      <c r="D32" s="54" t="s">
        <v>1509</v>
      </c>
      <c r="E32" s="54">
        <v>1.2008730000000001</v>
      </c>
      <c r="F32" s="54">
        <v>6.2046819400000004</v>
      </c>
      <c r="G32" s="6" t="s">
        <v>3841</v>
      </c>
      <c r="H32" s="6" t="s">
        <v>2460</v>
      </c>
    </row>
    <row r="33" spans="1:8" ht="29.25" x14ac:dyDescent="0.55000000000000004">
      <c r="A33" s="52" t="s">
        <v>1230</v>
      </c>
      <c r="B33" s="53" t="s">
        <v>3844</v>
      </c>
      <c r="C33" s="22" t="s">
        <v>3281</v>
      </c>
      <c r="D33" s="54" t="s">
        <v>1229</v>
      </c>
      <c r="E33" s="54">
        <v>1.2143699999999999</v>
      </c>
      <c r="F33" s="54">
        <v>6.181</v>
      </c>
      <c r="G33" s="6" t="s">
        <v>3845</v>
      </c>
      <c r="H33" s="6" t="s">
        <v>2460</v>
      </c>
    </row>
    <row r="34" spans="1:8" ht="29.25" x14ac:dyDescent="0.55000000000000004">
      <c r="A34" s="52" t="s">
        <v>3846</v>
      </c>
      <c r="B34" s="53" t="s">
        <v>3847</v>
      </c>
      <c r="C34" s="22" t="s">
        <v>1956</v>
      </c>
      <c r="D34" s="54" t="s">
        <v>1955</v>
      </c>
      <c r="E34" s="54">
        <v>1.2118500000000001</v>
      </c>
      <c r="F34" s="54">
        <v>6.1289305560000003</v>
      </c>
      <c r="G34" s="6" t="s">
        <v>3848</v>
      </c>
      <c r="H34" s="6" t="s">
        <v>2460</v>
      </c>
    </row>
    <row r="35" spans="1:8" ht="29.25" x14ac:dyDescent="0.55000000000000004">
      <c r="A35" s="52" t="s">
        <v>3849</v>
      </c>
      <c r="B35" s="53" t="s">
        <v>3850</v>
      </c>
      <c r="C35" s="22" t="s">
        <v>1956</v>
      </c>
      <c r="D35" s="54" t="s">
        <v>1955</v>
      </c>
      <c r="E35" s="54">
        <v>1.2118500000000001</v>
      </c>
      <c r="F35" s="54">
        <v>6.1289305560000003</v>
      </c>
      <c r="G35" s="6" t="s">
        <v>3848</v>
      </c>
      <c r="H35" s="6" t="s">
        <v>2460</v>
      </c>
    </row>
    <row r="36" spans="1:8" ht="29.25" x14ac:dyDescent="0.55000000000000004">
      <c r="A36" s="52" t="s">
        <v>3851</v>
      </c>
      <c r="B36" s="53" t="s">
        <v>3852</v>
      </c>
      <c r="C36" s="22" t="s">
        <v>1956</v>
      </c>
      <c r="D36" s="54" t="s">
        <v>1955</v>
      </c>
      <c r="E36" s="54">
        <v>1.2118500000000001</v>
      </c>
      <c r="F36" s="54">
        <v>6.1289305560000003</v>
      </c>
      <c r="G36" s="6" t="s">
        <v>3848</v>
      </c>
      <c r="H36" s="6" t="s">
        <v>2460</v>
      </c>
    </row>
    <row r="37" spans="1:8" ht="29.25" x14ac:dyDescent="0.55000000000000004">
      <c r="A37" s="52" t="s">
        <v>3853</v>
      </c>
      <c r="B37" s="53" t="s">
        <v>3854</v>
      </c>
      <c r="C37" s="24" t="s">
        <v>1520</v>
      </c>
      <c r="D37" s="54" t="s">
        <v>1519</v>
      </c>
      <c r="E37" s="54" t="s">
        <v>3855</v>
      </c>
      <c r="F37" s="54" t="s">
        <v>3856</v>
      </c>
      <c r="G37" s="6" t="s">
        <v>3857</v>
      </c>
      <c r="H37" s="6" t="s">
        <v>3732</v>
      </c>
    </row>
    <row r="38" spans="1:8" ht="29.25" x14ac:dyDescent="0.55000000000000004">
      <c r="A38" s="52" t="s">
        <v>3858</v>
      </c>
      <c r="B38" s="53" t="s">
        <v>3859</v>
      </c>
      <c r="C38" s="24" t="s">
        <v>1240</v>
      </c>
      <c r="D38" s="54" t="s">
        <v>1239</v>
      </c>
      <c r="E38" s="55" t="s">
        <v>3860</v>
      </c>
      <c r="F38" s="55" t="s">
        <v>3861</v>
      </c>
      <c r="G38" s="6" t="s">
        <v>3862</v>
      </c>
      <c r="H38" s="6" t="s">
        <v>2460</v>
      </c>
    </row>
    <row r="39" spans="1:8" ht="29.25" x14ac:dyDescent="0.55000000000000004">
      <c r="A39" s="52" t="s">
        <v>3863</v>
      </c>
      <c r="B39" s="53" t="s">
        <v>3864</v>
      </c>
      <c r="C39" s="22" t="s">
        <v>1398</v>
      </c>
      <c r="D39" s="54" t="s">
        <v>1397</v>
      </c>
      <c r="E39" s="55" t="s">
        <v>3865</v>
      </c>
      <c r="F39" s="55" t="s">
        <v>3866</v>
      </c>
      <c r="G39" s="6" t="s">
        <v>3867</v>
      </c>
      <c r="H39" s="6" t="s">
        <v>2460</v>
      </c>
    </row>
    <row r="40" spans="1:8" ht="29.25" x14ac:dyDescent="0.55000000000000004">
      <c r="A40" s="52" t="s">
        <v>3868</v>
      </c>
      <c r="B40" s="53" t="s">
        <v>3869</v>
      </c>
      <c r="C40" s="22" t="s">
        <v>1843</v>
      </c>
      <c r="D40" s="54" t="s">
        <v>1842</v>
      </c>
      <c r="E40" s="55" t="s">
        <v>3870</v>
      </c>
      <c r="F40" s="55" t="s">
        <v>3871</v>
      </c>
      <c r="G40" s="6" t="s">
        <v>3872</v>
      </c>
      <c r="H40" s="6" t="s">
        <v>2460</v>
      </c>
    </row>
    <row r="41" spans="1:8" ht="29.25" x14ac:dyDescent="0.55000000000000004">
      <c r="A41" s="52" t="s">
        <v>3873</v>
      </c>
      <c r="B41" s="53" t="s">
        <v>3874</v>
      </c>
      <c r="C41" s="22" t="s">
        <v>3282</v>
      </c>
      <c r="D41" s="54" t="s">
        <v>1897</v>
      </c>
      <c r="E41" s="54" t="s">
        <v>3875</v>
      </c>
      <c r="F41" s="54" t="s">
        <v>3876</v>
      </c>
      <c r="G41" s="6" t="s">
        <v>3877</v>
      </c>
      <c r="H41" s="6" t="s">
        <v>2460</v>
      </c>
    </row>
    <row r="42" spans="1:8" ht="29.25" x14ac:dyDescent="0.55000000000000004">
      <c r="A42" s="52" t="s">
        <v>3878</v>
      </c>
      <c r="B42" s="53" t="s">
        <v>3879</v>
      </c>
      <c r="C42" s="22" t="s">
        <v>1540</v>
      </c>
      <c r="D42" s="54" t="s">
        <v>1539</v>
      </c>
      <c r="E42" s="54" t="s">
        <v>3880</v>
      </c>
      <c r="F42" s="54" t="s">
        <v>3881</v>
      </c>
      <c r="G42" s="6" t="s">
        <v>3882</v>
      </c>
      <c r="H42" s="6" t="s">
        <v>2460</v>
      </c>
    </row>
    <row r="43" spans="1:8" ht="29.25" x14ac:dyDescent="0.55000000000000004">
      <c r="A43" s="52" t="s">
        <v>3883</v>
      </c>
      <c r="B43" s="53" t="s">
        <v>3884</v>
      </c>
      <c r="C43" s="22" t="s">
        <v>3283</v>
      </c>
      <c r="D43" s="54" t="s">
        <v>1249</v>
      </c>
      <c r="E43" s="57" t="s">
        <v>3885</v>
      </c>
      <c r="F43" s="57" t="s">
        <v>3886</v>
      </c>
      <c r="G43" s="6" t="s">
        <v>3887</v>
      </c>
      <c r="H43" s="6" t="s">
        <v>2460</v>
      </c>
    </row>
    <row r="44" spans="1:8" ht="34.5" x14ac:dyDescent="0.55000000000000004">
      <c r="A44" s="52" t="s">
        <v>3888</v>
      </c>
      <c r="B44" s="53" t="s">
        <v>3889</v>
      </c>
      <c r="C44" s="22" t="s">
        <v>216</v>
      </c>
      <c r="D44" s="54" t="s">
        <v>215</v>
      </c>
      <c r="E44" s="57">
        <v>1.100338</v>
      </c>
      <c r="F44" s="57">
        <v>7.5289669999999997</v>
      </c>
      <c r="G44" s="58" t="s">
        <v>3890</v>
      </c>
      <c r="H44" s="6" t="s">
        <v>2460</v>
      </c>
    </row>
    <row r="45" spans="1:8" ht="29.25" x14ac:dyDescent="0.55000000000000004">
      <c r="A45" s="52" t="s">
        <v>3891</v>
      </c>
      <c r="B45" s="53" t="s">
        <v>3892</v>
      </c>
      <c r="C45" s="22" t="s">
        <v>3284</v>
      </c>
      <c r="D45" s="54" t="s">
        <v>1184</v>
      </c>
      <c r="E45" s="54" t="s">
        <v>3893</v>
      </c>
      <c r="F45" s="54" t="s">
        <v>3894</v>
      </c>
      <c r="G45" s="6" t="s">
        <v>3895</v>
      </c>
      <c r="H45" s="6" t="s">
        <v>2460</v>
      </c>
    </row>
    <row r="46" spans="1:8" ht="29.25" x14ac:dyDescent="0.55000000000000004">
      <c r="A46" s="52" t="s">
        <v>3896</v>
      </c>
      <c r="B46" s="53" t="s">
        <v>3897</v>
      </c>
      <c r="C46" s="22" t="s">
        <v>3284</v>
      </c>
      <c r="D46" s="54" t="s">
        <v>1184</v>
      </c>
      <c r="E46" s="54" t="s">
        <v>3893</v>
      </c>
      <c r="F46" s="54" t="s">
        <v>3894</v>
      </c>
      <c r="G46" s="6" t="s">
        <v>3895</v>
      </c>
      <c r="H46" s="6" t="s">
        <v>2460</v>
      </c>
    </row>
    <row r="47" spans="1:8" ht="29.25" x14ac:dyDescent="0.55000000000000004">
      <c r="A47" s="52" t="s">
        <v>3898</v>
      </c>
      <c r="B47" s="53" t="s">
        <v>3899</v>
      </c>
      <c r="C47" s="22" t="s">
        <v>3285</v>
      </c>
      <c r="D47" s="54" t="s">
        <v>1261</v>
      </c>
      <c r="E47" s="55" t="s">
        <v>3900</v>
      </c>
      <c r="F47" s="55" t="s">
        <v>3901</v>
      </c>
      <c r="G47" s="6" t="s">
        <v>3902</v>
      </c>
      <c r="H47" s="6" t="s">
        <v>2460</v>
      </c>
    </row>
    <row r="48" spans="1:8" ht="29.25" x14ac:dyDescent="0.55000000000000004">
      <c r="A48" s="52" t="s">
        <v>3903</v>
      </c>
      <c r="B48" s="53" t="s">
        <v>3904</v>
      </c>
      <c r="C48" s="22" t="s">
        <v>3285</v>
      </c>
      <c r="D48" s="54" t="s">
        <v>1261</v>
      </c>
      <c r="E48" s="55" t="s">
        <v>3900</v>
      </c>
      <c r="F48" s="55" t="s">
        <v>3901</v>
      </c>
      <c r="G48" s="6" t="s">
        <v>3902</v>
      </c>
      <c r="H48" s="6" t="s">
        <v>2460</v>
      </c>
    </row>
    <row r="49" spans="1:8" ht="29.25" x14ac:dyDescent="0.55000000000000004">
      <c r="A49" s="52" t="s">
        <v>3905</v>
      </c>
      <c r="B49" s="53" t="s">
        <v>3906</v>
      </c>
      <c r="C49" s="22" t="s">
        <v>3285</v>
      </c>
      <c r="D49" s="54" t="s">
        <v>1261</v>
      </c>
      <c r="E49" s="55" t="s">
        <v>3900</v>
      </c>
      <c r="F49" s="55" t="s">
        <v>3901</v>
      </c>
      <c r="G49" s="6" t="s">
        <v>3902</v>
      </c>
      <c r="H49" s="6" t="s">
        <v>2460</v>
      </c>
    </row>
    <row r="50" spans="1:8" ht="29.25" x14ac:dyDescent="0.55000000000000004">
      <c r="A50" s="52" t="s">
        <v>3907</v>
      </c>
      <c r="B50" s="53" t="s">
        <v>3908</v>
      </c>
      <c r="C50" s="24" t="s">
        <v>1912</v>
      </c>
      <c r="D50" s="54" t="s">
        <v>1911</v>
      </c>
      <c r="E50" s="54" t="s">
        <v>3909</v>
      </c>
      <c r="F50" s="54" t="s">
        <v>3910</v>
      </c>
      <c r="G50" s="6" t="s">
        <v>3911</v>
      </c>
      <c r="H50" s="6" t="s">
        <v>2460</v>
      </c>
    </row>
    <row r="51" spans="1:8" ht="29.25" x14ac:dyDescent="0.55000000000000004">
      <c r="A51" s="52" t="s">
        <v>3912</v>
      </c>
      <c r="B51" s="53" t="s">
        <v>3913</v>
      </c>
      <c r="C51" s="24" t="s">
        <v>1272</v>
      </c>
      <c r="D51" s="54" t="s">
        <v>1271</v>
      </c>
      <c r="E51" s="55" t="s">
        <v>3914</v>
      </c>
      <c r="F51" s="55" t="s">
        <v>3915</v>
      </c>
      <c r="G51" s="6" t="s">
        <v>3769</v>
      </c>
      <c r="H51" s="6" t="s">
        <v>2460</v>
      </c>
    </row>
    <row r="52" spans="1:8" ht="29.25" x14ac:dyDescent="0.55000000000000004">
      <c r="A52" s="52" t="s">
        <v>3916</v>
      </c>
      <c r="B52" s="53" t="s">
        <v>3917</v>
      </c>
      <c r="C52" s="24" t="s">
        <v>1712</v>
      </c>
      <c r="D52" s="54" t="s">
        <v>1711</v>
      </c>
      <c r="E52" s="55" t="s">
        <v>3918</v>
      </c>
      <c r="F52" s="55" t="s">
        <v>3919</v>
      </c>
      <c r="G52" s="6" t="s">
        <v>3920</v>
      </c>
      <c r="H52" s="6" t="s">
        <v>2460</v>
      </c>
    </row>
    <row r="53" spans="1:8" ht="29.25" x14ac:dyDescent="0.55000000000000004">
      <c r="A53" s="52" t="s">
        <v>3921</v>
      </c>
      <c r="B53" s="53" t="s">
        <v>3922</v>
      </c>
      <c r="C53" s="22" t="s">
        <v>1278</v>
      </c>
      <c r="D53" s="54" t="s">
        <v>1277</v>
      </c>
      <c r="E53" s="55">
        <v>1.20658333</v>
      </c>
      <c r="F53" s="55">
        <v>6.1734513639999999</v>
      </c>
      <c r="G53" s="6" t="s">
        <v>3923</v>
      </c>
      <c r="H53" s="6" t="s">
        <v>2460</v>
      </c>
    </row>
    <row r="54" spans="1:8" ht="29.25" x14ac:dyDescent="0.55000000000000004">
      <c r="A54" s="52" t="s">
        <v>3924</v>
      </c>
      <c r="B54" s="53" t="s">
        <v>3925</v>
      </c>
      <c r="C54" s="22" t="s">
        <v>3286</v>
      </c>
      <c r="D54" s="54" t="s">
        <v>3287</v>
      </c>
      <c r="E54" s="55" t="s">
        <v>3926</v>
      </c>
      <c r="F54" s="55" t="s">
        <v>3927</v>
      </c>
      <c r="G54" s="6" t="s">
        <v>3928</v>
      </c>
      <c r="H54" s="6" t="s">
        <v>2460</v>
      </c>
    </row>
    <row r="55" spans="1:8" ht="29.25" x14ac:dyDescent="0.55000000000000004">
      <c r="A55" s="52" t="s">
        <v>3929</v>
      </c>
      <c r="B55" s="53" t="s">
        <v>3930</v>
      </c>
      <c r="C55" s="22" t="s">
        <v>1594</v>
      </c>
      <c r="D55" s="54" t="s">
        <v>1593</v>
      </c>
      <c r="E55" s="54" t="s">
        <v>3931</v>
      </c>
      <c r="F55" s="54" t="s">
        <v>3932</v>
      </c>
      <c r="G55" s="6" t="s">
        <v>3933</v>
      </c>
      <c r="H55" s="6" t="s">
        <v>2460</v>
      </c>
    </row>
    <row r="56" spans="1:8" ht="29.25" x14ac:dyDescent="0.55000000000000004">
      <c r="A56" s="52" t="s">
        <v>3934</v>
      </c>
      <c r="B56" s="53" t="s">
        <v>3935</v>
      </c>
      <c r="C56" s="22" t="s">
        <v>1594</v>
      </c>
      <c r="D56" s="54" t="s">
        <v>1593</v>
      </c>
      <c r="E56" s="54" t="s">
        <v>3931</v>
      </c>
      <c r="F56" s="54" t="s">
        <v>3932</v>
      </c>
      <c r="G56" s="6" t="s">
        <v>3936</v>
      </c>
      <c r="H56" s="6" t="s">
        <v>2460</v>
      </c>
    </row>
    <row r="57" spans="1:8" ht="29.25" x14ac:dyDescent="0.55000000000000004">
      <c r="A57" s="52" t="s">
        <v>3937</v>
      </c>
      <c r="B57" s="53" t="s">
        <v>3938</v>
      </c>
      <c r="C57" s="22" t="s">
        <v>3288</v>
      </c>
      <c r="D57" s="54" t="s">
        <v>1679</v>
      </c>
      <c r="E57" s="54" t="s">
        <v>3939</v>
      </c>
      <c r="F57" s="54" t="s">
        <v>3940</v>
      </c>
      <c r="G57" s="6" t="s">
        <v>3941</v>
      </c>
      <c r="H57" s="6" t="s">
        <v>2460</v>
      </c>
    </row>
    <row r="58" spans="1:8" ht="29.25" x14ac:dyDescent="0.55000000000000004">
      <c r="A58" s="52" t="s">
        <v>3942</v>
      </c>
      <c r="B58" s="53" t="s">
        <v>3943</v>
      </c>
      <c r="C58" s="22" t="s">
        <v>1924</v>
      </c>
      <c r="D58" s="54" t="s">
        <v>1923</v>
      </c>
      <c r="E58" s="54" t="s">
        <v>3944</v>
      </c>
      <c r="F58" s="54" t="s">
        <v>3945</v>
      </c>
      <c r="G58" s="6" t="s">
        <v>3946</v>
      </c>
      <c r="H58" s="6" t="s">
        <v>2460</v>
      </c>
    </row>
    <row r="59" spans="1:8" ht="29.25" x14ac:dyDescent="0.55000000000000004">
      <c r="A59" s="52" t="s">
        <v>3947</v>
      </c>
      <c r="B59" s="53" t="s">
        <v>3948</v>
      </c>
      <c r="C59" s="22" t="s">
        <v>1924</v>
      </c>
      <c r="D59" s="54" t="s">
        <v>1923</v>
      </c>
      <c r="E59" s="54" t="s">
        <v>3944</v>
      </c>
      <c r="F59" s="54" t="s">
        <v>3945</v>
      </c>
      <c r="G59" s="6" t="s">
        <v>3949</v>
      </c>
      <c r="H59" s="6" t="s">
        <v>2460</v>
      </c>
    </row>
    <row r="60" spans="1:8" ht="29.25" x14ac:dyDescent="0.55000000000000004">
      <c r="A60" s="52" t="s">
        <v>3950</v>
      </c>
      <c r="B60" s="53" t="s">
        <v>3951</v>
      </c>
      <c r="C60" s="22" t="s">
        <v>1684</v>
      </c>
      <c r="D60" s="54" t="s">
        <v>1683</v>
      </c>
      <c r="E60" s="59">
        <v>1.1463699899999999</v>
      </c>
      <c r="F60" s="59">
        <v>6.2664200000000001</v>
      </c>
      <c r="G60" s="6" t="s">
        <v>3952</v>
      </c>
      <c r="H60" s="6" t="s">
        <v>2460</v>
      </c>
    </row>
    <row r="61" spans="1:8" ht="29.25" x14ac:dyDescent="0.55000000000000004">
      <c r="A61" s="52" t="s">
        <v>3953</v>
      </c>
      <c r="B61" s="53" t="s">
        <v>3954</v>
      </c>
      <c r="C61" s="22" t="s">
        <v>3289</v>
      </c>
      <c r="D61" s="54" t="s">
        <v>1447</v>
      </c>
      <c r="E61" s="55" t="s">
        <v>3955</v>
      </c>
      <c r="F61" s="55" t="s">
        <v>3956</v>
      </c>
      <c r="G61" s="6" t="s">
        <v>3957</v>
      </c>
      <c r="H61" s="6" t="s">
        <v>2460</v>
      </c>
    </row>
    <row r="62" spans="1:8" ht="29.25" x14ac:dyDescent="0.55000000000000004">
      <c r="A62" s="52" t="s">
        <v>3958</v>
      </c>
      <c r="B62" s="53" t="s">
        <v>3959</v>
      </c>
      <c r="C62" s="22" t="s">
        <v>3289</v>
      </c>
      <c r="D62" s="54" t="s">
        <v>1447</v>
      </c>
      <c r="E62" s="55" t="s">
        <v>3955</v>
      </c>
      <c r="F62" s="55" t="s">
        <v>3956</v>
      </c>
      <c r="G62" s="6" t="s">
        <v>3957</v>
      </c>
      <c r="H62" s="6" t="s">
        <v>2460</v>
      </c>
    </row>
    <row r="63" spans="1:8" ht="34.5" x14ac:dyDescent="0.55000000000000004">
      <c r="A63" s="52" t="s">
        <v>3960</v>
      </c>
      <c r="B63" s="53" t="s">
        <v>3961</v>
      </c>
      <c r="C63" s="22" t="s">
        <v>3290</v>
      </c>
      <c r="D63" s="54" t="s">
        <v>1186</v>
      </c>
      <c r="E63" s="54">
        <v>1.2335750000000001</v>
      </c>
      <c r="F63" s="54">
        <v>6.1572878500000003</v>
      </c>
      <c r="G63" s="58" t="s">
        <v>3962</v>
      </c>
      <c r="H63" s="6" t="s">
        <v>2460</v>
      </c>
    </row>
    <row r="64" spans="1:8" ht="34.5" x14ac:dyDescent="0.55000000000000004">
      <c r="A64" s="52" t="s">
        <v>3963</v>
      </c>
      <c r="B64" s="53" t="s">
        <v>3964</v>
      </c>
      <c r="C64" s="22" t="s">
        <v>3290</v>
      </c>
      <c r="D64" s="54" t="s">
        <v>1186</v>
      </c>
      <c r="E64" s="54">
        <v>1.2335750000000001</v>
      </c>
      <c r="F64" s="54">
        <v>6.1572878500000003</v>
      </c>
      <c r="G64" s="58" t="s">
        <v>3962</v>
      </c>
      <c r="H64" s="6" t="s">
        <v>2460</v>
      </c>
    </row>
    <row r="65" spans="1:8" ht="29.25" x14ac:dyDescent="0.55000000000000004">
      <c r="A65" s="52" t="s">
        <v>3965</v>
      </c>
      <c r="B65" s="53" t="s">
        <v>3966</v>
      </c>
      <c r="C65" s="22" t="s">
        <v>1422</v>
      </c>
      <c r="D65" s="54" t="s">
        <v>1421</v>
      </c>
      <c r="E65" s="55" t="s">
        <v>3967</v>
      </c>
      <c r="F65" s="55" t="s">
        <v>3968</v>
      </c>
      <c r="G65" s="6" t="s">
        <v>3731</v>
      </c>
      <c r="H65" s="6" t="s">
        <v>2460</v>
      </c>
    </row>
    <row r="66" spans="1:8" ht="29.25" x14ac:dyDescent="0.55000000000000004">
      <c r="A66" s="52" t="s">
        <v>3969</v>
      </c>
      <c r="B66" s="53" t="s">
        <v>3970</v>
      </c>
      <c r="C66" s="22" t="s">
        <v>1422</v>
      </c>
      <c r="D66" s="54" t="s">
        <v>1421</v>
      </c>
      <c r="E66" s="55" t="s">
        <v>3967</v>
      </c>
      <c r="F66" s="55" t="s">
        <v>3968</v>
      </c>
      <c r="G66" s="6" t="s">
        <v>3731</v>
      </c>
      <c r="H66" s="6" t="s">
        <v>2460</v>
      </c>
    </row>
    <row r="67" spans="1:8" ht="29.25" x14ac:dyDescent="0.55000000000000004">
      <c r="A67" s="52" t="s">
        <v>3971</v>
      </c>
      <c r="B67" s="53" t="s">
        <v>3972</v>
      </c>
      <c r="C67" s="24" t="s">
        <v>1714</v>
      </c>
      <c r="D67" s="54" t="s">
        <v>1713</v>
      </c>
      <c r="E67" s="55" t="s">
        <v>3973</v>
      </c>
      <c r="F67" s="55" t="s">
        <v>3974</v>
      </c>
      <c r="G67" s="6" t="s">
        <v>3975</v>
      </c>
      <c r="H67" s="6" t="s">
        <v>2460</v>
      </c>
    </row>
    <row r="68" spans="1:8" ht="29.25" x14ac:dyDescent="0.55000000000000004">
      <c r="A68" s="52" t="s">
        <v>3976</v>
      </c>
      <c r="B68" s="53" t="s">
        <v>3977</v>
      </c>
      <c r="C68" s="24" t="s">
        <v>1809</v>
      </c>
      <c r="D68" s="54" t="s">
        <v>1808</v>
      </c>
      <c r="E68" s="55" t="s">
        <v>3978</v>
      </c>
      <c r="F68" s="55" t="s">
        <v>3979</v>
      </c>
      <c r="G68" s="6" t="s">
        <v>3819</v>
      </c>
      <c r="H68" s="6" t="s">
        <v>2460</v>
      </c>
    </row>
    <row r="69" spans="1:8" ht="29.25" x14ac:dyDescent="0.55000000000000004">
      <c r="A69" s="52" t="s">
        <v>3980</v>
      </c>
      <c r="B69" s="53" t="s">
        <v>3981</v>
      </c>
      <c r="C69" s="22" t="s">
        <v>1944</v>
      </c>
      <c r="D69" s="54" t="s">
        <v>1943</v>
      </c>
      <c r="E69" s="55">
        <v>1.2088110000000001</v>
      </c>
      <c r="F69" s="55">
        <v>6.149996067</v>
      </c>
      <c r="G69" s="6" t="s">
        <v>3982</v>
      </c>
      <c r="H69" s="6" t="s">
        <v>2460</v>
      </c>
    </row>
    <row r="70" spans="1:8" ht="29.25" x14ac:dyDescent="0.55000000000000004">
      <c r="A70" s="52" t="s">
        <v>3983</v>
      </c>
      <c r="B70" s="53" t="s">
        <v>3984</v>
      </c>
      <c r="C70" s="22" t="s">
        <v>1296</v>
      </c>
      <c r="D70" s="54" t="s">
        <v>1295</v>
      </c>
      <c r="E70" s="55" t="s">
        <v>3985</v>
      </c>
      <c r="F70" s="55" t="s">
        <v>3986</v>
      </c>
      <c r="G70" s="6" t="s">
        <v>3987</v>
      </c>
      <c r="H70" s="6" t="s">
        <v>2460</v>
      </c>
    </row>
    <row r="71" spans="1:8" ht="29.25" x14ac:dyDescent="0.55000000000000004">
      <c r="A71" s="52" t="s">
        <v>3988</v>
      </c>
      <c r="B71" s="53" t="s">
        <v>3989</v>
      </c>
      <c r="C71" s="22" t="s">
        <v>1821</v>
      </c>
      <c r="D71" s="54" t="s">
        <v>1820</v>
      </c>
      <c r="E71" s="55">
        <v>1.181395</v>
      </c>
      <c r="F71" s="55">
        <v>6.1786791479999996</v>
      </c>
      <c r="G71" s="6" t="s">
        <v>3990</v>
      </c>
      <c r="H71" s="6" t="s">
        <v>2460</v>
      </c>
    </row>
    <row r="72" spans="1:8" ht="29.25" x14ac:dyDescent="0.55000000000000004">
      <c r="A72" s="52" t="s">
        <v>3991</v>
      </c>
      <c r="B72" s="53" t="s">
        <v>3992</v>
      </c>
      <c r="C72" s="23" t="s">
        <v>1560</v>
      </c>
      <c r="D72" s="54" t="s">
        <v>1559</v>
      </c>
      <c r="E72" s="55" t="s">
        <v>3993</v>
      </c>
      <c r="F72" s="55" t="s">
        <v>3994</v>
      </c>
      <c r="G72" s="6" t="s">
        <v>3995</v>
      </c>
      <c r="H72" s="6" t="s">
        <v>2460</v>
      </c>
    </row>
    <row r="73" spans="1:8" ht="29.25" x14ac:dyDescent="0.55000000000000004">
      <c r="A73" s="52" t="s">
        <v>3996</v>
      </c>
      <c r="B73" s="53" t="s">
        <v>3997</v>
      </c>
      <c r="C73" s="22" t="s">
        <v>3291</v>
      </c>
      <c r="D73" s="54" t="s">
        <v>1297</v>
      </c>
      <c r="E73" s="55" t="s">
        <v>3998</v>
      </c>
      <c r="F73" s="55" t="s">
        <v>3999</v>
      </c>
      <c r="G73" s="6" t="s">
        <v>3887</v>
      </c>
      <c r="H73" s="6" t="s">
        <v>2460</v>
      </c>
    </row>
    <row r="74" spans="1:8" ht="29.25" x14ac:dyDescent="0.55000000000000004">
      <c r="A74" s="52" t="s">
        <v>4000</v>
      </c>
      <c r="B74" s="53" t="s">
        <v>4001</v>
      </c>
      <c r="C74" s="22" t="s">
        <v>3291</v>
      </c>
      <c r="D74" s="54" t="s">
        <v>1297</v>
      </c>
      <c r="E74" s="55" t="s">
        <v>3998</v>
      </c>
      <c r="F74" s="55" t="s">
        <v>3999</v>
      </c>
      <c r="G74" s="6" t="s">
        <v>4002</v>
      </c>
      <c r="H74" s="6" t="s">
        <v>2460</v>
      </c>
    </row>
    <row r="75" spans="1:8" ht="29.25" x14ac:dyDescent="0.55000000000000004">
      <c r="A75" s="52" t="s">
        <v>4003</v>
      </c>
      <c r="B75" s="53" t="s">
        <v>3859</v>
      </c>
      <c r="C75" s="22" t="s">
        <v>3291</v>
      </c>
      <c r="D75" s="54" t="s">
        <v>1297</v>
      </c>
      <c r="E75" s="55" t="s">
        <v>3998</v>
      </c>
      <c r="F75" s="55" t="s">
        <v>3999</v>
      </c>
      <c r="G75" s="6" t="s">
        <v>4002</v>
      </c>
      <c r="H75" s="6" t="s">
        <v>2460</v>
      </c>
    </row>
    <row r="76" spans="1:8" ht="29.25" x14ac:dyDescent="0.55000000000000004">
      <c r="A76" s="52" t="s">
        <v>4004</v>
      </c>
      <c r="B76" s="53" t="s">
        <v>4005</v>
      </c>
      <c r="C76" s="22" t="s">
        <v>3292</v>
      </c>
      <c r="D76" s="54" t="s">
        <v>1719</v>
      </c>
      <c r="E76" s="54" t="s">
        <v>4006</v>
      </c>
      <c r="F76" s="54" t="s">
        <v>4007</v>
      </c>
      <c r="G76" s="6" t="s">
        <v>4008</v>
      </c>
      <c r="H76" s="6" t="s">
        <v>2460</v>
      </c>
    </row>
    <row r="77" spans="1:8" ht="29.25" x14ac:dyDescent="0.55000000000000004">
      <c r="A77" s="52" t="s">
        <v>4009</v>
      </c>
      <c r="B77" s="53" t="s">
        <v>4010</v>
      </c>
      <c r="C77" s="22" t="s">
        <v>3293</v>
      </c>
      <c r="D77" s="54" t="s">
        <v>1717</v>
      </c>
      <c r="E77" s="55" t="s">
        <v>4011</v>
      </c>
      <c r="F77" s="55" t="s">
        <v>4012</v>
      </c>
      <c r="G77" s="6" t="s">
        <v>4013</v>
      </c>
      <c r="H77" s="6" t="s">
        <v>2460</v>
      </c>
    </row>
    <row r="78" spans="1:8" ht="29.25" x14ac:dyDescent="0.55000000000000004">
      <c r="A78" s="52" t="s">
        <v>4014</v>
      </c>
      <c r="B78" s="53" t="s">
        <v>4015</v>
      </c>
      <c r="C78" s="22" t="s">
        <v>1837</v>
      </c>
      <c r="D78" s="54" t="s">
        <v>1836</v>
      </c>
      <c r="E78" s="54" t="s">
        <v>4016</v>
      </c>
      <c r="F78" s="54" t="s">
        <v>4017</v>
      </c>
      <c r="G78" s="6" t="s">
        <v>4018</v>
      </c>
      <c r="H78" s="6" t="s">
        <v>2460</v>
      </c>
    </row>
    <row r="79" spans="1:8" ht="29.25" x14ac:dyDescent="0.55000000000000004">
      <c r="A79" s="52" t="s">
        <v>4019</v>
      </c>
      <c r="B79" s="53" t="s">
        <v>4020</v>
      </c>
      <c r="C79" s="24" t="s">
        <v>3294</v>
      </c>
      <c r="D79" s="54" t="s">
        <v>1703</v>
      </c>
      <c r="E79" s="55" t="s">
        <v>4021</v>
      </c>
      <c r="F79" s="55" t="s">
        <v>4022</v>
      </c>
      <c r="G79" s="6" t="s">
        <v>4023</v>
      </c>
      <c r="H79" s="6" t="s">
        <v>3732</v>
      </c>
    </row>
    <row r="80" spans="1:8" ht="29.25" x14ac:dyDescent="0.55000000000000004">
      <c r="A80" s="52" t="s">
        <v>4024</v>
      </c>
      <c r="B80" s="53" t="s">
        <v>4025</v>
      </c>
      <c r="C80" s="24" t="s">
        <v>3295</v>
      </c>
      <c r="D80" s="54" t="s">
        <v>1697</v>
      </c>
      <c r="E80" s="55" t="s">
        <v>4026</v>
      </c>
      <c r="F80" s="55" t="s">
        <v>4027</v>
      </c>
      <c r="G80" s="6" t="s">
        <v>4023</v>
      </c>
      <c r="H80" s="6" t="s">
        <v>3732</v>
      </c>
    </row>
    <row r="81" spans="1:8" ht="29.25" x14ac:dyDescent="0.55000000000000004">
      <c r="A81" s="52" t="s">
        <v>4028</v>
      </c>
      <c r="B81" s="53" t="s">
        <v>4029</v>
      </c>
      <c r="C81" s="22" t="s">
        <v>3296</v>
      </c>
      <c r="D81" s="54" t="s">
        <v>1595</v>
      </c>
      <c r="E81" s="55" t="s">
        <v>4030</v>
      </c>
      <c r="F81" s="55" t="s">
        <v>4031</v>
      </c>
      <c r="G81" s="6" t="s">
        <v>4032</v>
      </c>
      <c r="H81" s="6" t="s">
        <v>2460</v>
      </c>
    </row>
    <row r="82" spans="1:8" ht="29.25" x14ac:dyDescent="0.55000000000000004">
      <c r="A82" s="52" t="s">
        <v>4033</v>
      </c>
      <c r="B82" s="53" t="s">
        <v>4034</v>
      </c>
      <c r="C82" s="22" t="s">
        <v>3296</v>
      </c>
      <c r="D82" s="54" t="s">
        <v>1595</v>
      </c>
      <c r="E82" s="55" t="s">
        <v>4030</v>
      </c>
      <c r="F82" s="55" t="s">
        <v>4031</v>
      </c>
      <c r="G82" s="6" t="s">
        <v>4032</v>
      </c>
      <c r="H82" s="6" t="s">
        <v>2460</v>
      </c>
    </row>
    <row r="83" spans="1:8" ht="29.25" x14ac:dyDescent="0.55000000000000004">
      <c r="A83" s="52" t="s">
        <v>4035</v>
      </c>
      <c r="B83" s="53" t="s">
        <v>4036</v>
      </c>
      <c r="C83" s="22" t="s">
        <v>1710</v>
      </c>
      <c r="D83" s="54" t="s">
        <v>1709</v>
      </c>
      <c r="E83" s="55" t="s">
        <v>4037</v>
      </c>
      <c r="F83" s="55" t="s">
        <v>4038</v>
      </c>
      <c r="G83" s="6" t="s">
        <v>4039</v>
      </c>
      <c r="H83" s="6" t="s">
        <v>2460</v>
      </c>
    </row>
    <row r="84" spans="1:8" ht="29.25" x14ac:dyDescent="0.55000000000000004">
      <c r="A84" s="52" t="s">
        <v>4040</v>
      </c>
      <c r="B84" s="53" t="s">
        <v>4041</v>
      </c>
      <c r="C84" s="22" t="s">
        <v>3297</v>
      </c>
      <c r="D84" s="54" t="s">
        <v>158</v>
      </c>
      <c r="E84" s="54" t="s">
        <v>4042</v>
      </c>
      <c r="F84" s="54">
        <v>7.510166667</v>
      </c>
      <c r="G84" s="6" t="s">
        <v>4043</v>
      </c>
      <c r="H84" s="6" t="s">
        <v>2460</v>
      </c>
    </row>
    <row r="85" spans="1:8" ht="29.25" x14ac:dyDescent="0.55000000000000004">
      <c r="A85" s="52" t="s">
        <v>4044</v>
      </c>
      <c r="B85" s="53" t="s">
        <v>4045</v>
      </c>
      <c r="C85" s="22" t="s">
        <v>3297</v>
      </c>
      <c r="D85" s="54" t="s">
        <v>158</v>
      </c>
      <c r="E85" s="54" t="s">
        <v>4042</v>
      </c>
      <c r="F85" s="54">
        <v>7.510166667</v>
      </c>
      <c r="G85" s="6" t="s">
        <v>4046</v>
      </c>
      <c r="H85" s="6" t="s">
        <v>2460</v>
      </c>
    </row>
    <row r="86" spans="1:8" ht="29.25" x14ac:dyDescent="0.55000000000000004">
      <c r="A86" s="52" t="s">
        <v>4047</v>
      </c>
      <c r="B86" s="53" t="s">
        <v>4048</v>
      </c>
      <c r="C86" s="23" t="s">
        <v>2332</v>
      </c>
      <c r="D86" s="54" t="s">
        <v>2331</v>
      </c>
      <c r="E86" s="23" t="s">
        <v>4049</v>
      </c>
      <c r="F86" s="23" t="s">
        <v>4050</v>
      </c>
      <c r="G86" s="6" t="s">
        <v>4051</v>
      </c>
      <c r="H86" s="6" t="s">
        <v>2460</v>
      </c>
    </row>
    <row r="87" spans="1:8" ht="29.25" x14ac:dyDescent="0.55000000000000004">
      <c r="A87" s="52" t="s">
        <v>4052</v>
      </c>
      <c r="B87" s="53" t="s">
        <v>4053</v>
      </c>
      <c r="C87" s="23" t="s">
        <v>1005</v>
      </c>
      <c r="D87" s="54" t="s">
        <v>1004</v>
      </c>
      <c r="E87" s="23" t="s">
        <v>4054</v>
      </c>
      <c r="F87" s="23" t="s">
        <v>4055</v>
      </c>
      <c r="G87" s="6" t="s">
        <v>4056</v>
      </c>
      <c r="H87" s="6" t="s">
        <v>2460</v>
      </c>
    </row>
    <row r="88" spans="1:8" ht="29.25" x14ac:dyDescent="0.55000000000000004">
      <c r="A88" s="52" t="s">
        <v>4057</v>
      </c>
      <c r="B88" s="53" t="s">
        <v>4058</v>
      </c>
      <c r="C88" s="22" t="s">
        <v>75</v>
      </c>
      <c r="D88" s="54" t="s">
        <v>74</v>
      </c>
      <c r="E88" s="54" t="s">
        <v>4059</v>
      </c>
      <c r="F88" s="54" t="s">
        <v>4060</v>
      </c>
      <c r="G88" s="6" t="s">
        <v>4061</v>
      </c>
      <c r="H88" s="6" t="s">
        <v>2460</v>
      </c>
    </row>
    <row r="89" spans="1:8" ht="29.25" x14ac:dyDescent="0.55000000000000004">
      <c r="A89" s="52" t="s">
        <v>4062</v>
      </c>
      <c r="B89" s="53" t="s">
        <v>4063</v>
      </c>
      <c r="C89" s="22" t="s">
        <v>75</v>
      </c>
      <c r="D89" s="54" t="s">
        <v>74</v>
      </c>
      <c r="E89" s="54" t="s">
        <v>4059</v>
      </c>
      <c r="F89" s="54" t="s">
        <v>4060</v>
      </c>
      <c r="G89" s="6" t="s">
        <v>4061</v>
      </c>
      <c r="H89" s="6" t="s">
        <v>2460</v>
      </c>
    </row>
    <row r="90" spans="1:8" ht="29.25" x14ac:dyDescent="0.55000000000000004">
      <c r="A90" s="52" t="s">
        <v>4064</v>
      </c>
      <c r="B90" s="53" t="s">
        <v>4065</v>
      </c>
      <c r="C90" s="22" t="s">
        <v>4066</v>
      </c>
      <c r="D90" s="54" t="s">
        <v>69</v>
      </c>
      <c r="E90" s="55" t="s">
        <v>4067</v>
      </c>
      <c r="F90" s="55" t="s">
        <v>4068</v>
      </c>
      <c r="G90" s="6" t="s">
        <v>4069</v>
      </c>
      <c r="H90" s="6" t="s">
        <v>2460</v>
      </c>
    </row>
    <row r="91" spans="1:8" ht="29.25" x14ac:dyDescent="0.55000000000000004">
      <c r="A91" s="52" t="s">
        <v>4070</v>
      </c>
      <c r="B91" s="53" t="s">
        <v>4071</v>
      </c>
      <c r="C91" s="22" t="s">
        <v>73</v>
      </c>
      <c r="D91" s="54" t="s">
        <v>72</v>
      </c>
      <c r="E91" s="55">
        <v>1.58239</v>
      </c>
      <c r="F91" s="55">
        <v>6.2308500000000002</v>
      </c>
      <c r="G91" s="6" t="s">
        <v>4072</v>
      </c>
      <c r="H91" s="6" t="s">
        <v>2460</v>
      </c>
    </row>
    <row r="92" spans="1:8" ht="29.25" x14ac:dyDescent="0.55000000000000004">
      <c r="A92" s="52" t="s">
        <v>4073</v>
      </c>
      <c r="B92" s="53" t="s">
        <v>4074</v>
      </c>
      <c r="C92" s="22" t="s">
        <v>73</v>
      </c>
      <c r="D92" s="54" t="s">
        <v>72</v>
      </c>
      <c r="E92" s="55">
        <v>1.58239</v>
      </c>
      <c r="F92" s="55">
        <v>6.2308500000000002</v>
      </c>
      <c r="G92" s="6" t="s">
        <v>4075</v>
      </c>
      <c r="H92" s="6" t="s">
        <v>2460</v>
      </c>
    </row>
    <row r="93" spans="1:8" ht="29.25" x14ac:dyDescent="0.55000000000000004">
      <c r="A93" s="52" t="s">
        <v>4076</v>
      </c>
      <c r="B93" s="53" t="s">
        <v>4077</v>
      </c>
      <c r="C93" s="22" t="s">
        <v>71</v>
      </c>
      <c r="D93" s="54" t="s">
        <v>70</v>
      </c>
      <c r="E93" s="54" t="s">
        <v>4078</v>
      </c>
      <c r="F93" s="54" t="s">
        <v>4079</v>
      </c>
      <c r="G93" s="6" t="s">
        <v>4075</v>
      </c>
      <c r="H93" s="6" t="s">
        <v>2460</v>
      </c>
    </row>
    <row r="94" spans="1:8" ht="29.25" x14ac:dyDescent="0.55000000000000004">
      <c r="A94" s="52" t="s">
        <v>4080</v>
      </c>
      <c r="B94" s="53" t="s">
        <v>4081</v>
      </c>
      <c r="C94" s="22" t="s">
        <v>590</v>
      </c>
      <c r="D94" s="54" t="s">
        <v>589</v>
      </c>
      <c r="E94" s="54">
        <v>1.1915899999999999</v>
      </c>
      <c r="F94" s="54">
        <v>7.7683999999999997</v>
      </c>
      <c r="G94" s="6" t="s">
        <v>4082</v>
      </c>
      <c r="H94" s="6" t="s">
        <v>2460</v>
      </c>
    </row>
    <row r="95" spans="1:8" ht="29.25" x14ac:dyDescent="0.55000000000000004">
      <c r="A95" s="52" t="s">
        <v>4083</v>
      </c>
      <c r="B95" s="53" t="s">
        <v>4084</v>
      </c>
      <c r="C95" s="22" t="s">
        <v>3298</v>
      </c>
      <c r="D95" s="54" t="s">
        <v>3299</v>
      </c>
      <c r="E95" s="55" t="s">
        <v>4085</v>
      </c>
      <c r="F95" s="55">
        <v>7.5418055559999999</v>
      </c>
      <c r="G95" s="6" t="s">
        <v>4086</v>
      </c>
      <c r="H95" s="6" t="s">
        <v>2460</v>
      </c>
    </row>
    <row r="96" spans="1:8" ht="29.25" x14ac:dyDescent="0.55000000000000004">
      <c r="A96" s="52" t="s">
        <v>4087</v>
      </c>
      <c r="B96" s="53" t="s">
        <v>4088</v>
      </c>
      <c r="C96" s="23" t="s">
        <v>682</v>
      </c>
      <c r="D96" s="54" t="s">
        <v>681</v>
      </c>
      <c r="E96" s="23" t="s">
        <v>4089</v>
      </c>
      <c r="F96" s="23" t="s">
        <v>4090</v>
      </c>
      <c r="G96" s="6" t="s">
        <v>4091</v>
      </c>
      <c r="H96" s="6" t="s">
        <v>2460</v>
      </c>
    </row>
    <row r="97" spans="1:9" ht="29.25" x14ac:dyDescent="0.55000000000000004">
      <c r="A97" s="52" t="s">
        <v>4092</v>
      </c>
      <c r="B97" s="53" t="s">
        <v>4093</v>
      </c>
      <c r="C97" s="23" t="s">
        <v>321</v>
      </c>
      <c r="D97" s="54" t="s">
        <v>342</v>
      </c>
      <c r="E97" s="23" t="s">
        <v>4094</v>
      </c>
      <c r="F97" s="23">
        <v>8.3422222220000002</v>
      </c>
      <c r="G97" s="6" t="s">
        <v>4095</v>
      </c>
      <c r="H97" s="6" t="s">
        <v>2460</v>
      </c>
    </row>
    <row r="98" spans="1:9" ht="29.25" x14ac:dyDescent="0.55000000000000004">
      <c r="A98" s="52" t="s">
        <v>4096</v>
      </c>
      <c r="B98" s="53" t="s">
        <v>4097</v>
      </c>
      <c r="C98" s="22" t="s">
        <v>3300</v>
      </c>
      <c r="D98" s="54" t="s">
        <v>500</v>
      </c>
      <c r="E98" s="54" t="s">
        <v>4098</v>
      </c>
      <c r="F98" s="54" t="s">
        <v>4099</v>
      </c>
      <c r="G98" s="6" t="s">
        <v>4100</v>
      </c>
      <c r="H98" s="6" t="s">
        <v>2460</v>
      </c>
    </row>
    <row r="99" spans="1:9" ht="29.25" x14ac:dyDescent="0.55000000000000004">
      <c r="A99" s="52" t="s">
        <v>4101</v>
      </c>
      <c r="B99" s="53" t="s">
        <v>4102</v>
      </c>
      <c r="C99" s="22" t="s">
        <v>3301</v>
      </c>
      <c r="D99" s="54" t="s">
        <v>512</v>
      </c>
      <c r="E99" s="54" t="s">
        <v>4103</v>
      </c>
      <c r="F99" s="54" t="s">
        <v>4104</v>
      </c>
      <c r="G99" s="6" t="s">
        <v>4105</v>
      </c>
      <c r="H99" s="6" t="s">
        <v>2460</v>
      </c>
    </row>
    <row r="100" spans="1:9" ht="29.25" x14ac:dyDescent="0.55000000000000004">
      <c r="A100" s="52" t="s">
        <v>4106</v>
      </c>
      <c r="B100" s="53" t="s">
        <v>4107</v>
      </c>
      <c r="C100" s="22" t="s">
        <v>3301</v>
      </c>
      <c r="D100" s="54" t="s">
        <v>512</v>
      </c>
      <c r="E100" s="54" t="s">
        <v>4103</v>
      </c>
      <c r="F100" s="54" t="s">
        <v>4104</v>
      </c>
      <c r="G100" s="6" t="s">
        <v>4105</v>
      </c>
      <c r="H100" s="6" t="s">
        <v>2460</v>
      </c>
    </row>
    <row r="101" spans="1:9" ht="29.25" x14ac:dyDescent="0.55000000000000004">
      <c r="A101" s="52" t="s">
        <v>4108</v>
      </c>
      <c r="B101" s="53" t="s">
        <v>4109</v>
      </c>
      <c r="C101" s="24" t="s">
        <v>522</v>
      </c>
      <c r="D101" s="54" t="s">
        <v>521</v>
      </c>
      <c r="E101" s="54" t="s">
        <v>4103</v>
      </c>
      <c r="F101" s="54" t="s">
        <v>4104</v>
      </c>
      <c r="G101" s="6" t="s">
        <v>4105</v>
      </c>
      <c r="H101" s="6" t="s">
        <v>2460</v>
      </c>
    </row>
    <row r="102" spans="1:9" ht="29.25" x14ac:dyDescent="0.55000000000000004">
      <c r="A102" s="52" t="s">
        <v>4110</v>
      </c>
      <c r="B102" s="53" t="s">
        <v>4109</v>
      </c>
      <c r="C102" s="24" t="s">
        <v>522</v>
      </c>
      <c r="D102" s="54" t="s">
        <v>521</v>
      </c>
      <c r="E102" s="54" t="s">
        <v>4103</v>
      </c>
      <c r="F102" s="54" t="s">
        <v>4104</v>
      </c>
      <c r="G102" s="6" t="s">
        <v>4105</v>
      </c>
      <c r="H102" s="6" t="s">
        <v>2460</v>
      </c>
    </row>
    <row r="103" spans="1:9" ht="29.25" x14ac:dyDescent="0.55000000000000004">
      <c r="A103" s="52" t="s">
        <v>4111</v>
      </c>
      <c r="B103" s="53" t="s">
        <v>4112</v>
      </c>
      <c r="C103" s="24" t="s">
        <v>546</v>
      </c>
      <c r="D103" s="54" t="s">
        <v>545</v>
      </c>
      <c r="E103" s="54">
        <v>0.202805556</v>
      </c>
      <c r="F103" s="54">
        <v>10.887888889999999</v>
      </c>
      <c r="G103" s="6" t="s">
        <v>4113</v>
      </c>
      <c r="H103" s="6" t="s">
        <v>2460</v>
      </c>
    </row>
    <row r="104" spans="1:9" ht="29.25" x14ac:dyDescent="0.55000000000000004">
      <c r="A104" s="52" t="s">
        <v>4114</v>
      </c>
      <c r="B104" s="53" t="s">
        <v>4115</v>
      </c>
      <c r="C104" s="23" t="s">
        <v>758</v>
      </c>
      <c r="D104" s="54" t="s">
        <v>759</v>
      </c>
      <c r="E104" s="23" t="s">
        <v>4116</v>
      </c>
      <c r="F104" s="23" t="s">
        <v>4117</v>
      </c>
      <c r="G104" s="6" t="s">
        <v>4118</v>
      </c>
      <c r="H104" s="6" t="s">
        <v>2460</v>
      </c>
    </row>
    <row r="105" spans="1:9" ht="29.25" x14ac:dyDescent="0.55000000000000004">
      <c r="A105" s="52" t="s">
        <v>4119</v>
      </c>
      <c r="B105" s="53" t="s">
        <v>4120</v>
      </c>
      <c r="C105" s="22" t="s">
        <v>849</v>
      </c>
      <c r="D105" s="54" t="s">
        <v>3302</v>
      </c>
      <c r="E105" s="54" t="s">
        <v>4121</v>
      </c>
      <c r="F105" s="54" t="s">
        <v>4122</v>
      </c>
      <c r="G105" s="6" t="s">
        <v>4123</v>
      </c>
      <c r="H105" s="6" t="s">
        <v>2460</v>
      </c>
    </row>
    <row r="106" spans="1:9" ht="29.25" x14ac:dyDescent="0.55000000000000004">
      <c r="A106" s="52" t="s">
        <v>4124</v>
      </c>
      <c r="B106" s="53" t="s">
        <v>4125</v>
      </c>
      <c r="C106" s="22" t="s">
        <v>3303</v>
      </c>
      <c r="D106" s="54" t="s">
        <v>3302</v>
      </c>
      <c r="E106" s="54" t="s">
        <v>4121</v>
      </c>
      <c r="F106" s="54" t="s">
        <v>4122</v>
      </c>
      <c r="G106" s="6" t="s">
        <v>4123</v>
      </c>
      <c r="H106" s="6" t="s">
        <v>2460</v>
      </c>
    </row>
    <row r="107" spans="1:9" ht="29.25" x14ac:dyDescent="0.55000000000000004">
      <c r="A107" s="52" t="s">
        <v>4126</v>
      </c>
      <c r="B107" s="53" t="s">
        <v>4127</v>
      </c>
      <c r="C107" s="24" t="s">
        <v>3304</v>
      </c>
      <c r="D107" s="54" t="s">
        <v>966</v>
      </c>
      <c r="E107" s="55" t="s">
        <v>4128</v>
      </c>
      <c r="F107" s="55" t="s">
        <v>4129</v>
      </c>
      <c r="G107" s="6"/>
      <c r="H107" s="6" t="s">
        <v>2460</v>
      </c>
      <c r="I107" s="60" t="s">
        <v>4130</v>
      </c>
    </row>
    <row r="108" spans="1:9" ht="29.25" x14ac:dyDescent="0.55000000000000004">
      <c r="A108" s="52" t="s">
        <v>4131</v>
      </c>
      <c r="B108" s="53" t="s">
        <v>4132</v>
      </c>
      <c r="C108" s="24" t="s">
        <v>3304</v>
      </c>
      <c r="D108" s="54" t="s">
        <v>980</v>
      </c>
      <c r="E108" s="55" t="s">
        <v>4128</v>
      </c>
      <c r="F108" s="55" t="s">
        <v>4129</v>
      </c>
      <c r="G108" s="6" t="s">
        <v>4133</v>
      </c>
      <c r="H108" s="6" t="s">
        <v>2460</v>
      </c>
    </row>
    <row r="109" spans="1:9" ht="29.25" x14ac:dyDescent="0.55000000000000004">
      <c r="A109" s="52" t="s">
        <v>4134</v>
      </c>
      <c r="B109" s="53" t="s">
        <v>4135</v>
      </c>
      <c r="C109" s="24" t="s">
        <v>3304</v>
      </c>
      <c r="D109" s="54" t="s">
        <v>834</v>
      </c>
      <c r="E109" s="55" t="s">
        <v>4128</v>
      </c>
      <c r="F109" s="55" t="s">
        <v>4129</v>
      </c>
      <c r="G109" s="6" t="s">
        <v>4133</v>
      </c>
      <c r="H109" s="6" t="s">
        <v>2460</v>
      </c>
    </row>
    <row r="110" spans="1:9" ht="29.25" x14ac:dyDescent="0.55000000000000004">
      <c r="A110" s="52" t="s">
        <v>4136</v>
      </c>
      <c r="B110" s="53" t="s">
        <v>4137</v>
      </c>
      <c r="C110" s="24" t="s">
        <v>3305</v>
      </c>
      <c r="D110" s="54" t="s">
        <v>908</v>
      </c>
      <c r="E110" s="55" t="s">
        <v>4138</v>
      </c>
      <c r="F110" s="55" t="s">
        <v>4139</v>
      </c>
      <c r="G110" s="6" t="s">
        <v>4140</v>
      </c>
      <c r="H110" s="6" t="s">
        <v>2460</v>
      </c>
    </row>
    <row r="111" spans="1:9" ht="29.25" x14ac:dyDescent="0.55000000000000004">
      <c r="A111" s="52" t="s">
        <v>4141</v>
      </c>
      <c r="B111" s="53" t="s">
        <v>4142</v>
      </c>
      <c r="C111" s="24" t="s">
        <v>3305</v>
      </c>
      <c r="D111" s="54" t="s">
        <v>932</v>
      </c>
      <c r="E111" s="55" t="s">
        <v>4138</v>
      </c>
      <c r="F111" s="55" t="s">
        <v>4139</v>
      </c>
      <c r="G111" s="6" t="s">
        <v>4123</v>
      </c>
      <c r="H111" s="6" t="s">
        <v>3732</v>
      </c>
    </row>
    <row r="112" spans="1:9" ht="29.25" x14ac:dyDescent="0.55000000000000004">
      <c r="A112" s="52" t="s">
        <v>4143</v>
      </c>
      <c r="B112" s="53" t="s">
        <v>4144</v>
      </c>
      <c r="C112" s="22" t="s">
        <v>1099</v>
      </c>
      <c r="D112" s="54" t="s">
        <v>1098</v>
      </c>
      <c r="E112" s="55" t="s">
        <v>4145</v>
      </c>
      <c r="F112" s="55" t="s">
        <v>4146</v>
      </c>
      <c r="G112" s="6" t="s">
        <v>4147</v>
      </c>
      <c r="H112" s="6" t="s">
        <v>2460</v>
      </c>
    </row>
    <row r="113" spans="1:8" ht="29.25" x14ac:dyDescent="0.55000000000000004">
      <c r="A113" s="52" t="s">
        <v>4148</v>
      </c>
      <c r="B113" s="53" t="s">
        <v>4149</v>
      </c>
      <c r="C113" s="24" t="s">
        <v>3306</v>
      </c>
      <c r="D113" s="54" t="s">
        <v>1108</v>
      </c>
      <c r="E113" s="55" t="s">
        <v>4150</v>
      </c>
      <c r="F113" s="55" t="s">
        <v>4151</v>
      </c>
      <c r="G113" s="6" t="s">
        <v>4152</v>
      </c>
      <c r="H113" s="6" t="s">
        <v>2460</v>
      </c>
    </row>
    <row r="114" spans="1:8" ht="29.25" x14ac:dyDescent="0.55000000000000004">
      <c r="A114" s="52" t="s">
        <v>4153</v>
      </c>
      <c r="B114" s="53" t="s">
        <v>4154</v>
      </c>
      <c r="C114" s="22" t="s">
        <v>4155</v>
      </c>
      <c r="D114" s="54" t="s">
        <v>1095</v>
      </c>
      <c r="E114" s="54" t="s">
        <v>4156</v>
      </c>
      <c r="F114" s="54" t="s">
        <v>4157</v>
      </c>
      <c r="G114" s="6" t="s">
        <v>4158</v>
      </c>
      <c r="H114" s="6" t="s">
        <v>2460</v>
      </c>
    </row>
    <row r="115" spans="1:8" ht="29.25" x14ac:dyDescent="0.55000000000000004">
      <c r="A115" s="52" t="s">
        <v>4159</v>
      </c>
      <c r="B115" s="53" t="s">
        <v>4160</v>
      </c>
      <c r="C115" s="23" t="s">
        <v>1965</v>
      </c>
      <c r="D115" s="54" t="s">
        <v>2016</v>
      </c>
      <c r="E115" s="23" t="s">
        <v>4161</v>
      </c>
      <c r="F115" s="23" t="s">
        <v>4162</v>
      </c>
      <c r="G115" s="6" t="s">
        <v>4163</v>
      </c>
      <c r="H115" s="6" t="s">
        <v>2460</v>
      </c>
    </row>
    <row r="116" spans="1:8" ht="29.25" x14ac:dyDescent="0.55000000000000004">
      <c r="A116" s="52" t="s">
        <v>4164</v>
      </c>
      <c r="B116" s="53" t="s">
        <v>4165</v>
      </c>
      <c r="C116" s="23" t="s">
        <v>879</v>
      </c>
      <c r="D116" s="54" t="s">
        <v>878</v>
      </c>
      <c r="E116" s="23" t="s">
        <v>4166</v>
      </c>
      <c r="F116" s="23" t="s">
        <v>4167</v>
      </c>
      <c r="G116" s="6" t="s">
        <v>4168</v>
      </c>
      <c r="H116" s="6" t="s">
        <v>2460</v>
      </c>
    </row>
    <row r="117" spans="1:8" ht="29.25" x14ac:dyDescent="0.55000000000000004">
      <c r="A117" s="52" t="s">
        <v>4169</v>
      </c>
      <c r="B117" s="53" t="s">
        <v>4170</v>
      </c>
      <c r="C117" s="23" t="s">
        <v>2112</v>
      </c>
      <c r="D117" s="54" t="s">
        <v>2111</v>
      </c>
      <c r="E117" s="23" t="s">
        <v>4171</v>
      </c>
      <c r="F117" s="23" t="s">
        <v>4172</v>
      </c>
      <c r="G117" s="6" t="s">
        <v>4173</v>
      </c>
      <c r="H117" s="6" t="s">
        <v>2460</v>
      </c>
    </row>
    <row r="118" spans="1:8" ht="29.25" x14ac:dyDescent="0.55000000000000004">
      <c r="A118" s="52" t="s">
        <v>4174</v>
      </c>
      <c r="B118" s="53" t="s">
        <v>4175</v>
      </c>
      <c r="C118" s="24" t="s">
        <v>893</v>
      </c>
      <c r="D118" s="54" t="s">
        <v>892</v>
      </c>
      <c r="E118" s="54" t="s">
        <v>4176</v>
      </c>
      <c r="F118" s="54" t="s">
        <v>4177</v>
      </c>
      <c r="G118" s="6" t="s">
        <v>4178</v>
      </c>
      <c r="H118" s="6" t="s">
        <v>2460</v>
      </c>
    </row>
    <row r="119" spans="1:8" ht="29.25" x14ac:dyDescent="0.55000000000000004">
      <c r="A119" s="52" t="s">
        <v>4179</v>
      </c>
      <c r="B119" s="53" t="s">
        <v>4180</v>
      </c>
      <c r="C119" s="24" t="s">
        <v>2209</v>
      </c>
      <c r="D119" s="54" t="s">
        <v>2208</v>
      </c>
      <c r="E119" s="55" t="s">
        <v>4181</v>
      </c>
      <c r="F119" s="55">
        <v>8.9696400000000001</v>
      </c>
      <c r="G119" s="6" t="s">
        <v>4182</v>
      </c>
      <c r="H119" s="6" t="s">
        <v>3732</v>
      </c>
    </row>
    <row r="120" spans="1:8" ht="29.25" x14ac:dyDescent="0.55000000000000004">
      <c r="A120" s="52" t="s">
        <v>4183</v>
      </c>
      <c r="B120" s="53" t="s">
        <v>4184</v>
      </c>
      <c r="C120" s="24" t="s">
        <v>2209</v>
      </c>
      <c r="D120" s="54" t="s">
        <v>2208</v>
      </c>
      <c r="E120" s="55" t="s">
        <v>4181</v>
      </c>
      <c r="F120" s="55">
        <v>8.9696400000000001</v>
      </c>
      <c r="G120" s="6" t="s">
        <v>4182</v>
      </c>
      <c r="H120" s="6" t="s">
        <v>3732</v>
      </c>
    </row>
    <row r="121" spans="1:8" ht="29.25" x14ac:dyDescent="0.55000000000000004">
      <c r="A121" s="52" t="s">
        <v>4185</v>
      </c>
      <c r="B121" s="53" t="s">
        <v>4186</v>
      </c>
      <c r="C121" s="22" t="s">
        <v>2221</v>
      </c>
      <c r="D121" s="54" t="s">
        <v>2220</v>
      </c>
      <c r="E121" s="54" t="s">
        <v>4187</v>
      </c>
      <c r="F121" s="54">
        <v>8.9856111110000008</v>
      </c>
      <c r="G121" s="6" t="s">
        <v>4188</v>
      </c>
      <c r="H121" s="6" t="s">
        <v>2460</v>
      </c>
    </row>
    <row r="122" spans="1:8" ht="29.25" x14ac:dyDescent="0.55000000000000004">
      <c r="A122" s="52" t="s">
        <v>4189</v>
      </c>
      <c r="B122" s="53" t="s">
        <v>4190</v>
      </c>
      <c r="C122" s="22" t="s">
        <v>2221</v>
      </c>
      <c r="D122" s="54" t="s">
        <v>2220</v>
      </c>
      <c r="E122" s="54" t="s">
        <v>4187</v>
      </c>
      <c r="F122" s="54">
        <v>8.9856111110000008</v>
      </c>
      <c r="G122" s="6" t="s">
        <v>4188</v>
      </c>
      <c r="H122" s="6" t="s">
        <v>2460</v>
      </c>
    </row>
    <row r="123" spans="1:8" ht="29.25" x14ac:dyDescent="0.55000000000000004">
      <c r="A123" s="52" t="s">
        <v>4191</v>
      </c>
      <c r="B123" s="53" t="s">
        <v>4192</v>
      </c>
      <c r="C123" s="23" t="s">
        <v>2255</v>
      </c>
      <c r="D123" s="54" t="s">
        <v>2254</v>
      </c>
      <c r="E123" s="23" t="s">
        <v>4193</v>
      </c>
      <c r="F123" s="23">
        <v>8.5591916670000003</v>
      </c>
      <c r="G123" s="6" t="s">
        <v>4194</v>
      </c>
      <c r="H123" s="6" t="s">
        <v>2460</v>
      </c>
    </row>
    <row r="124" spans="1:8" ht="29.25" x14ac:dyDescent="0.55000000000000004">
      <c r="A124" s="52" t="s">
        <v>4195</v>
      </c>
      <c r="B124" s="53" t="s">
        <v>4196</v>
      </c>
      <c r="C124" s="22" t="s">
        <v>244</v>
      </c>
      <c r="D124" s="54" t="s">
        <v>243</v>
      </c>
      <c r="E124" s="54">
        <v>1.061804</v>
      </c>
      <c r="F124" s="54">
        <v>7.5234889999999996</v>
      </c>
      <c r="G124" s="6" t="s">
        <v>4197</v>
      </c>
      <c r="H124" s="6" t="s">
        <v>2460</v>
      </c>
    </row>
    <row r="125" spans="1:8" ht="29.25" x14ac:dyDescent="0.55000000000000004">
      <c r="A125" s="52" t="s">
        <v>4198</v>
      </c>
      <c r="B125" s="53" t="s">
        <v>4199</v>
      </c>
      <c r="C125" s="22" t="s">
        <v>107</v>
      </c>
      <c r="D125" s="54" t="s">
        <v>106</v>
      </c>
      <c r="E125" s="54">
        <v>1.50261</v>
      </c>
      <c r="F125" s="54">
        <v>6.5933900000000003</v>
      </c>
      <c r="G125" s="6" t="s">
        <v>4200</v>
      </c>
      <c r="H125" s="6" t="s">
        <v>2460</v>
      </c>
    </row>
    <row r="126" spans="1:8" ht="29.25" x14ac:dyDescent="0.55000000000000004">
      <c r="A126" s="52" t="s">
        <v>4201</v>
      </c>
      <c r="B126" s="53" t="s">
        <v>4202</v>
      </c>
      <c r="C126" s="23" t="s">
        <v>2328</v>
      </c>
      <c r="D126" s="54" t="s">
        <v>2327</v>
      </c>
      <c r="E126" s="54" t="s">
        <v>4203</v>
      </c>
      <c r="F126" s="54" t="s">
        <v>4204</v>
      </c>
      <c r="G126" s="6" t="s">
        <v>4205</v>
      </c>
      <c r="H126" s="6" t="s">
        <v>2460</v>
      </c>
    </row>
    <row r="127" spans="1:8" ht="29.25" x14ac:dyDescent="0.55000000000000004">
      <c r="A127" s="52" t="s">
        <v>4206</v>
      </c>
      <c r="B127" s="53" t="s">
        <v>4207</v>
      </c>
      <c r="C127" s="24" t="s">
        <v>2333</v>
      </c>
      <c r="D127" s="54" t="s">
        <v>2412</v>
      </c>
      <c r="E127" s="54" t="s">
        <v>4208</v>
      </c>
      <c r="F127" s="54" t="s">
        <v>4209</v>
      </c>
      <c r="G127" s="6" t="s">
        <v>4210</v>
      </c>
      <c r="H127" s="6" t="s">
        <v>2460</v>
      </c>
    </row>
    <row r="128" spans="1:8" ht="29.25" x14ac:dyDescent="0.55000000000000004">
      <c r="A128" s="52" t="s">
        <v>4211</v>
      </c>
      <c r="B128" s="53" t="s">
        <v>4212</v>
      </c>
      <c r="C128" s="24" t="s">
        <v>2333</v>
      </c>
      <c r="D128" s="54" t="s">
        <v>2412</v>
      </c>
      <c r="E128" s="54" t="s">
        <v>4208</v>
      </c>
      <c r="F128" s="54" t="s">
        <v>4209</v>
      </c>
      <c r="G128" s="6" t="s">
        <v>4210</v>
      </c>
      <c r="H128" s="6" t="s">
        <v>2460</v>
      </c>
    </row>
    <row r="129" spans="1:8" ht="29.25" x14ac:dyDescent="0.55000000000000004">
      <c r="A129" s="52" t="s">
        <v>4213</v>
      </c>
      <c r="B129" s="53" t="s">
        <v>4214</v>
      </c>
      <c r="C129" s="24" t="s">
        <v>3307</v>
      </c>
      <c r="D129" s="54" t="s">
        <v>2429</v>
      </c>
      <c r="E129" s="54" t="s">
        <v>4215</v>
      </c>
      <c r="F129" s="54" t="s">
        <v>4216</v>
      </c>
      <c r="G129" s="6" t="s">
        <v>4210</v>
      </c>
      <c r="H129" s="6" t="s">
        <v>2460</v>
      </c>
    </row>
    <row r="130" spans="1:8" ht="29.25" x14ac:dyDescent="0.55000000000000004">
      <c r="A130" s="52" t="s">
        <v>4217</v>
      </c>
      <c r="B130" s="53" t="s">
        <v>4218</v>
      </c>
      <c r="C130" s="22" t="s">
        <v>119</v>
      </c>
      <c r="D130" s="54" t="s">
        <v>118</v>
      </c>
      <c r="E130" s="54">
        <v>1.529898</v>
      </c>
      <c r="F130" s="54">
        <v>6.3354480000000004</v>
      </c>
      <c r="G130" s="6" t="s">
        <v>4219</v>
      </c>
      <c r="H130" s="6" t="s">
        <v>2460</v>
      </c>
    </row>
    <row r="131" spans="1:8" ht="29.25" x14ac:dyDescent="0.55000000000000004">
      <c r="A131" s="52" t="s">
        <v>4220</v>
      </c>
      <c r="B131" s="53" t="s">
        <v>4221</v>
      </c>
      <c r="C131" s="23" t="s">
        <v>939</v>
      </c>
      <c r="D131" s="54" t="s">
        <v>938</v>
      </c>
      <c r="E131" s="23" t="s">
        <v>4222</v>
      </c>
      <c r="F131" s="23" t="s">
        <v>4223</v>
      </c>
      <c r="G131" s="6" t="s">
        <v>4224</v>
      </c>
      <c r="H131" s="6" t="s">
        <v>2460</v>
      </c>
    </row>
  </sheetData>
  <hyperlinks>
    <hyperlink ref="G17" r:id="rId1" display="https://10.179.4.98:1443/device.htm?id=4801" xr:uid="{00000000-0004-0000-0200-000000000000}"/>
    <hyperlink ref="G18" r:id="rId2" display="https://10.179.4.98:1443/device.htm?id=10298" xr:uid="{00000000-0004-0000-0200-000001000000}"/>
    <hyperlink ref="G19" r:id="rId3" display="https://10.179.4.98:1443/device.htm?id=12301" xr:uid="{00000000-0004-0000-0200-000002000000}"/>
    <hyperlink ref="G20" r:id="rId4" display="https://10.179.4.98:1443/device.htm?id=6610" xr:uid="{00000000-0004-0000-0200-000003000000}"/>
    <hyperlink ref="G21" r:id="rId5" display="https://10.179.4.98:1443/device.htm?id=4989" xr:uid="{00000000-0004-0000-0200-000004000000}"/>
    <hyperlink ref="G26" r:id="rId6" display="https://10.179.4.98:1443/device.htm?id=4989" xr:uid="{00000000-0004-0000-0200-000005000000}"/>
    <hyperlink ref="G24" r:id="rId7" display="https://10.179.4.98:1443/device.htm?id=4989" xr:uid="{00000000-0004-0000-0200-000006000000}"/>
    <hyperlink ref="G27" r:id="rId8" display="https://10.179.4.98:1443/device.htm?id=4989" xr:uid="{00000000-0004-0000-0200-000007000000}"/>
    <hyperlink ref="G28" r:id="rId9" display="https://10.179.4.98:1443/device.htm?id=6652" xr:uid="{00000000-0004-0000-0200-000008000000}"/>
    <hyperlink ref="G15" r:id="rId10" display="https://10.179.4.98:1443/device.htm?id=4993" xr:uid="{00000000-0004-0000-02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BASE SITES ID</vt:lpstr>
      <vt:lpstr>BASE OLT</vt:lpstr>
      <vt:lpstr>Feuil1</vt:lpstr>
    </vt:vector>
  </TitlesOfParts>
  <Company>sema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Duke Maboudou</dc:creator>
  <cp:lastModifiedBy>Gbati Tchen</cp:lastModifiedBy>
  <dcterms:created xsi:type="dcterms:W3CDTF">2026-01-28T19:42:54Z</dcterms:created>
  <dcterms:modified xsi:type="dcterms:W3CDTF">2026-07-10T11:12:47Z</dcterms:modified>
</cp:coreProperties>
</file>